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9f87ffaac945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ionário" sheetId="1" r:id="Rc989dc2fd48042da"/>
    <x:sheet xmlns:r="http://schemas.openxmlformats.org/officeDocument/2006/relationships" name="Relações" sheetId="2" r:id="Rf8dac280d0084562"/>
    <x:sheet xmlns:r="http://schemas.openxmlformats.org/officeDocument/2006/relationships" name="Metadados" sheetId="3" r:id="Rb31f4150a952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673"/>
      <x:name val="Carlito"/>
    </x:font>
    <x:font>
      <x:b/>
      <x:sz val="11"/>
      <x:color rgb="FF0F766E"/>
      <x:name val="Carlito"/>
    </x:font>
    <x:font>
      <x:b/>
      <x:sz val="12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DDF3EF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36eef2b3341db" /><Relationship Type="http://schemas.openxmlformats.org/officeDocument/2006/relationships/theme" Target="/xl/theme/theme1.xml" Id="R9696dc25fabe4bc6" /><Relationship Type="http://schemas.openxmlformats.org/officeDocument/2006/relationships/sharedStrings" Target="/xl/sharedStrings.xml" Id="R43485606810e48b2" /><Relationship Type="http://schemas.openxmlformats.org/officeDocument/2006/relationships/worksheet" Target="/xl/worksheets/sheet1.xml" Id="Rc989dc2fd48042da" /><Relationship Type="http://schemas.openxmlformats.org/officeDocument/2006/relationships/worksheet" Target="/xl/worksheets/sheet2.xml" Id="Rf8dac280d0084562" /><Relationship Type="http://schemas.openxmlformats.org/officeDocument/2006/relationships/worksheet" Target="/xl/worksheets/sheet3.xml" Id="Rb31f4150a95249e1" /></Relationships>
</file>

<file path=xl/tables/table1.xml><?xml version="1.0" encoding="utf-8"?>
<x:table xmlns:x="http://schemas.openxmlformats.org/spreadsheetml/2006/main" id="1" name="DicionarioMarubo" displayName="DicionarioMarubo" ref="A6:G1875" headerRowCount="1" totalsRowCount="0" totalsRowShown="0">
  <x:autoFilter ref="A6:G1875"/>
  <x:tableColumns count="7">
    <x:tableColumn id="1" name="Português"/>
    <x:tableColumn id="2" name="Marubo"/>
    <x:tableColumn id="3" name="Nº de traduções"/>
    <x:tableColumn id="4" name="Inicial"/>
    <x:tableColumn id="5" name="URL da primeira entrada"/>
    <x:tableColumn id="6" name="ID do índice reverso"/>
    <x:tableColumn id="7" name="Atualizado 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coesMarubo" displayName="RelacoesMarubo" ref="A6:G2441" headerRowCount="1" totalsRowCount="0" totalsRowShown="0">
  <x:autoFilter ref="A6:G2441"/>
  <x:tableColumns count="7">
    <x:tableColumn id="1" name="Português"/>
    <x:tableColumn id="2" name="Marubo"/>
    <x:tableColumn id="3" name="Inicial"/>
    <x:tableColumn id="4" name="ID do índice reverso"/>
    <x:tableColumn id="5" name="ID do verbete marubo"/>
    <x:tableColumn id="6" name="URL da fonte"/>
    <x:tableColumn id="7" name="Atualizado em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etadadosMarubo" displayName="MetadadosMarubo" ref="A6:D19" headerRowCount="1" totalsRowCount="0" totalsRowShown="0">
  <x:tableColumns count="4">
    <x:tableColumn id="1" name="Campo"/>
    <x:tableColumn id="2" name="Valor"/>
    <x:tableColumn id="3" name="Verificação"/>
    <x:tableColumn id="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a354d1766247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4a644db21742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31e641cadcb43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2" hidden="0" customWidth="1"/>
    <x:col min="3" max="3" width="22" hidden="0" customWidth="1"/>
    <x:col min="4" max="4" width="10" hidden="0" customWidth="1"/>
    <x:col min="5" max="5" width="52" hidden="0" customWidth="1"/>
    <x:col min="6" max="6" width="40" hidden="0" customWidth="1"/>
    <x:col min="7" max="7" width="21" hidden="0" customWidth="1"/>
  </x:cols>
  <x:sheetData>
    <x:row r="1" ht="30" customHeight="1">
      <x:c r="A1" s="3" t="str">
        <x:v>Dicionário português → marubo</x:v>
      </x:c>
      <x:c r="B1" s="3" t="str">
        <x:v>Dicionário português → marubo</x:v>
      </x:c>
      <x:c r="C1" s="3" t="str">
        <x:v>Dicionário português → marubo</x:v>
      </x:c>
      <x:c r="D1" s="3" t="str">
        <x:v>Dicionário português → marubo</x:v>
      </x:c>
      <x:c r="E1" s="3" t="str">
        <x:v>Dicionário português → marubo</x:v>
      </x:c>
      <x:c r="F1" s="3" t="str">
        <x:v>Dicionário português → marubo</x:v>
      </x:c>
      <x:c r="G1" s="3" t="str">
        <x:v>Dicionário português → marubo</x:v>
      </x:c>
    </x:row>
    <x:row r="2" ht="32" customHeight="1">
      <x:c r="A2" s="7" t="str">
        <x:v>Índice reverso do Webonary. Quando houver várias traduções, elas aparecem separadas por “ | ”; a aba Relações contém uma linha por par.</x:v>
      </x:c>
      <x:c r="B2" s="7" t="str">
        <x:v>Índice reverso do Webonary. Quando houver várias traduções, elas aparecem separadas por “ | ”; a aba Relações contém uma linha por par.</x:v>
      </x:c>
      <x:c r="C2" s="7" t="str">
        <x:v>Índice reverso do Webonary. Quando houver várias traduções, elas aparecem separadas por “ | ”; a aba Relações contém uma linha por par.</x:v>
      </x:c>
      <x:c r="D2" s="7" t="str">
        <x:v>Índice reverso do Webonary. Quando houver várias traduções, elas aparecem separadas por “ | ”; a aba Relações contém uma linha por par.</x:v>
      </x:c>
      <x:c r="E2" s="7" t="str">
        <x:v>Índice reverso do Webonary. Quando houver várias traduções, elas aparecem separadas por “ | ”; a aba Relações contém uma linha por par.</x:v>
      </x:c>
      <x:c r="F2" s="7" t="str">
        <x:v>Índice reverso do Webonary. Quando houver várias traduções, elas aparecem separadas por “ | ”; a aba Relações contém uma linha por par.</x:v>
      </x:c>
      <x:c r="G2" s="7" t="str">
        <x:v>Índice reverso do Webonary. Quando houver várias traduções, elas aparecem separadas por “ | ”; a aba Relações contém uma linha por par.</x:v>
      </x:c>
    </x:row>
    <x:row r="4" ht="24" customHeight="1">
      <x:c r="A4" s="11" t="str">
        <x:v>Entradas em português</x:v>
      </x:c>
      <x:c r="B4" s="17" t="n">
        <x:f>ROWS(A7:A1875)</x:f>
        <x:v>1869</x:v>
      </x:c>
      <x:c r="C4" s="11" t="str">
        <x:v>Relações de tradução</x:v>
      </x:c>
      <x:c r="D4" s="17" t="n">
        <x:f>ROWS('Relações'!A7:A2441)</x:f>
        <x:v>2435</x:v>
      </x:c>
      <x:c r="E4" s="11" t="str">
        <x:v>Entradas sem tradução</x:v>
      </x:c>
      <x:c r="F4" s="17" t="n">
        <x:f>COUNTBLANK(B7:B1875)</x:f>
        <x:v>1</x:v>
      </x:c>
    </x:row>
    <x:row r="6">
      <x:c r="A6" t="str">
        <x:v>Português</x:v>
      </x:c>
      <x:c r="B6" t="str">
        <x:v>Marubo</x:v>
      </x:c>
      <x:c r="C6" t="str">
        <x:v>Nº de traduções</x:v>
      </x:c>
      <x:c r="D6" t="str">
        <x:v>Inicial</x:v>
      </x:c>
      <x:c r="E6" t="str">
        <x:v>URL da primeira entrada</x:v>
      </x:c>
      <x:c r="F6" t="str">
        <x:v>ID do índice reverso</x:v>
      </x:c>
      <x:c r="G6" t="str">
        <x:v>Atualizado em</x:v>
      </x:c>
    </x:row>
    <x:row r="7">
      <x:c r="A7" s="18" t="str">
        <x:v>(pour) derramar líquido</x:v>
      </x:c>
      <x:c r="B7" s="18" t="str">
        <x:v>choo aká</x:v>
      </x:c>
      <x:c r="C7" s="19" t="n">
        <x:f>IF(B7="",0,(LEN(B7)-LEN(SUBSTITUTE(B7," | ","")))/3+1)</x:f>
        <x:v>1</x:v>
      </x:c>
      <x:c r="D7" t="str">
        <x:v>(</x:v>
      </x:c>
      <x:c r="E7" t="str">
        <x:v>https://www.webonary.org/marubo/g3f09f9c4-e062-45a3-bfb9-ef00eba317c3/</x:v>
      </x:c>
      <x:c r="F7" t="str">
        <x:v>g62b24578-2c1a-436f-8f38-0352e3cda26b</x:v>
      </x:c>
      <x:c r="G7" s="20" t="n">
        <x:v>46003.934735</x:v>
      </x:c>
    </x:row>
    <x:row r="8">
      <x:c r="A8" s="18" t="str">
        <x:v>??</x:v>
      </x:c>
      <x:c r="B8" s="18" t="str">
        <x:v>-se</x:v>
      </x:c>
      <x:c r="C8" s="19" t="n">
        <x:f>IF(B8="",0,(LEN(B8)-LEN(SUBSTITUTE(B8," | ","")))/3+1)</x:f>
        <x:v>1</x:v>
      </x:c>
      <x:c r="D8" t="str">
        <x:v>?</x:v>
      </x:c>
      <x:c r="E8" t="str">
        <x:v>https://www.webonary.org/marubo/ge6240d50-439d-487c-bb04-653604ec1caf/</x:v>
      </x:c>
      <x:c r="F8" t="str">
        <x:v>gbbef532b-58c2-46a5-88dc-cf0a1f7633f2</x:v>
      </x:c>
      <x:c r="G8" s="20" t="n">
        <x:v>46003.934735</x:v>
      </x:c>
    </x:row>
    <x:row r="9">
      <x:c r="A9" s="18" t="str">
        <x:v>???</x:v>
      </x:c>
      <x:c r="B9" s="18" t="str">
        <x:v>-pachta</x:v>
      </x:c>
      <x:c r="C9" s="19" t="n">
        <x:f>IF(B9="",0,(LEN(B9)-LEN(SUBSTITUTE(B9," | ","")))/3+1)</x:f>
        <x:v>1</x:v>
      </x:c>
      <x:c r="D9" t="str">
        <x:v>?</x:v>
      </x:c>
      <x:c r="E9" t="str">
        <x:v>https://www.webonary.org/marubo/gfe1389e9-3ab4-4e23-a4a8-ce9a50f97541/</x:v>
      </x:c>
      <x:c r="F9" t="str">
        <x:v>gc33d2417-eae9-42dc-925f-84fe7d41474c</x:v>
      </x:c>
      <x:c r="G9" s="20" t="n">
        <x:v>46003.934735</x:v>
      </x:c>
    </x:row>
    <x:row r="10">
      <x:c r="A10" s="18" t="str">
        <x:v>????</x:v>
      </x:c>
      <x:c r="B10" s="18" t="str">
        <x:v>-mase</x:v>
      </x:c>
      <x:c r="C10" s="19" t="n">
        <x:f>IF(B10="",0,(LEN(B10)-LEN(SUBSTITUTE(B10," | ","")))/3+1)</x:f>
        <x:v>1</x:v>
      </x:c>
      <x:c r="D10" t="str">
        <x:v>?</x:v>
      </x:c>
      <x:c r="E10" t="str">
        <x:v>https://www.webonary.org/marubo/gf5a5c05b-f198-41b2-8638-33518a7211d9/</x:v>
      </x:c>
      <x:c r="F10" t="str">
        <x:v>g1bb28a15-4307-4450-8937-d25a76d108e5</x:v>
      </x:c>
      <x:c r="G10" s="20" t="n">
        <x:v>46003.934735</x:v>
      </x:c>
    </x:row>
    <x:row r="11">
      <x:c r="A11" s="18" t="str">
        <x:v>?????</x:v>
      </x:c>
      <x:c r="B11" s="18" t="str">
        <x:v>-kaĩko</x:v>
      </x:c>
      <x:c r="C11" s="19" t="n">
        <x:f>IF(B11="",0,(LEN(B11)-LEN(SUBSTITUTE(B11," | ","")))/3+1)</x:f>
        <x:v>1</x:v>
      </x:c>
      <x:c r="D11" t="str">
        <x:v>?</x:v>
      </x:c>
      <x:c r="E11" t="str">
        <x:v>https://www.webonary.org/marubo/g9ad57617-4e67-4f46-84cf-fed322760ad7/</x:v>
      </x:c>
      <x:c r="F11" t="str">
        <x:v>g0559cb2f-d334-466a-bf45-254d27325394</x:v>
      </x:c>
      <x:c r="G11" s="20" t="n">
        <x:v>46003.934735</x:v>
      </x:c>
    </x:row>
    <x:row r="12">
      <x:c r="A12" s="18" t="str">
        <x:v>1PL</x:v>
      </x:c>
      <x:c r="B12" s="18" t="str">
        <x:v>noke | nõ=</x:v>
      </x:c>
      <x:c r="C12" s="19" t="n">
        <x:f>IF(B12="",0,(LEN(B12)-LEN(SUBSTITUTE(B12," | ","")))/3+1)</x:f>
        <x:v>2</x:v>
      </x:c>
      <x:c r="D12" t="str">
        <x:v>1</x:v>
      </x:c>
      <x:c r="E12" t="str">
        <x:v>https://www.webonary.org/marubo/g9216b6d0-40dc-47e1-82e1-8c7b47e312ab/</x:v>
      </x:c>
      <x:c r="F12" t="str">
        <x:v>g88f980fc-ea53-4b05-93a0-ab6c5fde3e64</x:v>
      </x:c>
      <x:c r="G12" s="20" t="n">
        <x:v>46003.934735</x:v>
      </x:c>
    </x:row>
    <x:row r="13">
      <x:c r="A13" s="18" t="str">
        <x:v>1SG</x:v>
      </x:c>
      <x:c r="B13" s="18" t="str">
        <x:v>eã | ea | ẽ=</x:v>
      </x:c>
      <x:c r="C13" s="19" t="n">
        <x:f>IF(B13="",0,(LEN(B13)-LEN(SUBSTITUTE(B13," | ","")))/3+1)</x:f>
        <x:v>3</x:v>
      </x:c>
      <x:c r="D13" t="str">
        <x:v>1</x:v>
      </x:c>
      <x:c r="E13" t="str">
        <x:v>https://www.webonary.org/marubo/gab8de27f-2589-4c8f-9c06-f52a0bc5303d/</x:v>
      </x:c>
      <x:c r="F13" t="str">
        <x:v>gb028d46c-270b-4eac-b462-69d75e2b17a5</x:v>
      </x:c>
      <x:c r="G13" s="20" t="n">
        <x:v>46003.934735</x:v>
      </x:c>
    </x:row>
    <x:row r="14">
      <x:c r="A14" s="18" t="str">
        <x:v>2PL</x:v>
      </x:c>
      <x:c r="B14" s="18" t="str">
        <x:v>-ma | 2</x:v>
      </x:c>
      <x:c r="C14" s="19" t="n">
        <x:f>IF(B14="",0,(LEN(B14)-LEN(SUBSTITUTE(B14," | ","")))/3+1)</x:f>
        <x:v>2</x:v>
      </x:c>
      <x:c r="D14" t="str">
        <x:v>2</x:v>
      </x:c>
      <x:c r="E14" t="str">
        <x:v>https://www.webonary.org/marubo/g3f4eb053-e16c-4e79-a5c8-53a8c965bfd8/</x:v>
      </x:c>
      <x:c r="F14" t="str">
        <x:v>g82bdadb8-99b3-4763-b013-7512bdb24346</x:v>
      </x:c>
      <x:c r="G14" s="20" t="n">
        <x:v>46003.934735</x:v>
      </x:c>
    </x:row>
    <x:row r="15">
      <x:c r="A15" s="18" t="str">
        <x:v>2SG</x:v>
      </x:c>
      <x:c r="B15" s="18" t="str">
        <x:v>mia | mĩ</x:v>
      </x:c>
      <x:c r="C15" s="19" t="n">
        <x:f>IF(B15="",0,(LEN(B15)-LEN(SUBSTITUTE(B15," | ","")))/3+1)</x:f>
        <x:v>2</x:v>
      </x:c>
      <x:c r="D15" t="str">
        <x:v>2</x:v>
      </x:c>
      <x:c r="E15" t="str">
        <x:v>https://www.webonary.org/marubo/g4445881a-cbea-4f2f-9beb-98ae3b898a8d/</x:v>
      </x:c>
      <x:c r="F15" t="str">
        <x:v>g0d29b60d-c59e-47cc-a150-7333bee9eb2b</x:v>
      </x:c>
      <x:c r="G15" s="20" t="n">
        <x:v>46003.934735</x:v>
      </x:c>
    </x:row>
    <x:row r="16">
      <x:c r="A16" s="18" t="str">
        <x:v>3PL</x:v>
      </x:c>
      <x:c r="B16" s="18" t="str">
        <x:v>-vo | atõ | ato | 2</x:v>
      </x:c>
      <x:c r="C16" s="19" t="n">
        <x:f>IF(B16="",0,(LEN(B16)-LEN(SUBSTITUTE(B16," | ","")))/3+1)</x:f>
        <x:v>4</x:v>
      </x:c>
      <x:c r="D16" t="str">
        <x:v>3</x:v>
      </x:c>
      <x:c r="E16" t="str">
        <x:v>https://www.webonary.org/marubo/g0ece1854-1898-4eed-8035-a974643ff94b/</x:v>
      </x:c>
      <x:c r="F16" t="str">
        <x:v>g63f5e733-7bd5-4b51-923c-80b17791dd35</x:v>
      </x:c>
      <x:c r="G16" s="20" t="n">
        <x:v>46003.934735</x:v>
      </x:c>
    </x:row>
    <x:row r="17">
      <x:c r="A17" s="18" t="str">
        <x:v>3SG</x:v>
      </x:c>
      <x:c r="B17" s="18" t="str">
        <x:v>ãwẽ | aãtõ | ã= | aa</x:v>
      </x:c>
      <x:c r="C17" s="19" t="n">
        <x:f>IF(B17="",0,(LEN(B17)-LEN(SUBSTITUTE(B17," | ","")))/3+1)</x:f>
        <x:v>4</x:v>
      </x:c>
      <x:c r="D17" t="str">
        <x:v>3</x:v>
      </x:c>
      <x:c r="E17" t="str">
        <x:v>https://www.webonary.org/marubo/g0934dc9c-c8f2-4e04-a071-14c5cafd3f0c/</x:v>
      </x:c>
      <x:c r="F17" t="str">
        <x:v>g26e5d2dd-a4e9-41ea-b9c1-24e587cbaf78</x:v>
      </x:c>
      <x:c r="G17" s="20" t="n">
        <x:v>46003.934735</x:v>
      </x:c>
    </x:row>
    <x:row r="18">
      <x:c r="A18" s="18" t="str">
        <x:v>3SG.DIST</x:v>
      </x:c>
      <x:c r="B18" s="18" t="str">
        <x:v>waa</x:v>
      </x:c>
      <x:c r="C18" s="19" t="n">
        <x:f>IF(B18="",0,(LEN(B18)-LEN(SUBSTITUTE(B18," | ","")))/3+1)</x:f>
        <x:v>1</x:v>
      </x:c>
      <x:c r="D18" t="str">
        <x:v>3</x:v>
      </x:c>
      <x:c r="E18" t="str">
        <x:v>https://www.webonary.org/marubo/g9f1504bf-813c-4eb1-a935-2974a0871900/</x:v>
      </x:c>
      <x:c r="F18" t="str">
        <x:v>g17ba9ae4-d6d9-427c-9aa3-fcb0b112015c</x:v>
      </x:c>
      <x:c r="G18" s="20" t="n">
        <x:v>46003.934735</x:v>
      </x:c>
    </x:row>
    <x:row r="19">
      <x:c r="A19" s="18" t="str">
        <x:v>3SG.PROX</x:v>
      </x:c>
      <x:c r="B19" s="18" t="str">
        <x:v>naa | 1</x:v>
      </x:c>
      <x:c r="C19" s="19" t="n">
        <x:f>IF(B19="",0,(LEN(B19)-LEN(SUBSTITUTE(B19," | ","")))/3+1)</x:f>
        <x:v>2</x:v>
      </x:c>
      <x:c r="D19" t="str">
        <x:v>3</x:v>
      </x:c>
      <x:c r="E19" t="str">
        <x:v>https://www.webonary.org/marubo/ge1427bf0-d906-4ef7-aa30-ad4d7d7e619d/</x:v>
      </x:c>
      <x:c r="F19" t="str">
        <x:v>g93950f5e-f7aa-4809-90b6-3b0e5c6eba50</x:v>
      </x:c>
      <x:c r="G19" s="20" t="n">
        <x:v>46003.934735</x:v>
      </x:c>
    </x:row>
    <x:row r="20">
      <x:c r="A20" s="18" t="str">
        <x:v>a parte de cima de animal que inclui as costelas</x:v>
      </x:c>
      <x:c r="B20" s="18" t="str">
        <x:v>kastẽ</x:v>
      </x:c>
      <x:c r="C20" s="19" t="n">
        <x:f>IF(B20="",0,(LEN(B20)-LEN(SUBSTITUTE(B20," | ","")))/3+1)</x:f>
        <x:v>1</x:v>
      </x:c>
      <x:c r="D20" t="str">
        <x:v>a</x:v>
      </x:c>
      <x:c r="E20" t="str">
        <x:v>https://www.webonary.org/marubo/gcbe5e118-86a6-43d9-a668-4946fc9d321e/</x:v>
      </x:c>
      <x:c r="F20" t="str">
        <x:v>g59cb28aa-3e8f-4986-abc5-eb9c05bc8e3e</x:v>
      </x:c>
      <x:c r="G20" s="20" t="n">
        <x:v>46003.934735</x:v>
      </x:c>
    </x:row>
    <x:row r="21">
      <x:c r="A21" s="18" t="str">
        <x:v>a ripa pregada na beira de canoa</x:v>
      </x:c>
      <x:c r="B21" s="18" t="str">
        <x:v>ketãti</x:v>
      </x:c>
      <x:c r="C21" s="19" t="n">
        <x:f>IF(B21="",0,(LEN(B21)-LEN(SUBSTITUTE(B21," | ","")))/3+1)</x:f>
        <x:v>1</x:v>
      </x:c>
      <x:c r="D21" t="str">
        <x:v>a</x:v>
      </x:c>
      <x:c r="E21" t="str">
        <x:v>https://www.webonary.org/marubo/gbc66a7e1-aced-4667-a679-1c0fdd31c4b2/</x:v>
      </x:c>
      <x:c r="F21" t="str">
        <x:v>g99149ec6-a69c-4ce5-b29a-3e026781e272</x:v>
      </x:c>
      <x:c r="G21" s="20" t="n">
        <x:v>46003.934735</x:v>
      </x:c>
    </x:row>
    <x:row r="22">
      <x:c r="A22" s="18" t="str">
        <x:v>abacaba</x:v>
      </x:c>
      <x:c r="B22" s="18" t="str">
        <x:v>kevõ isã</x:v>
      </x:c>
      <x:c r="C22" s="19" t="n">
        <x:f>IF(B22="",0,(LEN(B22)-LEN(SUBSTITUTE(B22," | ","")))/3+1)</x:f>
        <x:v>1</x:v>
      </x:c>
      <x:c r="D22" t="str">
        <x:v>a</x:v>
      </x:c>
      <x:c r="E22" t="str">
        <x:v>https://www.webonary.org/marubo/g80916409-e238-4a30-b4ab-bf6e1bc30fa1/</x:v>
      </x:c>
      <x:c r="F22" t="str">
        <x:v>gd734367f-a0f4-4cbd-b23c-ad643aa2392c</x:v>
      </x:c>
      <x:c r="G22" s="20" t="n">
        <x:v>46003.934735</x:v>
      </x:c>
    </x:row>
    <x:row r="23">
      <x:c r="A23" s="18" t="str">
        <x:v>abacaxi</x:v>
      </x:c>
      <x:c r="B23" s="18" t="str">
        <x:v>kãká</x:v>
      </x:c>
      <x:c r="C23" s="19" t="n">
        <x:f>IF(B23="",0,(LEN(B23)-LEN(SUBSTITUTE(B23," | ","")))/3+1)</x:f>
        <x:v>1</x:v>
      </x:c>
      <x:c r="D23" t="str">
        <x:v>a</x:v>
      </x:c>
      <x:c r="E23" t="str">
        <x:v>https://www.webonary.org/marubo/gda20145f-d282-42ff-99ff-c4e228057892/</x:v>
      </x:c>
      <x:c r="F23" t="str">
        <x:v>g9b17b579-e247-46c4-9adb-749ca0ea6b52</x:v>
      </x:c>
      <x:c r="G23" s="20" t="n">
        <x:v>46003.934735</x:v>
      </x:c>
    </x:row>
    <x:row r="24">
      <x:c r="A24" s="18" t="str">
        <x:v>abandonar</x:v>
      </x:c>
      <x:c r="B24" s="18" t="str">
        <x:v>enéa</x:v>
      </x:c>
      <x:c r="C24" s="19" t="n">
        <x:f>IF(B24="",0,(LEN(B24)-LEN(SUBSTITUTE(B24," | ","")))/3+1)</x:f>
        <x:v>1</x:v>
      </x:c>
      <x:c r="D24" t="str">
        <x:v>a</x:v>
      </x:c>
      <x:c r="E24" t="str">
        <x:v>https://www.webonary.org/marubo/g8cd93321-fc12-4649-af6c-54fc54d1dc3f/</x:v>
      </x:c>
      <x:c r="F24" t="str">
        <x:v>g9c3e45a8-55fa-449a-8165-4ee37355c60b</x:v>
      </x:c>
      <x:c r="G24" s="20" t="n">
        <x:v>46003.934735</x:v>
      </x:c>
    </x:row>
    <x:row r="25">
      <x:c r="A25" s="18" t="str">
        <x:v>abano</x:v>
      </x:c>
      <x:c r="B25" s="18" t="str">
        <x:v>wekoti</x:v>
      </x:c>
      <x:c r="C25" s="19" t="n">
        <x:f>IF(B25="",0,(LEN(B25)-LEN(SUBSTITUTE(B25," | ","")))/3+1)</x:f>
        <x:v>1</x:v>
      </x:c>
      <x:c r="D25" t="str">
        <x:v>a</x:v>
      </x:c>
      <x:c r="E25" t="str">
        <x:v>https://www.webonary.org/marubo/g0d386ab8-5bab-4094-8c19-880608fbfeb5/</x:v>
      </x:c>
      <x:c r="F25" t="str">
        <x:v>g93b2a780-820e-4c13-bb06-fcb96ea11c0d</x:v>
      </x:c>
      <x:c r="G25" s="20" t="n">
        <x:v>46003.934735</x:v>
      </x:c>
    </x:row>
    <x:row r="26">
      <x:c r="A26" s="18" t="str">
        <x:v>abater</x:v>
      </x:c>
      <x:c r="B26" s="18" t="str">
        <x:v>sawé aká</x:v>
      </x:c>
      <x:c r="C26" s="19" t="n">
        <x:f>IF(B26="",0,(LEN(B26)-LEN(SUBSTITUTE(B26," | ","")))/3+1)</x:f>
        <x:v>1</x:v>
      </x:c>
      <x:c r="D26" t="str">
        <x:v>a</x:v>
      </x:c>
      <x:c r="E26" t="str">
        <x:v>https://www.webonary.org/marubo/g5b640b8d-8a9c-497a-b432-b8ca01f1842a/</x:v>
      </x:c>
      <x:c r="F26" t="str">
        <x:v>gf744a001-cc79-44d6-bab0-668a33eac670</x:v>
      </x:c>
      <x:c r="G26" s="20" t="n">
        <x:v>46003.934735</x:v>
      </x:c>
    </x:row>
    <x:row r="27">
      <x:c r="A27" s="18" t="str">
        <x:v>abelha</x:v>
      </x:c>
      <x:c r="B27" s="18" t="str">
        <x:v>samõ | vona | vakõ | 1</x:v>
      </x:c>
      <x:c r="C27" s="19" t="n">
        <x:f>IF(B27="",0,(LEN(B27)-LEN(SUBSTITUTE(B27," | ","")))/3+1)</x:f>
        <x:v>4</x:v>
      </x:c>
      <x:c r="D27" t="str">
        <x:v>a</x:v>
      </x:c>
      <x:c r="E27" t="str">
        <x:v>https://www.webonary.org/marubo/gde1ed921-5619-4327-bfe4-6f88db2e0560/</x:v>
      </x:c>
      <x:c r="F27" t="str">
        <x:v>g3577a474-dd3f-4e5a-8bf1-0edb22a8b9ca</x:v>
      </x:c>
      <x:c r="G27" s="20" t="n">
        <x:v>46003.934735</x:v>
      </x:c>
    </x:row>
    <x:row r="28">
      <x:c r="A28" s="18" t="str">
        <x:v>abiu</x:v>
      </x:c>
      <x:c r="B28" s="18" t="str">
        <x:v>iwi õchĩ</x:v>
      </x:c>
      <x:c r="C28" s="19" t="n">
        <x:f>IF(B28="",0,(LEN(B28)-LEN(SUBSTITUTE(B28," | ","")))/3+1)</x:f>
        <x:v>1</x:v>
      </x:c>
      <x:c r="D28" t="str">
        <x:v>a</x:v>
      </x:c>
      <x:c r="E28" t="str">
        <x:v>https://www.webonary.org/marubo/gcb31e2af-f47e-4ebf-80e6-0ac0394047e1/</x:v>
      </x:c>
      <x:c r="F28" t="str">
        <x:v>g566cf781-4208-42e4-8feb-df37bfac4605</x:v>
      </x:c>
      <x:c r="G28" s="20" t="n">
        <x:v>46003.934735</x:v>
      </x:c>
    </x:row>
    <x:row r="29">
      <x:c r="A29" s="18" t="str">
        <x:v>abobora</x:v>
      </x:c>
      <x:c r="B29" s="18" t="str">
        <x:v>warã</x:v>
      </x:c>
      <x:c r="C29" s="19" t="n">
        <x:f>IF(B29="",0,(LEN(B29)-LEN(SUBSTITUTE(B29," | ","")))/3+1)</x:f>
        <x:v>1</x:v>
      </x:c>
      <x:c r="D29" t="str">
        <x:v>a</x:v>
      </x:c>
      <x:c r="E29" t="str">
        <x:v>https://www.webonary.org/marubo/g2a1a254d-d215-49c1-a159-f1249ab4e75e/</x:v>
      </x:c>
      <x:c r="F29" t="str">
        <x:v>g3d261695-815f-4fd5-9a26-628a5cc21a5f</x:v>
      </x:c>
      <x:c r="G29" s="20" t="n">
        <x:v>46003.934735</x:v>
      </x:c>
    </x:row>
    <x:row r="30">
      <x:c r="A30" s="18" t="str">
        <x:v>aborrecer</x:v>
      </x:c>
      <x:c r="B30" s="18" t="str">
        <x:v>ãtsã</x:v>
      </x:c>
      <x:c r="C30" s="19" t="n">
        <x:f>IF(B30="",0,(LEN(B30)-LEN(SUBSTITUTE(B30," | ","")))/3+1)</x:f>
        <x:v>1</x:v>
      </x:c>
      <x:c r="D30" t="str">
        <x:v>a</x:v>
      </x:c>
      <x:c r="E30" t="str">
        <x:v>https://www.webonary.org/marubo/g5f3f2639-61d9-411f-8533-2153b196ae1b/</x:v>
      </x:c>
      <x:c r="F30" t="str">
        <x:v>g6920e9af-6161-4718-8ceb-fcb39ad1d749</x:v>
      </x:c>
      <x:c r="G30" s="20" t="n">
        <x:v>46003.934735</x:v>
      </x:c>
    </x:row>
    <x:row r="31">
      <x:c r="A31" s="18" t="str">
        <x:v>aborrecido</x:v>
      </x:c>
      <x:c r="B31" s="18" t="str">
        <x:v>ãtsãka</x:v>
      </x:c>
      <x:c r="C31" s="19" t="n">
        <x:f>IF(B31="",0,(LEN(B31)-LEN(SUBSTITUTE(B31," | ","")))/3+1)</x:f>
        <x:v>1</x:v>
      </x:c>
      <x:c r="D31" t="str">
        <x:v>a</x:v>
      </x:c>
      <x:c r="E31" t="str">
        <x:v>https://www.webonary.org/marubo/g8830782e-91e4-44d2-93e0-edec31603fe3/</x:v>
      </x:c>
      <x:c r="F31" t="str">
        <x:v>g09ae0629-81f6-4f8e-ac41-01945875d029</x:v>
      </x:c>
      <x:c r="G31" s="20" t="n">
        <x:v>46003.934735</x:v>
      </x:c>
    </x:row>
    <x:row r="32">
      <x:c r="A32" s="18" t="str">
        <x:v>abracadeira usado na parte superior do braco</x:v>
      </x:c>
      <x:c r="B32" s="18" t="str">
        <x:v>poneshti</x:v>
      </x:c>
      <x:c r="C32" s="19" t="n">
        <x:f>IF(B32="",0,(LEN(B32)-LEN(SUBSTITUTE(B32," | ","")))/3+1)</x:f>
        <x:v>1</x:v>
      </x:c>
      <x:c r="D32" t="str">
        <x:v>a</x:v>
      </x:c>
      <x:c r="E32" t="str">
        <x:v>https://www.webonary.org/marubo/gadbabd81-4101-4ac8-9ea7-93c567edf572/</x:v>
      </x:c>
      <x:c r="F32" t="str">
        <x:v>g68a73ca5-1f30-450e-b2e6-10fa231bf5d2</x:v>
      </x:c>
      <x:c r="G32" s="20" t="n">
        <x:v>46003.934735</x:v>
      </x:c>
    </x:row>
    <x:row r="33">
      <x:c r="A33" s="18" t="str">
        <x:v>abraçar em volta do pescoço</x:v>
      </x:c>
      <x:c r="B33" s="18" t="str">
        <x:v>vosek aká</x:v>
      </x:c>
      <x:c r="C33" s="19" t="n">
        <x:f>IF(B33="",0,(LEN(B33)-LEN(SUBSTITUTE(B33," | ","")))/3+1)</x:f>
        <x:v>1</x:v>
      </x:c>
      <x:c r="D33" t="str">
        <x:v>a</x:v>
      </x:c>
      <x:c r="E33" t="str">
        <x:v>https://www.webonary.org/marubo/gb7fd7be8-f6a1-4e60-a88d-7300ab92625e/</x:v>
      </x:c>
      <x:c r="F33" t="str">
        <x:v>g22a54aef-1802-4b5b-a7da-6142d2f4bddb</x:v>
      </x:c>
      <x:c r="G33" s="20" t="n">
        <x:v>46003.934735</x:v>
      </x:c>
    </x:row>
    <x:row r="34">
      <x:c r="A34" s="18" t="str">
        <x:v>abrir</x:v>
      </x:c>
      <x:c r="B34" s="18" t="str">
        <x:v>vepẽa | kepẽa | achpá aká</x:v>
      </x:c>
      <x:c r="C34" s="19" t="n">
        <x:f>IF(B34="",0,(LEN(B34)-LEN(SUBSTITUTE(B34," | ","")))/3+1)</x:f>
        <x:v>3</x:v>
      </x:c>
      <x:c r="D34" t="str">
        <x:v>a</x:v>
      </x:c>
      <x:c r="E34" t="str">
        <x:v>https://www.webonary.org/marubo/g25229103-d8ab-4ec8-99c0-74c04c8cd5fb/</x:v>
      </x:c>
      <x:c r="F34" t="str">
        <x:v>g20322e07-299a-4154-91d2-e0c57c336d28</x:v>
      </x:c>
      <x:c r="G34" s="20" t="n">
        <x:v>46003.934735</x:v>
      </x:c>
    </x:row>
    <x:row r="35">
      <x:c r="A35" s="18" t="str">
        <x:v>abrir buraco</x:v>
      </x:c>
      <x:c r="B35" s="18" t="str">
        <x:v>toãpá</x:v>
      </x:c>
      <x:c r="C35" s="19" t="n">
        <x:f>IF(B35="",0,(LEN(B35)-LEN(SUBSTITUTE(B35," | ","")))/3+1)</x:f>
        <x:v>1</x:v>
      </x:c>
      <x:c r="D35" t="str">
        <x:v>a</x:v>
      </x:c>
      <x:c r="E35" t="str">
        <x:v>https://www.webonary.org/marubo/g76f0bc7a-e6bc-48e5-bd64-cc839a331c6a/</x:v>
      </x:c>
      <x:c r="F35" t="str">
        <x:v>gee6d5545-6e03-4a45-88b5-34c239da6bd4</x:v>
      </x:c>
      <x:c r="G35" s="20" t="n">
        <x:v>46003.934735</x:v>
      </x:c>
    </x:row>
    <x:row r="36">
      <x:c r="A36" s="18" t="str">
        <x:v>acabar com</x:v>
      </x:c>
      <x:c r="B36" s="18" t="str">
        <x:v>keyoa</x:v>
      </x:c>
      <x:c r="C36" s="19" t="n">
        <x:f>IF(B36="",0,(LEN(B36)-LEN(SUBSTITUTE(B36," | ","")))/3+1)</x:f>
        <x:v>1</x:v>
      </x:c>
      <x:c r="D36" t="str">
        <x:v>a</x:v>
      </x:c>
      <x:c r="E36" t="str">
        <x:v>https://www.webonary.org/marubo/gbe3525e0-7da3-44df-845b-6e5b2b979c6a/</x:v>
      </x:c>
      <x:c r="F36" t="str">
        <x:v>g8d803b3e-5258-452d-81d8-33963a741767</x:v>
      </x:c>
      <x:c r="G36" s="20" t="n">
        <x:v>46003.934735</x:v>
      </x:c>
    </x:row>
    <x:row r="37">
      <x:c r="A37" s="18" t="str">
        <x:v>acabou</x:v>
      </x:c>
      <x:c r="B37" s="18" t="str">
        <x:v>atíse</x:v>
      </x:c>
      <x:c r="C37" s="19" t="n">
        <x:f>IF(B37="",0,(LEN(B37)-LEN(SUBSTITUTE(B37," | ","")))/3+1)</x:f>
        <x:v>1</x:v>
      </x:c>
      <x:c r="D37" t="str">
        <x:v>a</x:v>
      </x:c>
      <x:c r="E37" t="str">
        <x:v>https://www.webonary.org/marubo/g56f3536c-69ef-4a99-b00e-ca7ab66167b7/</x:v>
      </x:c>
      <x:c r="F37" t="str">
        <x:v>g529b3dd8-3c64-454a-b923-e6468c743f1c</x:v>
      </x:c>
      <x:c r="G37" s="20" t="n">
        <x:v>46003.934735</x:v>
      </x:c>
    </x:row>
    <x:row r="38">
      <x:c r="A38" s="18" t="str">
        <x:v>açai</x:v>
      </x:c>
      <x:c r="B38" s="18" t="str">
        <x:v>panã</x:v>
      </x:c>
      <x:c r="C38" s="19" t="n">
        <x:f>IF(B38="",0,(LEN(B38)-LEN(SUBSTITUTE(B38," | ","")))/3+1)</x:f>
        <x:v>1</x:v>
      </x:c>
      <x:c r="D38" t="str">
        <x:v>a</x:v>
      </x:c>
      <x:c r="E38" t="str">
        <x:v>https://www.webonary.org/marubo/gccefed29-5bd9-415c-b4cc-520f8e426201/</x:v>
      </x:c>
      <x:c r="F38" t="str">
        <x:v>g05d4a760-5a4d-448d-90e0-59528b91d315</x:v>
      </x:c>
      <x:c r="G38" s="20" t="n">
        <x:v>46003.934735</x:v>
      </x:c>
    </x:row>
    <x:row r="39">
      <x:c r="A39" s="18" t="str">
        <x:v>acender</x:v>
      </x:c>
      <x:c r="B39" s="18" t="str">
        <x:v>keti méa | ketĩa</x:v>
      </x:c>
      <x:c r="C39" s="19" t="n">
        <x:f>IF(B39="",0,(LEN(B39)-LEN(SUBSTITUTE(B39," | ","")))/3+1)</x:f>
        <x:v>2</x:v>
      </x:c>
      <x:c r="D39" t="str">
        <x:v>a</x:v>
      </x:c>
      <x:c r="E39" t="str">
        <x:v>https://www.webonary.org/marubo/gc93ea135-b65e-4efe-afb5-47fbcfc7b8b9/</x:v>
      </x:c>
      <x:c r="F39" t="str">
        <x:v>g49279bf4-46c4-4e7e-af2f-95a3e3d8895a</x:v>
      </x:c>
      <x:c r="G39" s="20" t="n">
        <x:v>46003.934735</x:v>
      </x:c>
    </x:row>
    <x:row r="40">
      <x:c r="A40" s="18" t="str">
        <x:v>acertar</x:v>
      </x:c>
      <x:c r="B40" s="18" t="str">
        <x:v>meki</x:v>
      </x:c>
      <x:c r="C40" s="19" t="n">
        <x:f>IF(B40="",0,(LEN(B40)-LEN(SUBSTITUTE(B40," | ","")))/3+1)</x:f>
        <x:v>1</x:v>
      </x:c>
      <x:c r="D40" t="str">
        <x:v>a</x:v>
      </x:c>
      <x:c r="E40" t="str">
        <x:v>https://www.webonary.org/marubo/gb87ce36f-d2bf-455f-94f0-5674e102fced/</x:v>
      </x:c>
      <x:c r="F40" t="str">
        <x:v>gd9e6e279-8d02-4d16-8870-3f0fa9f8e768</x:v>
      </x:c>
      <x:c r="G40" s="20" t="n">
        <x:v>46003.934735</x:v>
      </x:c>
    </x:row>
    <x:row r="41">
      <x:c r="A41" s="18" t="str">
        <x:v>achar</x:v>
      </x:c>
      <x:c r="B41" s="18" t="str">
        <x:v>mera</x:v>
      </x:c>
      <x:c r="C41" s="19" t="n">
        <x:f>IF(B41="",0,(LEN(B41)-LEN(SUBSTITUTE(B41," | ","")))/3+1)</x:f>
        <x:v>1</x:v>
      </x:c>
      <x:c r="D41" t="str">
        <x:v>a</x:v>
      </x:c>
      <x:c r="E41" t="str">
        <x:v>https://www.webonary.org/marubo/g4e47a175-8ed2-479b-9ad5-5973ec684be1/</x:v>
      </x:c>
      <x:c r="F41" t="str">
        <x:v>g2c787e92-9402-43a7-8359-025093f33602</x:v>
      </x:c>
      <x:c r="G41" s="20" t="n">
        <x:v>46003.934735</x:v>
      </x:c>
    </x:row>
    <x:row r="42">
      <x:c r="A42" s="18" t="str">
        <x:v>achar alguem</x:v>
      </x:c>
      <x:c r="B42" s="18" t="str">
        <x:v>ii</x:v>
      </x:c>
      <x:c r="C42" s="19" t="n">
        <x:f>IF(B42="",0,(LEN(B42)-LEN(SUBSTITUTE(B42," | ","")))/3+1)</x:f>
        <x:v>1</x:v>
      </x:c>
      <x:c r="D42" t="str">
        <x:v>a</x:v>
      </x:c>
      <x:c r="E42" t="str">
        <x:v>https://www.webonary.org/marubo/gd8a34083-eb47-4579-a007-fa5b9cefb0fc/</x:v>
      </x:c>
      <x:c r="F42" t="str">
        <x:v>gd86573a7-805a-4c03-bcd8-54bb33a4b700</x:v>
      </x:c>
      <x:c r="G42" s="20" t="n">
        <x:v>46003.934735</x:v>
      </x:c>
    </x:row>
    <x:row r="43">
      <x:c r="A43" s="18" t="str">
        <x:v>aconselhar</x:v>
      </x:c>
      <x:c r="B43" s="18" t="str">
        <x:v>esea</x:v>
      </x:c>
      <x:c r="C43" s="19" t="n">
        <x:f>IF(B43="",0,(LEN(B43)-LEN(SUBSTITUTE(B43," | ","")))/3+1)</x:f>
        <x:v>1</x:v>
      </x:c>
      <x:c r="D43" t="str">
        <x:v>a</x:v>
      </x:c>
      <x:c r="E43" t="str">
        <x:v>https://www.webonary.org/marubo/gb5ea9024-b554-45c2-94a4-849b10c3623a/</x:v>
      </x:c>
      <x:c r="F43" t="str">
        <x:v>gb72f31d7-0c08-4eb2-9d31-9bb661c7756b</x:v>
      </x:c>
      <x:c r="G43" s="20" t="n">
        <x:v>46003.934735</x:v>
      </x:c>
    </x:row>
    <x:row r="44">
      <x:c r="A44" s="18" t="str">
        <x:v>acordar</x:v>
      </x:c>
      <x:c r="B44" s="18" t="str">
        <x:v>vesoa</x:v>
      </x:c>
      <x:c r="C44" s="19" t="n">
        <x:f>IF(B44="",0,(LEN(B44)-LEN(SUBSTITUTE(B44," | ","")))/3+1)</x:f>
        <x:v>1</x:v>
      </x:c>
      <x:c r="D44" t="str">
        <x:v>a</x:v>
      </x:c>
      <x:c r="E44" t="str">
        <x:v>https://www.webonary.org/marubo/g0d62fa1d-7bb4-4a06-8d9a-ec6c67ea75e7/</x:v>
      </x:c>
      <x:c r="F44" t="str">
        <x:v>g60f95c17-4734-4a57-996f-de7c3dbaadb6</x:v>
      </x:c>
      <x:c r="G44" s="20" t="n">
        <x:v>46003.934735</x:v>
      </x:c>
    </x:row>
    <x:row r="45">
      <x:c r="A45" s="18" t="str">
        <x:v>acostumado</x:v>
      </x:c>
      <x:c r="B45" s="18" t="str">
        <x:v>kawáya</x:v>
      </x:c>
      <x:c r="C45" s="19" t="n">
        <x:f>IF(B45="",0,(LEN(B45)-LEN(SUBSTITUTE(B45," | ","")))/3+1)</x:f>
        <x:v>1</x:v>
      </x:c>
      <x:c r="D45" t="str">
        <x:v>a</x:v>
      </x:c>
      <x:c r="E45" t="str">
        <x:v>https://www.webonary.org/marubo/g00d450ea-1203-47e0-941f-35e73f9788e9/</x:v>
      </x:c>
      <x:c r="F45" t="str">
        <x:v>g76b9b29e-884f-4624-bb30-0b5a510ef4c7</x:v>
      </x:c>
      <x:c r="G45" s="20" t="n">
        <x:v>46003.934735</x:v>
      </x:c>
    </x:row>
    <x:row r="46">
      <x:c r="A46" s="18" t="str">
        <x:v>acostumar</x:v>
      </x:c>
      <x:c r="B46" s="18" t="str">
        <x:v>kãwá</x:v>
      </x:c>
      <x:c r="C46" s="19" t="n">
        <x:f>IF(B46="",0,(LEN(B46)-LEN(SUBSTITUTE(B46," | ","")))/3+1)</x:f>
        <x:v>1</x:v>
      </x:c>
      <x:c r="D46" t="str">
        <x:v>a</x:v>
      </x:c>
      <x:c r="E46" t="str">
        <x:v>https://www.webonary.org/marubo/g10dc38b7-1d5c-4430-aa46-4b5cfa0f68ef/</x:v>
      </x:c>
      <x:c r="F46" t="str">
        <x:v>g4e23991f-acec-47e7-840e-5864ee8d9baf</x:v>
      </x:c>
      <x:c r="G46" s="20" t="n">
        <x:v>46003.934735</x:v>
      </x:c>
    </x:row>
    <x:row r="47">
      <x:c r="A47" s="18" t="str">
        <x:v>adivinhar</x:v>
      </x:c>
      <x:c r="B47" s="18" t="str">
        <x:v>onã | 1</x:v>
      </x:c>
      <x:c r="C47" s="19" t="n">
        <x:f>IF(B47="",0,(LEN(B47)-LEN(SUBSTITUTE(B47," | ","")))/3+1)</x:f>
        <x:v>2</x:v>
      </x:c>
      <x:c r="D47" t="str">
        <x:v>a</x:v>
      </x:c>
      <x:c r="E47" t="str">
        <x:v>https://www.webonary.org/marubo/g18a38b99-a7a5-4778-8bf6-61d157f2673b/</x:v>
      </x:c>
      <x:c r="F47" t="str">
        <x:v>gd39fa65a-73f8-4bf3-92b4-1b689cebbb43</x:v>
      </x:c>
      <x:c r="G47" s="20" t="n">
        <x:v>46003.934735</x:v>
      </x:c>
    </x:row>
    <x:row r="48">
      <x:c r="A48" s="18" t="str">
        <x:v>ADJZ</x:v>
      </x:c>
      <x:c r="B48" s="18" t="str">
        <x:v>-ka | 1</x:v>
      </x:c>
      <x:c r="C48" s="19" t="n">
        <x:f>IF(B48="",0,(LEN(B48)-LEN(SUBSTITUTE(B48," | ","")))/3+1)</x:f>
        <x:v>2</x:v>
      </x:c>
      <x:c r="D48" t="str">
        <x:v>a</x:v>
      </x:c>
      <x:c r="E48" t="str">
        <x:v>https://www.webonary.org/marubo/gba7d2d6a-59fb-40e8-82e4-1914952c671c/</x:v>
      </x:c>
      <x:c r="F48" t="str">
        <x:v>g8343a0cf-0ba0-4723-b315-83a18d344835</x:v>
      </x:c>
      <x:c r="G48" s="20" t="n">
        <x:v>46003.934735</x:v>
      </x:c>
    </x:row>
    <x:row r="49">
      <x:c r="A49" s="18" t="str">
        <x:v>adorar</x:v>
      </x:c>
      <x:c r="B49" s="18" t="str">
        <x:v>ravia</x:v>
      </x:c>
      <x:c r="C49" s="19" t="n">
        <x:f>IF(B49="",0,(LEN(B49)-LEN(SUBSTITUTE(B49," | ","")))/3+1)</x:f>
        <x:v>1</x:v>
      </x:c>
      <x:c r="D49" t="str">
        <x:v>a</x:v>
      </x:c>
      <x:c r="E49" t="str">
        <x:v>https://www.webonary.org/marubo/gcf790f64-0b39-4792-acef-d4c8e04b1bff/</x:v>
      </x:c>
      <x:c r="F49" t="str">
        <x:v>gd43aa06d-e473-4d8e-a180-839be20835ef</x:v>
      </x:c>
      <x:c r="G49" s="20" t="n">
        <x:v>46003.934735</x:v>
      </x:c>
    </x:row>
    <x:row r="50">
      <x:c r="A50" s="18" t="str">
        <x:v>adquirir</x:v>
      </x:c>
      <x:c r="B50" s="18" t="str">
        <x:v>ivoa</x:v>
      </x:c>
      <x:c r="C50" s="19" t="n">
        <x:f>IF(B50="",0,(LEN(B50)-LEN(SUBSTITUTE(B50," | ","")))/3+1)</x:f>
        <x:v>1</x:v>
      </x:c>
      <x:c r="D50" t="str">
        <x:v>a</x:v>
      </x:c>
      <x:c r="E50" t="str">
        <x:v>https://www.webonary.org/marubo/g8a0f0eca-64c9-4423-ab51-c0a3bcf990f0/</x:v>
      </x:c>
      <x:c r="F50" t="str">
        <x:v>g279c6124-0afb-44b4-af3f-f7f7b1ba19c4</x:v>
      </x:c>
      <x:c r="G50" s="20" t="n">
        <x:v>46003.934735</x:v>
      </x:c>
    </x:row>
    <x:row r="51">
      <x:c r="A51" s="18" t="str">
        <x:v>ADV</x:v>
      </x:c>
      <x:c r="B51" s="18" t="str">
        <x:v>-sho | 3</x:v>
      </x:c>
      <x:c r="C51" s="19" t="n">
        <x:f>IF(B51="",0,(LEN(B51)-LEN(SUBSTITUTE(B51," | ","")))/3+1)</x:f>
        <x:v>2</x:v>
      </x:c>
      <x:c r="D51" t="str">
        <x:v>a</x:v>
      </x:c>
      <x:c r="E51" t="str">
        <x:v>https://www.webonary.org/marubo/ged84c477-2f10-44cc-99be-0a72ee3e8d7e/</x:v>
      </x:c>
      <x:c r="F51" t="str">
        <x:v>g71f77230-6d52-4bb9-9e2b-1e187ff04fc7</x:v>
      </x:c>
      <x:c r="G51" s="20" t="n">
        <x:v>46003.934735</x:v>
      </x:c>
    </x:row>
    <x:row r="52">
      <x:c r="A52" s="18" t="str">
        <x:v>afastar</x:v>
      </x:c>
      <x:c r="B52" s="18" t="str">
        <x:v>txichkéa</x:v>
      </x:c>
      <x:c r="C52" s="19" t="n">
        <x:f>IF(B52="",0,(LEN(B52)-LEN(SUBSTITUTE(B52," | ","")))/3+1)</x:f>
        <x:v>1</x:v>
      </x:c>
      <x:c r="D52" t="str">
        <x:v>a</x:v>
      </x:c>
      <x:c r="E52" t="str">
        <x:v>https://www.webonary.org/marubo/gd68a77e2-081b-4cce-b764-11904d21c187/</x:v>
      </x:c>
      <x:c r="F52" t="str">
        <x:v>gbb1ff152-d940-4ce3-8c60-ed81cd280eff</x:v>
      </x:c>
      <x:c r="G52" s="20" t="n">
        <x:v>46003.934735</x:v>
      </x:c>
    </x:row>
    <x:row r="53">
      <x:c r="A53" s="18" t="str">
        <x:v>afiado</x:v>
      </x:c>
      <x:c r="B53" s="18" t="str">
        <x:v>kewãka</x:v>
      </x:c>
      <x:c r="C53" s="19" t="n">
        <x:f>IF(B53="",0,(LEN(B53)-LEN(SUBSTITUTE(B53," | ","")))/3+1)</x:f>
        <x:v>1</x:v>
      </x:c>
      <x:c r="D53" t="str">
        <x:v>a</x:v>
      </x:c>
      <x:c r="E53" t="str">
        <x:v>https://www.webonary.org/marubo/g4fc0a267-53ad-4f44-9403-d862ace034ac/</x:v>
      </x:c>
      <x:c r="F53" t="str">
        <x:v>gc5fc0eba-d8d0-4896-87ec-49d6f7f43d20</x:v>
      </x:c>
      <x:c r="G53" s="20" t="n">
        <x:v>46003.934735</x:v>
      </x:c>
    </x:row>
    <x:row r="54">
      <x:c r="A54" s="18" t="str">
        <x:v>agachar</x:v>
      </x:c>
      <x:c r="B54" s="18" t="str">
        <x:v>tsirasme iná | tsirase mea | rãtí ipá</x:v>
      </x:c>
      <x:c r="C54" s="19" t="n">
        <x:f>IF(B54="",0,(LEN(B54)-LEN(SUBSTITUTE(B54," | ","")))/3+1)</x:f>
        <x:v>3</x:v>
      </x:c>
      <x:c r="D54" t="str">
        <x:v>a</x:v>
      </x:c>
      <x:c r="E54" t="str">
        <x:v>https://www.webonary.org/marubo/g90748e54-1a0e-422e-8fb4-d6cc4b19fe67/</x:v>
      </x:c>
      <x:c r="F54" t="str">
        <x:v>g6e5866e3-dfe3-4b0a-9c63-3981f17aeb33</x:v>
      </x:c>
      <x:c r="G54" s="20" t="n">
        <x:v>46003.934735</x:v>
      </x:c>
    </x:row>
    <x:row r="55">
      <x:c r="A55" s="18" t="str">
        <x:v>agasalho</x:v>
      </x:c>
      <x:c r="B55" s="18" t="str">
        <x:v>matsi õpo</x:v>
      </x:c>
      <x:c r="C55" s="19" t="n">
        <x:f>IF(B55="",0,(LEN(B55)-LEN(SUBSTITUTE(B55," | ","")))/3+1)</x:f>
        <x:v>1</x:v>
      </x:c>
      <x:c r="D55" t="str">
        <x:v>a</x:v>
      </x:c>
      <x:c r="E55" t="str">
        <x:v>https://www.webonary.org/marubo/g1b9146a5-3437-4dc5-8531-4174c060cd26/</x:v>
      </x:c>
      <x:c r="F55" t="str">
        <x:v>g4205b56d-756f-4971-a035-52f8440317fe</x:v>
      </x:c>
      <x:c r="G55" s="20" t="n">
        <x:v>46003.934735</x:v>
      </x:c>
    </x:row>
    <x:row r="56">
      <x:c r="A56" s="18" t="str">
        <x:v>agora</x:v>
      </x:c>
      <x:c r="B56" s="18" t="str">
        <x:v>rama</x:v>
      </x:c>
      <x:c r="C56" s="19" t="n">
        <x:f>IF(B56="",0,(LEN(B56)-LEN(SUBSTITUTE(B56," | ","")))/3+1)</x:f>
        <x:v>1</x:v>
      </x:c>
      <x:c r="D56" t="str">
        <x:v>a</x:v>
      </x:c>
      <x:c r="E56" t="str">
        <x:v>https://www.webonary.org/marubo/g67d05de2-000b-46b8-8b80-b608f45d4efc/</x:v>
      </x:c>
      <x:c r="F56" t="str">
        <x:v>g180ccc1e-c5e1-4bee-9d5a-ecbbc2ca3839</x:v>
      </x:c>
      <x:c r="G56" s="20" t="n">
        <x:v>46003.93474337963</x:v>
      </x:c>
    </x:row>
    <x:row r="57">
      <x:c r="A57" s="18" t="str">
        <x:v>agrupado</x:v>
      </x:c>
      <x:c r="B57" s="18" t="str">
        <x:v>võtoka</x:v>
      </x:c>
      <x:c r="C57" s="19" t="n">
        <x:f>IF(B57="",0,(LEN(B57)-LEN(SUBSTITUTE(B57," | ","")))/3+1)</x:f>
        <x:v>1</x:v>
      </x:c>
      <x:c r="D57" t="str">
        <x:v>a</x:v>
      </x:c>
      <x:c r="E57" t="str">
        <x:v>https://www.webonary.org/marubo/g06c5379e-c095-4cd7-ba52-7cc4ee1bf4dc/</x:v>
      </x:c>
      <x:c r="F57" t="str">
        <x:v>gdb7f36d4-1e0e-4bad-bca0-c51df897d009</x:v>
      </x:c>
      <x:c r="G57" s="20" t="n">
        <x:v>46003.93474337963</x:v>
      </x:c>
    </x:row>
    <x:row r="58">
      <x:c r="A58" s="18" t="str">
        <x:v>agua</x:v>
      </x:c>
      <x:c r="B58" s="18" t="str">
        <x:v>wakapasha</x:v>
      </x:c>
      <x:c r="C58" s="19" t="n">
        <x:f>IF(B58="",0,(LEN(B58)-LEN(SUBSTITUTE(B58," | ","")))/3+1)</x:f>
        <x:v>1</x:v>
      </x:c>
      <x:c r="D58" t="str">
        <x:v>a</x:v>
      </x:c>
      <x:c r="E58" t="str">
        <x:v>https://www.webonary.org/marubo/gbe528c0d-a45c-4771-b3d6-81fe4f7543bb/</x:v>
      </x:c>
      <x:c r="F58" t="str">
        <x:v>gb46cb34f-1749-4a55-9200-0795521ab8a7</x:v>
      </x:c>
      <x:c r="G58" s="20" t="n">
        <x:v>46003.93474337963</x:v>
      </x:c>
    </x:row>
    <x:row r="59">
      <x:c r="A59" s="18" t="str">
        <x:v>água oleósa</x:v>
      </x:c>
      <x:c r="B59" s="18" t="str">
        <x:v>veséska</x:v>
      </x:c>
      <x:c r="C59" s="19" t="n">
        <x:f>IF(B59="",0,(LEN(B59)-LEN(SUBSTITUTE(B59," | ","")))/3+1)</x:f>
        <x:v>1</x:v>
      </x:c>
      <x:c r="D59" t="str">
        <x:v>a</x:v>
      </x:c>
      <x:c r="E59" t="str">
        <x:v>https://www.webonary.org/marubo/gc73e0cb3-d9ea-4b24-8cbf-1a0c51c5e6c7/</x:v>
      </x:c>
      <x:c r="F59" t="str">
        <x:v>ga9e357cd-1b65-4eb4-aaba-830a97fc4310</x:v>
      </x:c>
      <x:c r="G59" s="20" t="n">
        <x:v>46003.93474337963</x:v>
      </x:c>
    </x:row>
    <x:row r="60">
      <x:c r="A60" s="18" t="str">
        <x:v>aguado</x:v>
      </x:c>
      <x:c r="B60" s="18" t="str">
        <x:v>toshapáka</x:v>
      </x:c>
      <x:c r="C60" s="19" t="n">
        <x:f>IF(B60="",0,(LEN(B60)-LEN(SUBSTITUTE(B60," | ","")))/3+1)</x:f>
        <x:v>1</x:v>
      </x:c>
      <x:c r="D60" t="str">
        <x:v>a</x:v>
      </x:c>
      <x:c r="E60" t="str">
        <x:v>https://www.webonary.org/marubo/g6a9cbf16-0aaf-4640-8974-e267465f010b/</x:v>
      </x:c>
      <x:c r="F60" t="str">
        <x:v>gefa7be82-f4ce-4b73-bbb9-13b34cfbfdf2</x:v>
      </x:c>
      <x:c r="G60" s="20" t="n">
        <x:v>46003.93474337963</x:v>
      </x:c>
    </x:row>
    <x:row r="61">
      <x:c r="A61" s="18" t="str">
        <x:v>agulha</x:v>
      </x:c>
      <x:c r="B61" s="18" t="str">
        <x:v>sheo</x:v>
      </x:c>
      <x:c r="C61" s="19" t="n">
        <x:f>IF(B61="",0,(LEN(B61)-LEN(SUBSTITUTE(B61," | ","")))/3+1)</x:f>
        <x:v>1</x:v>
      </x:c>
      <x:c r="D61" t="str">
        <x:v>a</x:v>
      </x:c>
      <x:c r="E61" t="str">
        <x:v>https://www.webonary.org/marubo/ga0d19455-88d1-49bf-8ffa-0f5622310dc0/</x:v>
      </x:c>
      <x:c r="F61" t="str">
        <x:v>ge1ef2322-a254-4ab2-9a1c-3e064123a054</x:v>
      </x:c>
      <x:c r="G61" s="20" t="n">
        <x:v>46003.93474337963</x:v>
      </x:c>
    </x:row>
    <x:row r="62">
      <x:c r="A62" s="18" t="str">
        <x:v>aí</x:v>
      </x:c>
      <x:c r="B62" s="18" t="str">
        <x:v>ano | 2</x:v>
      </x:c>
      <x:c r="C62" s="19" t="n">
        <x:f>IF(B62="",0,(LEN(B62)-LEN(SUBSTITUTE(B62," | ","")))/3+1)</x:f>
        <x:v>2</x:v>
      </x:c>
      <x:c r="D62" t="str">
        <x:v>a</x:v>
      </x:c>
      <x:c r="E62" t="str">
        <x:v>https://www.webonary.org/marubo/g5a0586a3-2a6c-48f9-ba18-ce1a006de727/</x:v>
      </x:c>
      <x:c r="F62" t="str">
        <x:v>g6439d39d-7ccf-4a24-88f6-d592cea56bcd</x:v>
      </x:c>
      <x:c r="G62" s="20" t="n">
        <x:v>46003.93474337963</x:v>
      </x:c>
    </x:row>
    <x:row r="63">
      <x:c r="A63" s="18" t="str">
        <x:v>ajudar</x:v>
      </x:c>
      <x:c r="B63" s="18" t="str">
        <x:v>take aká</x:v>
      </x:c>
      <x:c r="C63" s="19" t="n">
        <x:f>IF(B63="",0,(LEN(B63)-LEN(SUBSTITUTE(B63," | ","")))/3+1)</x:f>
        <x:v>1</x:v>
      </x:c>
      <x:c r="D63" t="str">
        <x:v>a</x:v>
      </x:c>
      <x:c r="E63" t="str">
        <x:v>https://www.webonary.org/marubo/g9b130c84-7dd9-4b8a-98c4-757ec911ed3b/</x:v>
      </x:c>
      <x:c r="F63" t="str">
        <x:v>g532d2d7b-ee66-4f5c-b0ee-ef343bc0acff</x:v>
      </x:c>
      <x:c r="G63" s="20" t="n">
        <x:v>46003.93474337963</x:v>
      </x:c>
    </x:row>
    <x:row r="64">
      <x:c r="A64" s="18" t="str">
        <x:v>alça</x:v>
      </x:c>
      <x:c r="B64" s="18" t="str">
        <x:v>pako</x:v>
      </x:c>
      <x:c r="C64" s="19" t="n">
        <x:f>IF(B64="",0,(LEN(B64)-LEN(SUBSTITUTE(B64," | ","")))/3+1)</x:f>
        <x:v>1</x:v>
      </x:c>
      <x:c r="D64" t="str">
        <x:v>a</x:v>
      </x:c>
      <x:c r="E64" t="str">
        <x:v>https://www.webonary.org/marubo/g6b50f789-b2b6-48d6-9f97-5e8adaab9e9f/</x:v>
      </x:c>
      <x:c r="F64" t="str">
        <x:v>gf2d9fd52-7664-4c77-9c1a-805b16b58717</x:v>
      </x:c>
      <x:c r="G64" s="20" t="n">
        <x:v>46003.93474337963</x:v>
      </x:c>
    </x:row>
    <x:row r="65">
      <x:c r="A65" s="18" t="str">
        <x:v>aldeia</x:v>
      </x:c>
      <x:c r="B65" s="18" t="str">
        <x:v>shavá</x:v>
      </x:c>
      <x:c r="C65" s="19" t="n">
        <x:f>IF(B65="",0,(LEN(B65)-LEN(SUBSTITUTE(B65," | ","")))/3+1)</x:f>
        <x:v>1</x:v>
      </x:c>
      <x:c r="D65" t="str">
        <x:v>a</x:v>
      </x:c>
      <x:c r="E65" t="str">
        <x:v>https://www.webonary.org/marubo/gffd3c4c9-bf8d-4794-b4aa-db58785d05b6/</x:v>
      </x:c>
      <x:c r="F65" t="str">
        <x:v>g615de5e2-e2f0-4cba-a049-028307451932</x:v>
      </x:c>
      <x:c r="G65" s="20" t="n">
        <x:v>46003.93474337963</x:v>
      </x:c>
    </x:row>
    <x:row r="66">
      <x:c r="A66" s="18" t="str">
        <x:v>alegre</x:v>
      </x:c>
      <x:c r="B66" s="18" t="str">
        <x:v>mekía</x:v>
      </x:c>
      <x:c r="C66" s="19" t="n">
        <x:f>IF(B66="",0,(LEN(B66)-LEN(SUBSTITUTE(B66," | ","")))/3+1)</x:f>
        <x:v>1</x:v>
      </x:c>
      <x:c r="D66" t="str">
        <x:v>a</x:v>
      </x:c>
      <x:c r="E66" t="str">
        <x:v>https://www.webonary.org/marubo/g0d15c9df-1034-4876-8d9e-4aa8f2875518/</x:v>
      </x:c>
      <x:c r="F66" t="str">
        <x:v>g8ecb0d76-787b-4ceb-b54b-88f005d8669c</x:v>
      </x:c>
      <x:c r="G66" s="20" t="n">
        <x:v>46003.93474337963</x:v>
      </x:c>
    </x:row>
    <x:row r="67">
      <x:c r="A67" s="18" t="str">
        <x:v>aleijado</x:v>
      </x:c>
      <x:c r="B67" s="18" t="str">
        <x:v>txãto</x:v>
      </x:c>
      <x:c r="C67" s="19" t="n">
        <x:f>IF(B67="",0,(LEN(B67)-LEN(SUBSTITUTE(B67," | ","")))/3+1)</x:f>
        <x:v>1</x:v>
      </x:c>
      <x:c r="D67" t="str">
        <x:v>a</x:v>
      </x:c>
      <x:c r="E67" t="str">
        <x:v>https://www.webonary.org/marubo/gbe0df28f-448d-49fb-be8e-6b08a342c243/</x:v>
      </x:c>
      <x:c r="F67" t="str">
        <x:v>gd8da990a-295b-481a-a0c6-2530ae817d3c</x:v>
      </x:c>
      <x:c r="G67" s="20" t="n">
        <x:v>46003.93474337963</x:v>
      </x:c>
    </x:row>
    <x:row r="68">
      <x:c r="A68" s="18" t="str">
        <x:v>algemar</x:v>
      </x:c>
      <x:c r="B68" s="18" t="str">
        <x:v>peshtóa</x:v>
      </x:c>
      <x:c r="C68" s="19" t="n">
        <x:f>IF(B68="",0,(LEN(B68)-LEN(SUBSTITUTE(B68," | ","")))/3+1)</x:f>
        <x:v>1</x:v>
      </x:c>
      <x:c r="D68" t="str">
        <x:v>a</x:v>
      </x:c>
      <x:c r="E68" t="str">
        <x:v>https://www.webonary.org/marubo/g43737810-fb51-4e41-b51e-5481b66fd4d8/</x:v>
      </x:c>
      <x:c r="F68" t="str">
        <x:v>g8cfb96c9-cc73-4bab-98e1-b842fb333781</x:v>
      </x:c>
      <x:c r="G68" s="20" t="n">
        <x:v>46003.93474337963</x:v>
      </x:c>
    </x:row>
    <x:row r="69">
      <x:c r="A69" s="18" t="str">
        <x:v>algo que é usado para cobrir</x:v>
      </x:c>
      <x:c r="B69" s="18" t="str">
        <x:v>pãteti</x:v>
      </x:c>
      <x:c r="C69" s="19" t="n">
        <x:f>IF(B69="",0,(LEN(B69)-LEN(SUBSTITUTE(B69," | ","")))/3+1)</x:f>
        <x:v>1</x:v>
      </x:c>
      <x:c r="D69" t="str">
        <x:v>a</x:v>
      </x:c>
      <x:c r="E69" t="str">
        <x:v>https://www.webonary.org/marubo/g121ea82a-07d6-4e0d-8b78-97c3f2fdb7ea/</x:v>
      </x:c>
      <x:c r="F69" t="str">
        <x:v>g8a2dd882-433a-4e1f-924e-175a92f00c75</x:v>
      </x:c>
      <x:c r="G69" s="20" t="n">
        <x:v>46003.93474337963</x:v>
      </x:c>
    </x:row>
    <x:row r="70">
      <x:c r="A70" s="18" t="str">
        <x:v>alguma coisa ruim acontecer</x:v>
      </x:c>
      <x:c r="B70" s="18" t="str">
        <x:v>ichnaki pakéa</x:v>
      </x:c>
      <x:c r="C70" s="19" t="n">
        <x:f>IF(B70="",0,(LEN(B70)-LEN(SUBSTITUTE(B70," | ","")))/3+1)</x:f>
        <x:v>1</x:v>
      </x:c>
      <x:c r="D70" t="str">
        <x:v>a</x:v>
      </x:c>
      <x:c r="E70" t="str">
        <x:v>https://www.webonary.org/marubo/ga065e079-87a1-4244-9984-47b51ac42c7a/</x:v>
      </x:c>
      <x:c r="F70" t="str">
        <x:v>gdc20f2cc-9a42-4fb8-aa5a-46f5b963a08c</x:v>
      </x:c>
      <x:c r="G70" s="20" t="n">
        <x:v>46003.93474337963</x:v>
      </x:c>
    </x:row>
    <x:row r="71">
      <x:c r="A71" s="18" t="str">
        <x:v>ali</x:v>
      </x:c>
      <x:c r="B71" s="18" t="str">
        <x:v>ari | 1 | ono | 2</x:v>
      </x:c>
      <x:c r="C71" s="19" t="n">
        <x:f>IF(B71="",0,(LEN(B71)-LEN(SUBSTITUTE(B71," | ","")))/3+1)</x:f>
        <x:v>4</x:v>
      </x:c>
      <x:c r="D71" t="str">
        <x:v>a</x:v>
      </x:c>
      <x:c r="E71" t="str">
        <x:v>https://www.webonary.org/marubo/g6bbf4d07-361b-47b2-b585-dd5f62d50749/</x:v>
      </x:c>
      <x:c r="F71" t="str">
        <x:v>g75e3cdcf-b58a-4ea6-b417-126e0d6dedaa</x:v>
      </x:c>
      <x:c r="G71" s="20" t="n">
        <x:v>46003.93474337963</x:v>
      </x:c>
    </x:row>
    <x:row r="72">
      <x:c r="A72" s="18" t="str">
        <x:v>alma</x:v>
      </x:c>
      <x:c r="B72" s="18" t="str">
        <x:v>vaká</x:v>
      </x:c>
      <x:c r="C72" s="19" t="n">
        <x:f>IF(B72="",0,(LEN(B72)-LEN(SUBSTITUTE(B72," | ","")))/3+1)</x:f>
        <x:v>1</x:v>
      </x:c>
      <x:c r="D72" t="str">
        <x:v>a</x:v>
      </x:c>
      <x:c r="E72" t="str">
        <x:v>https://www.webonary.org/marubo/g3106b296-9f82-4e63-a850-feb3db3d6296/</x:v>
      </x:c>
      <x:c r="F72" t="str">
        <x:v>g6cd291e3-d9e5-49c5-bd6a-be954fcc579c</x:v>
      </x:c>
      <x:c r="G72" s="20" t="n">
        <x:v>46003.93474337963</x:v>
      </x:c>
    </x:row>
    <x:row r="73">
      <x:c r="A73" s="18" t="str">
        <x:v>alto</x:v>
      </x:c>
      <x:c r="B73" s="18" t="str">
        <x:v>keyáka</x:v>
      </x:c>
      <x:c r="C73" s="19" t="n">
        <x:f>IF(B73="",0,(LEN(B73)-LEN(SUBSTITUTE(B73," | ","")))/3+1)</x:f>
        <x:v>1</x:v>
      </x:c>
      <x:c r="D73" t="str">
        <x:v>a</x:v>
      </x:c>
      <x:c r="E73" t="str">
        <x:v>https://www.webonary.org/marubo/g0ff87259-6b5a-4962-b0e6-08e8abcd8e7d/</x:v>
      </x:c>
      <x:c r="F73" t="str">
        <x:v>gb3180026-5e96-4284-961e-c0db8693d26c</x:v>
      </x:c>
      <x:c r="G73" s="20" t="n">
        <x:v>46003.93474337963</x:v>
      </x:c>
    </x:row>
    <x:row r="74">
      <x:c r="A74" s="18" t="str">
        <x:v>amaldiçoar</x:v>
      </x:c>
      <x:c r="B74" s="18" t="str">
        <x:v>romẽa</x:v>
      </x:c>
      <x:c r="C74" s="19" t="n">
        <x:f>IF(B74="",0,(LEN(B74)-LEN(SUBSTITUTE(B74," | ","")))/3+1)</x:f>
        <x:v>1</x:v>
      </x:c>
      <x:c r="D74" t="str">
        <x:v>a</x:v>
      </x:c>
      <x:c r="E74" t="str">
        <x:v>https://www.webonary.org/marubo/g1a08ddb6-ca5f-4436-8d4a-aa2cb5c3469d/</x:v>
      </x:c>
      <x:c r="F74" t="str">
        <x:v>g0207b620-284a-4202-875f-d70fa8114d14</x:v>
      </x:c>
      <x:c r="G74" s="20" t="n">
        <x:v>46003.93474337963</x:v>
      </x:c>
    </x:row>
    <x:row r="75">
      <x:c r="A75" s="18" t="str">
        <x:v>amanhã</x:v>
      </x:c>
      <x:c r="B75" s="18" t="str">
        <x:v>shaváma</x:v>
      </x:c>
      <x:c r="C75" s="19" t="n">
        <x:f>IF(B75="",0,(LEN(B75)-LEN(SUBSTITUTE(B75," | ","")))/3+1)</x:f>
        <x:v>1</x:v>
      </x:c>
      <x:c r="D75" t="str">
        <x:v>a</x:v>
      </x:c>
      <x:c r="E75" t="str">
        <x:v>https://www.webonary.org/marubo/g515bdc5a-4305-4d19-8aed-3883f447be58/</x:v>
      </x:c>
      <x:c r="F75" t="str">
        <x:v>g3015831f-86fa-4fe3-a2a3-f3fa8d1c0539</x:v>
      </x:c>
      <x:c r="G75" s="20" t="n">
        <x:v>46003.93474337963</x:v>
      </x:c>
    </x:row>
    <x:row r="76">
      <x:c r="A76" s="18" t="str">
        <x:v>amanhecer</x:v>
      </x:c>
      <x:c r="B76" s="18" t="str">
        <x:v>shavákarãa</x:v>
      </x:c>
      <x:c r="C76" s="19" t="n">
        <x:f>IF(B76="",0,(LEN(B76)-LEN(SUBSTITUTE(B76," | ","")))/3+1)</x:f>
        <x:v>1</x:v>
      </x:c>
      <x:c r="D76" t="str">
        <x:v>a</x:v>
      </x:c>
      <x:c r="E76" t="str">
        <x:v>https://www.webonary.org/marubo/g83f7fbda-395e-4479-9749-c7884f9e0651/</x:v>
      </x:c>
      <x:c r="F76" t="str">
        <x:v>g1aff22cb-c6f9-4780-8374-4574d22a8e29</x:v>
      </x:c>
      <x:c r="G76" s="20" t="n">
        <x:v>46003.93474337963</x:v>
      </x:c>
    </x:row>
    <x:row r="77">
      <x:c r="A77" s="18" t="str">
        <x:v>amargo</x:v>
      </x:c>
      <x:c r="B77" s="18" t="str">
        <x:v>tsimoka | mokaka</x:v>
      </x:c>
      <x:c r="C77" s="19" t="n">
        <x:f>IF(B77="",0,(LEN(B77)-LEN(SUBSTITUTE(B77," | ","")))/3+1)</x:f>
        <x:v>2</x:v>
      </x:c>
      <x:c r="D77" t="str">
        <x:v>a</x:v>
      </x:c>
      <x:c r="E77" t="str">
        <x:v>https://www.webonary.org/marubo/gf0aaa587-ece6-4739-9a11-7dbdd98beeff/</x:v>
      </x:c>
      <x:c r="F77" t="str">
        <x:v>g9b170d0d-8e90-4b0d-88ca-21f631e29d3d</x:v>
      </x:c>
      <x:c r="G77" s="20" t="n">
        <x:v>46003.93474337963</x:v>
      </x:c>
    </x:row>
    <x:row r="78">
      <x:c r="A78" s="18" t="str">
        <x:v>amarrado</x:v>
      </x:c>
      <x:c r="B78" s="18" t="str">
        <x:v>tesketeskea</x:v>
      </x:c>
      <x:c r="C78" s="19" t="n">
        <x:f>IF(B78="",0,(LEN(B78)-LEN(SUBSTITUTE(B78," | ","")))/3+1)</x:f>
        <x:v>1</x:v>
      </x:c>
      <x:c r="D78" t="str">
        <x:v>a</x:v>
      </x:c>
      <x:c r="E78" t="str">
        <x:v>https://www.webonary.org/marubo/g630a75e1-a4e6-4bbd-a538-7f3a6d6f0c62/</x:v>
      </x:c>
      <x:c r="F78" t="str">
        <x:v>g64421482-7002-415a-b79b-c020960db54b</x:v>
      </x:c>
      <x:c r="G78" s="20" t="n">
        <x:v>46003.93474337963</x:v>
      </x:c>
    </x:row>
    <x:row r="79">
      <x:c r="A79" s="18" t="str">
        <x:v>amarrado por parte de cima</x:v>
      </x:c>
      <x:c r="B79" s="18" t="str">
        <x:v>voshéa</x:v>
      </x:c>
      <x:c r="C79" s="19" t="n">
        <x:f>IF(B79="",0,(LEN(B79)-LEN(SUBSTITUTE(B79," | ","")))/3+1)</x:f>
        <x:v>1</x:v>
      </x:c>
      <x:c r="D79" t="str">
        <x:v>a</x:v>
      </x:c>
      <x:c r="E79" t="str">
        <x:v>https://www.webonary.org/marubo/g37f4fbdd-4120-4ffb-b0a7-e4c2c4d2dbf7/</x:v>
      </x:c>
      <x:c r="F79" t="str">
        <x:v>g381856e7-6d1c-4708-80c2-94e4c2970378</x:v>
      </x:c>
      <x:c r="G79" s="20" t="n">
        <x:v>46003.93474337963</x:v>
      </x:c>
    </x:row>
    <x:row r="80">
      <x:c r="A80" s="18" t="str">
        <x:v>amarrar</x:v>
      </x:c>
      <x:c r="B80" s="18" t="str">
        <x:v>nesha</x:v>
      </x:c>
      <x:c r="C80" s="19" t="n">
        <x:f>IF(B80="",0,(LEN(B80)-LEN(SUBSTITUTE(B80," | ","")))/3+1)</x:f>
        <x:v>1</x:v>
      </x:c>
      <x:c r="D80" t="str">
        <x:v>a</x:v>
      </x:c>
      <x:c r="E80" t="str">
        <x:v>https://www.webonary.org/marubo/gdad68801-da15-41d8-ad53-d386e0fc647c/</x:v>
      </x:c>
      <x:c r="F80" t="str">
        <x:v>g2e59fc2a-1635-458d-8b59-659f3e1b8981</x:v>
      </x:c>
      <x:c r="G80" s="20" t="n">
        <x:v>46003.93474337963</x:v>
      </x:c>
    </x:row>
    <x:row r="81">
      <x:c r="A81" s="18" t="str">
        <x:v>amarrar em voltar</x:v>
      </x:c>
      <x:c r="B81" s="18" t="str">
        <x:v>yapóte mea | yapóte aká</x:v>
      </x:c>
      <x:c r="C81" s="19" t="n">
        <x:f>IF(B81="",0,(LEN(B81)-LEN(SUBSTITUTE(B81," | ","")))/3+1)</x:f>
        <x:v>2</x:v>
      </x:c>
      <x:c r="D81" t="str">
        <x:v>a</x:v>
      </x:c>
      <x:c r="E81" t="str">
        <x:v>https://www.webonary.org/marubo/g92a68898-52ed-46db-b473-13167eea3c2b/</x:v>
      </x:c>
      <x:c r="F81" t="str">
        <x:v>g9c50fd53-7c00-451d-94b7-9053cf48787a</x:v>
      </x:c>
      <x:c r="G81" s="20" t="n">
        <x:v>46003.93474337963</x:v>
      </x:c>
    </x:row>
    <x:row r="82">
      <x:c r="A82" s="18" t="str">
        <x:v>amarrar por parte de cima</x:v>
      </x:c>
      <x:c r="B82" s="18" t="str">
        <x:v>voshea</x:v>
      </x:c>
      <x:c r="C82" s="19" t="n">
        <x:f>IF(B82="",0,(LEN(B82)-LEN(SUBSTITUTE(B82," | ","")))/3+1)</x:f>
        <x:v>1</x:v>
      </x:c>
      <x:c r="D82" t="str">
        <x:v>a</x:v>
      </x:c>
      <x:c r="E82" t="str">
        <x:v>https://www.webonary.org/marubo/g75149fd0-3a54-44b6-8d92-0ba70ed9966f/</x:v>
      </x:c>
      <x:c r="F82" t="str">
        <x:v>gd692b50a-c068-4387-8f5a-eb4cd8e9105a</x:v>
      </x:c>
      <x:c r="G82" s="20" t="n">
        <x:v>46003.93474337963</x:v>
      </x:c>
    </x:row>
    <x:row r="83">
      <x:c r="A83" s="18" t="str">
        <x:v>amassado</x:v>
      </x:c>
      <x:c r="B83" s="18" t="str">
        <x:v>txomíka</x:v>
      </x:c>
      <x:c r="C83" s="19" t="n">
        <x:f>IF(B83="",0,(LEN(B83)-LEN(SUBSTITUTE(B83," | ","")))/3+1)</x:f>
        <x:v>1</x:v>
      </x:c>
      <x:c r="D83" t="str">
        <x:v>a</x:v>
      </x:c>
      <x:c r="E83" t="str">
        <x:v>https://www.webonary.org/marubo/ge92cd614-d9b6-40ed-b339-80a0eb288b90/</x:v>
      </x:c>
      <x:c r="F83" t="str">
        <x:v>g086f9d1b-a595-4762-8cbf-7d2476f1ca66</x:v>
      </x:c>
      <x:c r="G83" s="20" t="n">
        <x:v>46003.93474337963</x:v>
      </x:c>
    </x:row>
    <x:row r="84">
      <x:c r="A84" s="18" t="str">
        <x:v>amendoim</x:v>
      </x:c>
      <x:c r="B84" s="18" t="str">
        <x:v>manĩ</x:v>
      </x:c>
      <x:c r="C84" s="19" t="n">
        <x:f>IF(B84="",0,(LEN(B84)-LEN(SUBSTITUTE(B84," | ","")))/3+1)</x:f>
        <x:v>1</x:v>
      </x:c>
      <x:c r="D84" t="str">
        <x:v>a</x:v>
      </x:c>
      <x:c r="E84" t="str">
        <x:v>https://www.webonary.org/marubo/g582f3af2-540f-4422-b688-467620310785/</x:v>
      </x:c>
      <x:c r="F84" t="str">
        <x:v>ga07c1915-5db5-408a-b149-95c3c5a79193</x:v>
      </x:c>
      <x:c r="G84" s="20" t="n">
        <x:v>46003.93474337963</x:v>
      </x:c>
    </x:row>
    <x:row r="85">
      <x:c r="A85" s="18" t="str">
        <x:v>amigo</x:v>
      </x:c>
      <x:c r="B85" s="18" t="str">
        <x:v>avé takéa</x:v>
      </x:c>
      <x:c r="C85" s="19" t="n">
        <x:f>IF(B85="",0,(LEN(B85)-LEN(SUBSTITUTE(B85," | ","")))/3+1)</x:f>
        <x:v>1</x:v>
      </x:c>
      <x:c r="D85" t="str">
        <x:v>a</x:v>
      </x:c>
      <x:c r="E85" t="str">
        <x:v>https://www.webonary.org/marubo/g8f89cb91-b942-4b64-97b3-94dac31ae825/</x:v>
      </x:c>
      <x:c r="F85" t="str">
        <x:v>ge79f32a6-ec8b-4668-82b1-df7ebddbcde3</x:v>
      </x:c>
      <x:c r="G85" s="20" t="n">
        <x:v>46003.93474337963</x:v>
      </x:c>
    </x:row>
    <x:row r="86">
      <x:c r="A86" s="18" t="str">
        <x:v>amolado</x:v>
      </x:c>
      <x:c r="B86" s="18" t="str">
        <x:v>kewãka</x:v>
      </x:c>
      <x:c r="C86" s="19" t="n">
        <x:f>IF(B86="",0,(LEN(B86)-LEN(SUBSTITUTE(B86," | ","")))/3+1)</x:f>
        <x:v>1</x:v>
      </x:c>
      <x:c r="D86" t="str">
        <x:v>a</x:v>
      </x:c>
      <x:c r="E86" t="str">
        <x:v>https://www.webonary.org/marubo/g4fc0a267-53ad-4f44-9403-d862ace034ac/</x:v>
      </x:c>
      <x:c r="F86" t="str">
        <x:v>g3c2e4149-fb7d-44a7-815b-1c75303b48bc</x:v>
      </x:c>
      <x:c r="G86" s="20" t="n">
        <x:v>46003.93474337963</x:v>
      </x:c>
    </x:row>
    <x:row r="87">
      <x:c r="A87" s="18" t="str">
        <x:v>amolar</x:v>
      </x:c>
      <x:c r="B87" s="18" t="str">
        <x:v>kewã aká</x:v>
      </x:c>
      <x:c r="C87" s="19" t="n">
        <x:f>IF(B87="",0,(LEN(B87)-LEN(SUBSTITUTE(B87," | ","")))/3+1)</x:f>
        <x:v>1</x:v>
      </x:c>
      <x:c r="D87" t="str">
        <x:v>a</x:v>
      </x:c>
      <x:c r="E87" t="str">
        <x:v>https://www.webonary.org/marubo/g68ee07b5-8064-46ef-840d-45671e729f8d/</x:v>
      </x:c>
      <x:c r="F87" t="str">
        <x:v>gcf9cdeea-e2d9-4cd6-a2d5-2b77c669a44f</x:v>
      </x:c>
      <x:c r="G87" s="20" t="n">
        <x:v>46003.93474337963</x:v>
      </x:c>
    </x:row>
    <x:row r="88">
      <x:c r="A88" s="18" t="str">
        <x:v>amolar ponta</x:v>
      </x:c>
      <x:c r="B88" s="18" t="str">
        <x:v>keno aká</x:v>
      </x:c>
      <x:c r="C88" s="19" t="n">
        <x:f>IF(B88="",0,(LEN(B88)-LEN(SUBSTITUTE(B88," | ","")))/3+1)</x:f>
        <x:v>1</x:v>
      </x:c>
      <x:c r="D88" t="str">
        <x:v>a</x:v>
      </x:c>
      <x:c r="E88" t="str">
        <x:v>https://www.webonary.org/marubo/g41f03f0d-ae03-4487-bfea-0c52e01d5eb7/</x:v>
      </x:c>
      <x:c r="F88" t="str">
        <x:v>gf98be176-38d3-46b9-a5eb-c3391511c1e9</x:v>
      </x:c>
      <x:c r="G88" s="20" t="n">
        <x:v>46003.93474337963</x:v>
      </x:c>
    </x:row>
    <x:row r="89">
      <x:c r="A89" s="18" t="str">
        <x:v>ANA</x:v>
      </x:c>
      <x:c r="B89" s="18" t="str">
        <x:v>a</x:v>
      </x:c>
      <x:c r="C89" s="19" t="n">
        <x:f>IF(B89="",0,(LEN(B89)-LEN(SUBSTITUTE(B89," | ","")))/3+1)</x:f>
        <x:v>1</x:v>
      </x:c>
      <x:c r="D89" t="str">
        <x:v>a</x:v>
      </x:c>
      <x:c r="E89" t="str">
        <x:v>https://www.webonary.org/marubo/g00089ee3-d0f4-4986-acb2-6fde811b875f/</x:v>
      </x:c>
      <x:c r="F89" t="str">
        <x:v>g6662b9be-6a90-4e69-b1a1-b2a4ccf89dd9</x:v>
      </x:c>
      <x:c r="G89" s="20" t="n">
        <x:v>46003.93474337963</x:v>
      </x:c>
    </x:row>
    <x:row r="90">
      <x:c r="A90" s="18" t="str">
        <x:v>andar</x:v>
      </x:c>
      <x:c r="B90" s="18" t="str">
        <x:v>kawã | atxá</x:v>
      </x:c>
      <x:c r="C90" s="19" t="n">
        <x:f>IF(B90="",0,(LEN(B90)-LEN(SUBSTITUTE(B90," | ","")))/3+1)</x:f>
        <x:v>2</x:v>
      </x:c>
      <x:c r="D90" t="str">
        <x:v>a</x:v>
      </x:c>
      <x:c r="E90" t="str">
        <x:v>https://www.webonary.org/marubo/g53bfa61a-5aae-4cd1-a115-2d6a4a3b9821/</x:v>
      </x:c>
      <x:c r="F90" t="str">
        <x:v>gd178a0f7-34c7-4963-a56b-699e875bf0df</x:v>
      </x:c>
      <x:c r="G90" s="20" t="n">
        <x:v>46003.93474337963</x:v>
      </x:c>
    </x:row>
    <x:row r="91">
      <x:c r="A91" s="18" t="str">
        <x:v>andar com</x:v>
      </x:c>
      <x:c r="B91" s="18" t="str">
        <x:v>tasánanã</x:v>
      </x:c>
      <x:c r="C91" s="19" t="n">
        <x:f>IF(B91="",0,(LEN(B91)-LEN(SUBSTITUTE(B91," | ","")))/3+1)</x:f>
        <x:v>1</x:v>
      </x:c>
      <x:c r="D91" t="str">
        <x:v>a</x:v>
      </x:c>
      <x:c r="E91" t="str">
        <x:v>https://www.webonary.org/marubo/g63236d2b-fc8a-4b3c-8396-87e23e38d938/</x:v>
      </x:c>
      <x:c r="F91" t="str">
        <x:v>gc30ed297-0e0d-4b2f-a65d-2be13cae1408</x:v>
      </x:c>
      <x:c r="G91" s="20" t="n">
        <x:v>46003.93474337963</x:v>
      </x:c>
    </x:row>
    <x:row r="92">
      <x:c r="A92" s="18" t="str">
        <x:v>andar na ponta dos pés</x:v>
      </x:c>
      <x:c r="B92" s="18" t="str">
        <x:v>nachti nia</x:v>
      </x:c>
      <x:c r="C92" s="19" t="n">
        <x:f>IF(B92="",0,(LEN(B92)-LEN(SUBSTITUTE(B92," | ","")))/3+1)</x:f>
        <x:v>1</x:v>
      </x:c>
      <x:c r="D92" t="str">
        <x:v>a</x:v>
      </x:c>
      <x:c r="E92" t="str">
        <x:v>https://www.webonary.org/marubo/g0c8a92a6-c115-40a3-93f8-4888101d1156/</x:v>
      </x:c>
      <x:c r="F92" t="str">
        <x:v>g2c415c8e-a840-40da-9fad-756be1177c19</x:v>
      </x:c>
      <x:c r="G92" s="20" t="n">
        <x:v>46003.93474337963</x:v>
      </x:c>
    </x:row>
    <x:row r="93">
      <x:c r="A93" s="18" t="str">
        <x:v>animado</x:v>
      </x:c>
      <x:c r="B93" s="18" t="str">
        <x:v>metsáka</x:v>
      </x:c>
      <x:c r="C93" s="19" t="n">
        <x:f>IF(B93="",0,(LEN(B93)-LEN(SUBSTITUTE(B93," | ","")))/3+1)</x:f>
        <x:v>1</x:v>
      </x:c>
      <x:c r="D93" t="str">
        <x:v>a</x:v>
      </x:c>
      <x:c r="E93" t="str">
        <x:v>https://www.webonary.org/marubo/g964acda8-df6a-4992-8036-3964aa321b96/</x:v>
      </x:c>
      <x:c r="F93" t="str">
        <x:v>g13c1278d-e8bb-4c95-bcb7-925ae6835789</x:v>
      </x:c>
      <x:c r="G93" s="20" t="n">
        <x:v>46003.93474337963</x:v>
      </x:c>
    </x:row>
    <x:row r="94">
      <x:c r="A94" s="18" t="str">
        <x:v>animal</x:v>
      </x:c>
      <x:c r="B94" s="18" t="str">
        <x:v>yoini</x:v>
      </x:c>
      <x:c r="C94" s="19" t="n">
        <x:f>IF(B94="",0,(LEN(B94)-LEN(SUBSTITUTE(B94," | ","")))/3+1)</x:f>
        <x:v>1</x:v>
      </x:c>
      <x:c r="D94" t="str">
        <x:v>a</x:v>
      </x:c>
      <x:c r="E94" t="str">
        <x:v>https://www.webonary.org/marubo/gba0fcd75-dbc6-4ee4-866b-157dcf63fc5f/</x:v>
      </x:c>
      <x:c r="F94" t="str">
        <x:v>g3a549be9-d2e6-4404-9948-356c78675b1a</x:v>
      </x:c>
      <x:c r="G94" s="20" t="n">
        <x:v>46003.93474337963</x:v>
      </x:c>
    </x:row>
    <x:row r="95">
      <x:c r="A95" s="18" t="str">
        <x:v>animal de estimação</x:v>
      </x:c>
      <x:c r="B95" s="18" t="str">
        <x:v>iná</x:v>
      </x:c>
      <x:c r="C95" s="19" t="n">
        <x:f>IF(B95="",0,(LEN(B95)-LEN(SUBSTITUTE(B95," | ","")))/3+1)</x:f>
        <x:v>1</x:v>
      </x:c>
      <x:c r="D95" t="str">
        <x:v>a</x:v>
      </x:c>
      <x:c r="E95" t="str">
        <x:v>https://www.webonary.org/marubo/gc0c1ff4b-66e1-4927-b59d-68171b1ab50d/</x:v>
      </x:c>
      <x:c r="F95" t="str">
        <x:v>gee015229-dfd4-40ef-948d-753a67e2e222</x:v>
      </x:c>
      <x:c r="G95" s="20" t="n">
        <x:v>46003.93474337963</x:v>
      </x:c>
    </x:row>
    <x:row r="96">
      <x:c r="A96" s="18" t="str">
        <x:v>animal noturno</x:v>
      </x:c>
      <x:c r="B96" s="18" t="str">
        <x:v>shemé</x:v>
      </x:c>
      <x:c r="C96" s="19" t="n">
        <x:f>IF(B96="",0,(LEN(B96)-LEN(SUBSTITUTE(B96," | ","")))/3+1)</x:f>
        <x:v>1</x:v>
      </x:c>
      <x:c r="D96" t="str">
        <x:v>a</x:v>
      </x:c>
      <x:c r="E96" t="str">
        <x:v>https://www.webonary.org/marubo/gfc4f8d9d-1f1c-4e69-bade-5dd143087271/</x:v>
      </x:c>
      <x:c r="F96" t="str">
        <x:v>ge0ba1116-6b31-4d1f-b227-0f9363aeb85a</x:v>
      </x:c>
      <x:c r="G96" s="20" t="n">
        <x:v>46003.93474337963</x:v>
      </x:c>
    </x:row>
    <x:row r="97">
      <x:c r="A97" s="18" t="str">
        <x:v>ano</x:v>
      </x:c>
      <x:c r="B97" s="18" t="str">
        <x:v>vari shavá</x:v>
      </x:c>
      <x:c r="C97" s="19" t="n">
        <x:f>IF(B97="",0,(LEN(B97)-LEN(SUBSTITUTE(B97," | ","")))/3+1)</x:f>
        <x:v>1</x:v>
      </x:c>
      <x:c r="D97" t="str">
        <x:v>a</x:v>
      </x:c>
      <x:c r="E97" t="str">
        <x:v>https://www.webonary.org/marubo/g1247ba66-b551-4d9a-98cb-1511d0f075d2/</x:v>
      </x:c>
      <x:c r="F97" t="str">
        <x:v>gfb2de268-f7fd-4afa-889e-d39c1340c4f4</x:v>
      </x:c>
      <x:c r="G97" s="20" t="n">
        <x:v>46003.93474337963</x:v>
      </x:c>
    </x:row>
    <x:row r="98">
      <x:c r="A98" s="18" t="str">
        <x:v>anta</x:v>
      </x:c>
      <x:c r="B98" s="18" t="str">
        <x:v>awá | 1</x:v>
      </x:c>
      <x:c r="C98" s="19" t="n">
        <x:f>IF(B98="",0,(LEN(B98)-LEN(SUBSTITUTE(B98," | ","")))/3+1)</x:f>
        <x:v>2</x:v>
      </x:c>
      <x:c r="D98" t="str">
        <x:v>a</x:v>
      </x:c>
      <x:c r="E98" t="str">
        <x:v>https://www.webonary.org/marubo/g28e9a28f-7810-4d10-990c-47df0e7d2001/</x:v>
      </x:c>
      <x:c r="F98" t="str">
        <x:v>g9e6088e3-a9a1-4c86-b207-1777ecce7878</x:v>
      </x:c>
      <x:c r="G98" s="20" t="n">
        <x:v>46003.93474337963</x:v>
      </x:c>
    </x:row>
    <x:row r="99">
      <x:c r="A99" s="18" t="str">
        <x:v>antes</x:v>
      </x:c>
      <x:c r="B99" s="18" t="str">
        <x:v>vevo</x:v>
      </x:c>
      <x:c r="C99" s="19" t="n">
        <x:f>IF(B99="",0,(LEN(B99)-LEN(SUBSTITUTE(B99," | ","")))/3+1)</x:f>
        <x:v>1</x:v>
      </x:c>
      <x:c r="D99" t="str">
        <x:v>a</x:v>
      </x:c>
      <x:c r="E99" t="str">
        <x:v>https://www.webonary.org/marubo/gf1b7c98c-0eed-47c0-a211-0165e9714475/</x:v>
      </x:c>
      <x:c r="F99" t="str">
        <x:v>g76830072-de15-4761-8cf9-a22c413a7637</x:v>
      </x:c>
      <x:c r="G99" s="20" t="n">
        <x:v>46003.93474337963</x:v>
      </x:c>
    </x:row>
    <x:row r="100">
      <x:c r="A100" s="18" t="str">
        <x:v>ânus</x:v>
      </x:c>
      <x:c r="B100" s="18" t="str">
        <x:v>põikí</x:v>
      </x:c>
      <x:c r="C100" s="19" t="n">
        <x:f>IF(B100="",0,(LEN(B100)-LEN(SUBSTITUTE(B100," | ","")))/3+1)</x:f>
        <x:v>1</x:v>
      </x:c>
      <x:c r="D100" t="str">
        <x:v>a</x:v>
      </x:c>
      <x:c r="E100" t="str">
        <x:v>https://www.webonary.org/marubo/g26608298-6328-44c2-9eb9-dbc11ccc2a59/</x:v>
      </x:c>
      <x:c r="F100" t="str">
        <x:v>g7a37f516-5e29-4699-aef7-a7aef0fa7074</x:v>
      </x:c>
      <x:c r="G100" s="20" t="n">
        <x:v>46003.93474337963</x:v>
      </x:c>
    </x:row>
    <x:row r="101">
      <x:c r="A101" s="18" t="str">
        <x:v>ao lado</x:v>
      </x:c>
      <x:c r="B101" s="18" t="str">
        <x:v>tavá | 1 | ketsa</x:v>
      </x:c>
      <x:c r="C101" s="19" t="n">
        <x:f>IF(B101="",0,(LEN(B101)-LEN(SUBSTITUTE(B101," | ","")))/3+1)</x:f>
        <x:v>3</x:v>
      </x:c>
      <x:c r="D101" t="str">
        <x:v>a</x:v>
      </x:c>
      <x:c r="E101" t="str">
        <x:v>https://www.webonary.org/marubo/g2e4d04f8-aa55-4bb8-aa6a-4ff0f7291513/</x:v>
      </x:c>
      <x:c r="F101" t="str">
        <x:v>g4980323f-581e-452e-9507-c6762a0f3948</x:v>
      </x:c>
      <x:c r="G101" s="20" t="n">
        <x:v>46003.93474337963</x:v>
      </x:c>
    </x:row>
    <x:row r="102">
      <x:c r="A102" s="18" t="str">
        <x:v>apanhar (fruta)</x:v>
      </x:c>
      <x:c r="B102" s="18" t="str">
        <x:v>metséa</x:v>
      </x:c>
      <x:c r="C102" s="19" t="n">
        <x:f>IF(B102="",0,(LEN(B102)-LEN(SUBSTITUTE(B102," | ","")))/3+1)</x:f>
        <x:v>1</x:v>
      </x:c>
      <x:c r="D102" t="str">
        <x:v>a</x:v>
      </x:c>
      <x:c r="E102" t="str">
        <x:v>https://www.webonary.org/marubo/g2031931b-27c4-4c09-a335-c6b30ee30b0a/</x:v>
      </x:c>
      <x:c r="F102" t="str">
        <x:v>g783b068e-265c-47e4-9932-70e15792e35a</x:v>
      </x:c>
      <x:c r="G102" s="20" t="n">
        <x:v>46003.93474337963</x:v>
      </x:c>
    </x:row>
    <x:row r="103">
      <x:c r="A103" s="18" t="str">
        <x:v>aparecer</x:v>
      </x:c>
      <x:c r="B103" s="18" t="str">
        <x:v>tachi | 1 | varía</x:v>
      </x:c>
      <x:c r="C103" s="19" t="n">
        <x:f>IF(B103="",0,(LEN(B103)-LEN(SUBSTITUTE(B103," | ","")))/3+1)</x:f>
        <x:v>3</x:v>
      </x:c>
      <x:c r="D103" t="str">
        <x:v>a</x:v>
      </x:c>
      <x:c r="E103" t="str">
        <x:v>https://www.webonary.org/marubo/g86829643-e897-4d90-994b-9b1971a8d21d/</x:v>
      </x:c>
      <x:c r="F103" t="str">
        <x:v>ga1d25a66-92c9-4e47-80f7-039a118daafd</x:v>
      </x:c>
      <x:c r="G103" s="20" t="n">
        <x:v>46003.93474337963</x:v>
      </x:c>
    </x:row>
    <x:row r="104">
      <x:c r="A104" s="18" t="str">
        <x:v>apertar</x:v>
      </x:c>
      <x:c r="B104" s="18" t="str">
        <x:v>tere aká</x:v>
      </x:c>
      <x:c r="C104" s="19" t="n">
        <x:f>IF(B104="",0,(LEN(B104)-LEN(SUBSTITUTE(B104," | ","")))/3+1)</x:f>
        <x:v>1</x:v>
      </x:c>
      <x:c r="D104" t="str">
        <x:v>a</x:v>
      </x:c>
      <x:c r="E104" t="str">
        <x:v>https://www.webonary.org/marubo/g0a14d40a-7f67-4537-97b6-70fb034f9e2c/</x:v>
      </x:c>
      <x:c r="F104" t="str">
        <x:v>ge8d9e6a9-8027-423e-96e4-57028292e75e</x:v>
      </x:c>
      <x:c r="G104" s="20" t="n">
        <x:v>46003.93474337963</x:v>
      </x:c>
    </x:row>
    <x:row r="105">
      <x:c r="A105" s="18" t="str">
        <x:v>apertar (cinturão</x:v>
      </x:c>
      <x:c r="B105" s="18" t="str">
        <x:v>poskea</x:v>
      </x:c>
      <x:c r="C105" s="19" t="n">
        <x:f>IF(B105="",0,(LEN(B105)-LEN(SUBSTITUTE(B105," | ","")))/3+1)</x:f>
        <x:v>1</x:v>
      </x:c>
      <x:c r="D105" t="str">
        <x:v>a</x:v>
      </x:c>
      <x:c r="E105" t="str">
        <x:v>https://www.webonary.org/marubo/g9a5f6dea-213e-4430-8c58-ed729dbd0e28/</x:v>
      </x:c>
      <x:c r="F105" t="str">
        <x:v>g1ba1fa1b-5420-47ba-a87a-df67b0c00776</x:v>
      </x:c>
      <x:c r="G105" s="20" t="n">
        <x:v>46003.93474337963</x:v>
      </x:c>
    </x:row>
    <x:row r="106">
      <x:c r="A106" s="18" t="str">
        <x:v>apito</x:v>
      </x:c>
      <x:c r="B106" s="18" t="str">
        <x:v>txoroti</x:v>
      </x:c>
      <x:c r="C106" s="19" t="n">
        <x:f>IF(B106="",0,(LEN(B106)-LEN(SUBSTITUTE(B106," | ","")))/3+1)</x:f>
        <x:v>1</x:v>
      </x:c>
      <x:c r="D106" t="str">
        <x:v>a</x:v>
      </x:c>
      <x:c r="E106" t="str">
        <x:v>https://www.webonary.org/marubo/g1941767a-ef8a-4fa6-ad41-321ab34247cd/</x:v>
      </x:c>
      <x:c r="F106" t="str">
        <x:v>g811c927c-ccef-4c4e-8dc9-e78db48334e6</x:v>
      </x:c>
      <x:c r="G106" s="20" t="n">
        <x:v>46003.934751099536</x:v>
      </x:c>
    </x:row>
    <x:row r="107">
      <x:c r="A107" s="18" t="str">
        <x:v>aplicação de leite de sapo</x:v>
      </x:c>
      <x:c r="B107" s="18" t="str">
        <x:v>kãpo ikí</x:v>
      </x:c>
      <x:c r="C107" s="19" t="n">
        <x:f>IF(B107="",0,(LEN(B107)-LEN(SUBSTITUTE(B107," | ","")))/3+1)</x:f>
        <x:v>1</x:v>
      </x:c>
      <x:c r="D107" t="str">
        <x:v>a</x:v>
      </x:c>
      <x:c r="E107" t="str">
        <x:v>https://www.webonary.org/marubo/g4a8da364-9d3c-4fb1-9ae0-0ba19788b0b6/</x:v>
      </x:c>
      <x:c r="F107" t="str">
        <x:v>ge12d9279-441c-4c4b-ab50-c60fb19a2230</x:v>
      </x:c>
      <x:c r="G107" s="20" t="n">
        <x:v>46003.934751099536</x:v>
      </x:c>
    </x:row>
    <x:row r="108">
      <x:c r="A108" s="18" t="str">
        <x:v>apodrecer</x:v>
      </x:c>
      <x:c r="B108" s="18" t="str">
        <x:v>pisia</x:v>
      </x:c>
      <x:c r="C108" s="19" t="n">
        <x:f>IF(B108="",0,(LEN(B108)-LEN(SUBSTITUTE(B108," | ","")))/3+1)</x:f>
        <x:v>1</x:v>
      </x:c>
      <x:c r="D108" t="str">
        <x:v>a</x:v>
      </x:c>
      <x:c r="E108" t="str">
        <x:v>https://www.webonary.org/marubo/g74bea057-c1bd-45a5-8700-6e663acddb73/</x:v>
      </x:c>
      <x:c r="F108" t="str">
        <x:v>g4c94b567-d77b-4409-a78e-4df9a35c65ad</x:v>
      </x:c>
      <x:c r="G108" s="20" t="n">
        <x:v>46003.934751099536</x:v>
      </x:c>
    </x:row>
    <x:row r="109">
      <x:c r="A109" s="18" t="str">
        <x:v>apoiado</x:v>
      </x:c>
      <x:c r="B109" s="18" t="str">
        <x:v>otéa</x:v>
      </x:c>
      <x:c r="C109" s="19" t="n">
        <x:f>IF(B109="",0,(LEN(B109)-LEN(SUBSTITUTE(B109," | ","")))/3+1)</x:f>
        <x:v>1</x:v>
      </x:c>
      <x:c r="D109" t="str">
        <x:v>a</x:v>
      </x:c>
      <x:c r="E109" t="str">
        <x:v>https://www.webonary.org/marubo/g503cde6c-d178-4e84-9e00-edc7b6436dd7/</x:v>
      </x:c>
      <x:c r="F109" t="str">
        <x:v>g4c4ec57e-ca92-416d-bdc1-d1c49f708695</x:v>
      </x:c>
      <x:c r="G109" s="20" t="n">
        <x:v>46003.934751099536</x:v>
      </x:c>
    </x:row>
    <x:row r="110">
      <x:c r="A110" s="18" t="str">
        <x:v>apóiar</x:v>
      </x:c>
      <x:c r="B110" s="18" t="str">
        <x:v>otea</x:v>
      </x:c>
      <x:c r="C110" s="19" t="n">
        <x:f>IF(B110="",0,(LEN(B110)-LEN(SUBSTITUTE(B110," | ","")))/3+1)</x:f>
        <x:v>1</x:v>
      </x:c>
      <x:c r="D110" t="str">
        <x:v>a</x:v>
      </x:c>
      <x:c r="E110" t="str">
        <x:v>https://www.webonary.org/marubo/g256de6da-0717-47cb-a4ec-95cd5041314d/</x:v>
      </x:c>
      <x:c r="F110" t="str">
        <x:v>gc5329cc2-eaa0-47d1-86a8-8c9eadbaa7a9</x:v>
      </x:c>
      <x:c r="G110" s="20" t="n">
        <x:v>46003.934751099536</x:v>
      </x:c>
    </x:row>
    <x:row r="111">
      <x:c r="A111" s="18" t="str">
        <x:v>apontar</x:v>
      </x:c>
      <x:c r="B111" s="18" t="str">
        <x:v>metõa</x:v>
      </x:c>
      <x:c r="C111" s="19" t="n">
        <x:f>IF(B111="",0,(LEN(B111)-LEN(SUBSTITUTE(B111," | ","")))/3+1)</x:f>
        <x:v>1</x:v>
      </x:c>
      <x:c r="D111" t="str">
        <x:v>a</x:v>
      </x:c>
      <x:c r="E111" t="str">
        <x:v>https://www.webonary.org/marubo/g9674df3c-d045-4ecd-ae10-90e90d7ce43e/</x:v>
      </x:c>
      <x:c r="F111" t="str">
        <x:v>gceb7128c-4c96-42ec-86fb-f7fd94725d02</x:v>
      </x:c>
      <x:c r="G111" s="20" t="n">
        <x:v>46003.934751099536</x:v>
      </x:c>
    </x:row>
    <x:row r="112">
      <x:c r="A112" s="18" t="str">
        <x:v>aprender</x:v>
      </x:c>
      <x:c r="B112" s="18" t="str">
        <x:v>yosia</x:v>
      </x:c>
      <x:c r="C112" s="19" t="n">
        <x:f>IF(B112="",0,(LEN(B112)-LEN(SUBSTITUTE(B112," | ","")))/3+1)</x:f>
        <x:v>1</x:v>
      </x:c>
      <x:c r="D112" t="str">
        <x:v>a</x:v>
      </x:c>
      <x:c r="E112" t="str">
        <x:v>https://www.webonary.org/marubo/g47bb5a56-1055-4ecc-a3d2-b4e725dd634a/</x:v>
      </x:c>
      <x:c r="F112" t="str">
        <x:v>g20a89bf0-378d-4f6d-9a04-22e590378cec</x:v>
      </x:c>
      <x:c r="G112" s="20" t="n">
        <x:v>46003.934751099536</x:v>
      </x:c>
    </x:row>
    <x:row r="113">
      <x:c r="A113" s="18" t="str">
        <x:v>aquele</x:v>
      </x:c>
      <x:c r="B113" s="18" t="str">
        <x:v>waivo | -wẽ | =ivo | aa ivo</x:v>
      </x:c>
      <x:c r="C113" s="19" t="n">
        <x:f>IF(B113="",0,(LEN(B113)-LEN(SUBSTITUTE(B113," | ","")))/3+1)</x:f>
        <x:v>4</x:v>
      </x:c>
      <x:c r="D113" t="str">
        <x:v>a</x:v>
      </x:c>
      <x:c r="E113" t="str">
        <x:v>https://www.webonary.org/marubo/g74287771-61b0-43b6-9876-8fc45df37883/</x:v>
      </x:c>
      <x:c r="F113" t="str">
        <x:v>g2d181241-1ee4-46df-99a2-6e1b65655f20</x:v>
      </x:c>
      <x:c r="G113" s="20" t="n">
        <x:v>46003.934751099536</x:v>
      </x:c>
    </x:row>
    <x:row r="114">
      <x:c r="A114" s="18" t="str">
        <x:v>aquele lado</x:v>
      </x:c>
      <x:c r="B114" s="18" t="str">
        <x:v>akiri</x:v>
      </x:c>
      <x:c r="C114" s="19" t="n">
        <x:f>IF(B114="",0,(LEN(B114)-LEN(SUBSTITUTE(B114," | ","")))/3+1)</x:f>
        <x:v>1</x:v>
      </x:c>
      <x:c r="D114" t="str">
        <x:v>a</x:v>
      </x:c>
      <x:c r="E114" t="str">
        <x:v>https://www.webonary.org/marubo/g9d36f114-5262-4ec8-8063-a222c4818be0/</x:v>
      </x:c>
      <x:c r="F114" t="str">
        <x:v>gc2956c7f-7961-4b85-b59a-4f0a79a92b81</x:v>
      </x:c>
      <x:c r="G114" s="20" t="n">
        <x:v>46003.934751099536</x:v>
      </x:c>
    </x:row>
    <x:row r="115">
      <x:c r="A115" s="18" t="str">
        <x:v>aqui</x:v>
      </x:c>
      <x:c r="B115" s="18" t="str">
        <x:v>neno</x:v>
      </x:c>
      <x:c r="C115" s="19" t="n">
        <x:f>IF(B115="",0,(LEN(B115)-LEN(SUBSTITUTE(B115," | ","")))/3+1)</x:f>
        <x:v>1</x:v>
      </x:c>
      <x:c r="D115" t="str">
        <x:v>a</x:v>
      </x:c>
      <x:c r="E115" t="str">
        <x:v>https://www.webonary.org/marubo/gc9ad0126-8d32-4278-9e74-e5d5aeb103a5/</x:v>
      </x:c>
      <x:c r="F115" t="str">
        <x:v>g1f01af23-8ad0-4580-af49-af782384aaeb</x:v>
      </x:c>
      <x:c r="G115" s="20" t="n">
        <x:v>46003.934751099536</x:v>
      </x:c>
    </x:row>
    <x:row r="116">
      <x:c r="A116" s="18" t="str">
        <x:v>araçari</x:v>
      </x:c>
      <x:c r="B116" s="18" t="str">
        <x:v>pisa | 1</x:v>
      </x:c>
      <x:c r="C116" s="19" t="n">
        <x:f>IF(B116="",0,(LEN(B116)-LEN(SUBSTITUTE(B116," | ","")))/3+1)</x:f>
        <x:v>2</x:v>
      </x:c>
      <x:c r="D116" t="str">
        <x:v>a</x:v>
      </x:c>
      <x:c r="E116" t="str">
        <x:v>https://www.webonary.org/marubo/gb1241382-e137-492a-9a2b-3f3e6d430f63/</x:v>
      </x:c>
      <x:c r="F116" t="str">
        <x:v>geeaf7f0d-c653-4fde-8eee-41703ea601c4</x:v>
      </x:c>
      <x:c r="G116" s="20" t="n">
        <x:v>46003.934751099536</x:v>
      </x:c>
    </x:row>
    <x:row r="117">
      <x:c r="A117" s="18" t="str">
        <x:v>aranha</x:v>
      </x:c>
      <x:c r="B117" s="18" t="str">
        <x:v>chinoshoko</x:v>
      </x:c>
      <x:c r="C117" s="19" t="n">
        <x:f>IF(B117="",0,(LEN(B117)-LEN(SUBSTITUTE(B117," | ","")))/3+1)</x:f>
        <x:v>1</x:v>
      </x:c>
      <x:c r="D117" t="str">
        <x:v>a</x:v>
      </x:c>
      <x:c r="E117" t="str">
        <x:v>https://www.webonary.org/marubo/gf03c6882-8429-464d-aaf0-52ca1350cfe4/</x:v>
      </x:c>
      <x:c r="F117" t="str">
        <x:v>g85e150d6-55cd-4577-90d0-f03949d27810</x:v>
      </x:c>
      <x:c r="G117" s="20" t="n">
        <x:v>46003.934751099536</x:v>
      </x:c>
    </x:row>
    <x:row r="118">
      <x:c r="A118" s="18" t="str">
        <x:v>aranha caragueijo</x:v>
      </x:c>
      <x:c r="B118" s="18" t="str">
        <x:v>yotá</x:v>
      </x:c>
      <x:c r="C118" s="19" t="n">
        <x:f>IF(B118="",0,(LEN(B118)-LEN(SUBSTITUTE(B118," | ","")))/3+1)</x:f>
        <x:v>1</x:v>
      </x:c>
      <x:c r="D118" t="str">
        <x:v>a</x:v>
      </x:c>
      <x:c r="E118" t="str">
        <x:v>https://www.webonary.org/marubo/gd747878a-d9e3-4286-bddf-3d6bf4f719e0/</x:v>
      </x:c>
      <x:c r="F118" t="str">
        <x:v>gb741f1de-5a21-46ef-8c35-3e21e7883661</x:v>
      </x:c>
      <x:c r="G118" s="20" t="n">
        <x:v>46003.934751099536</x:v>
      </x:c>
    </x:row>
    <x:row r="119">
      <x:c r="A119" s="18" t="str">
        <x:v>araqua</x:v>
      </x:c>
      <x:c r="B119" s="18" t="str">
        <x:v>anakashka | 1</x:v>
      </x:c>
      <x:c r="C119" s="19" t="n">
        <x:f>IF(B119="",0,(LEN(B119)-LEN(SUBSTITUTE(B119," | ","")))/3+1)</x:f>
        <x:v>2</x:v>
      </x:c>
      <x:c r="D119" t="str">
        <x:v>a</x:v>
      </x:c>
      <x:c r="E119" t="str">
        <x:v>https://www.webonary.org/marubo/gcb07ff94-46d7-432a-93d9-4318614bc578/</x:v>
      </x:c>
      <x:c r="F119" t="str">
        <x:v>g2af27963-b19a-4ef7-8baa-a371532a7bea</x:v>
      </x:c>
      <x:c r="G119" s="20" t="n">
        <x:v>46003.934751099536</x:v>
      </x:c>
    </x:row>
    <x:row r="120">
      <x:c r="A120" s="18" t="str">
        <x:v>arara canga</x:v>
      </x:c>
      <x:c r="B120" s="18" t="str">
        <x:v>kaĩ | 1</x:v>
      </x:c>
      <x:c r="C120" s="19" t="n">
        <x:f>IF(B120="",0,(LEN(B120)-LEN(SUBSTITUTE(B120," | ","")))/3+1)</x:f>
        <x:v>2</x:v>
      </x:c>
      <x:c r="D120" t="str">
        <x:v>a</x:v>
      </x:c>
      <x:c r="E120" t="str">
        <x:v>https://www.webonary.org/marubo/g9e4d1120-de63-4ee3-9cc2-f403634447d2/</x:v>
      </x:c>
      <x:c r="F120" t="str">
        <x:v>gf5e5b7e0-50ea-4bb2-98fc-269e5bbf11c3</x:v>
      </x:c>
      <x:c r="G120" s="20" t="n">
        <x:v>46003.934751099536</x:v>
      </x:c>
    </x:row>
    <x:row r="121">
      <x:c r="A121" s="18" t="str">
        <x:v>arara canindé</x:v>
      </x:c>
      <x:c r="B121" s="18" t="str">
        <x:v>kachta | 1</x:v>
      </x:c>
      <x:c r="C121" s="19" t="n">
        <x:f>IF(B121="",0,(LEN(B121)-LEN(SUBSTITUTE(B121," | ","")))/3+1)</x:f>
        <x:v>2</x:v>
      </x:c>
      <x:c r="D121" t="str">
        <x:v>a</x:v>
      </x:c>
      <x:c r="E121" t="str">
        <x:v>https://www.webonary.org/marubo/g59b88b77-b519-42d5-a314-f7bdfd88e76b/</x:v>
      </x:c>
      <x:c r="F121" t="str">
        <x:v>ga812bb34-c059-49a7-998c-448f20e4dcfa</x:v>
      </x:c>
      <x:c r="G121" s="20" t="n">
        <x:v>46003.934751099536</x:v>
      </x:c>
    </x:row>
    <x:row r="122">
      <x:c r="A122" s="18" t="str">
        <x:v>arara vermelha</x:v>
      </x:c>
      <x:c r="B122" s="18" t="str">
        <x:v>shawã | 1</x:v>
      </x:c>
      <x:c r="C122" s="19" t="n">
        <x:f>IF(B122="",0,(LEN(B122)-LEN(SUBSTITUTE(B122," | ","")))/3+1)</x:f>
        <x:v>2</x:v>
      </x:c>
      <x:c r="D122" t="str">
        <x:v>a</x:v>
      </x:c>
      <x:c r="E122" t="str">
        <x:v>https://www.webonary.org/marubo/gb6f8b658-6f10-4841-adb1-b10da4b28f45/</x:v>
      </x:c>
      <x:c r="F122" t="str">
        <x:v>ge4c35172-8d0d-4d38-a40f-936947bebb7b</x:v>
      </x:c>
      <x:c r="G122" s="20" t="n">
        <x:v>46003.934751099536</x:v>
      </x:c>
    </x:row>
    <x:row r="123">
      <x:c r="A123" s="18" t="str">
        <x:v>arco</x:v>
      </x:c>
      <x:c r="B123" s="18" t="str">
        <x:v>kãti</x:v>
      </x:c>
      <x:c r="C123" s="19" t="n">
        <x:f>IF(B123="",0,(LEN(B123)-LEN(SUBSTITUTE(B123," | ","")))/3+1)</x:f>
        <x:v>1</x:v>
      </x:c>
      <x:c r="D123" t="str">
        <x:v>a</x:v>
      </x:c>
      <x:c r="E123" t="str">
        <x:v>https://www.webonary.org/marubo/g44047582-8388-429b-8a4c-e1fc0ba2be91/</x:v>
      </x:c>
      <x:c r="F123" t="str">
        <x:v>g21941475-acda-4e76-b69c-6d762285fa55</x:v>
      </x:c>
      <x:c r="G123" s="20" t="n">
        <x:v>46003.934751099536</x:v>
      </x:c>
    </x:row>
    <x:row r="124">
      <x:c r="A124" s="18" t="str">
        <x:v>arco iris</x:v>
      </x:c>
      <x:c r="B124" s="18" t="str">
        <x:v>nawãvai | nai vai</x:v>
      </x:c>
      <x:c r="C124" s="19" t="n">
        <x:f>IF(B124="",0,(LEN(B124)-LEN(SUBSTITUTE(B124," | ","")))/3+1)</x:f>
        <x:v>2</x:v>
      </x:c>
      <x:c r="D124" t="str">
        <x:v>a</x:v>
      </x:c>
      <x:c r="E124" t="str">
        <x:v>https://www.webonary.org/marubo/g81e25fd8-0143-43ee-a6d1-4456d77a5614/</x:v>
      </x:c>
      <x:c r="F124" t="str">
        <x:v>g4e4066fc-339f-46b7-a2c7-db302a57f3da</x:v>
      </x:c>
      <x:c r="G124" s="20" t="n">
        <x:v>46003.934751099536</x:v>
      </x:c>
    </x:row>
    <x:row r="125">
      <x:c r="A125" s="18" t="str">
        <x:v>ardente</x:v>
      </x:c>
      <x:c r="B125" s="18" t="str">
        <x:v>chiaka</x:v>
      </x:c>
      <x:c r="C125" s="19" t="n">
        <x:f>IF(B125="",0,(LEN(B125)-LEN(SUBSTITUTE(B125," | ","")))/3+1)</x:f>
        <x:v>1</x:v>
      </x:c>
      <x:c r="D125" t="str">
        <x:v>a</x:v>
      </x:c>
      <x:c r="E125" t="str">
        <x:v>https://www.webonary.org/marubo/ga9ebff32-3b2c-47d0-9f6f-6b70e25e74db/</x:v>
      </x:c>
      <x:c r="F125" t="str">
        <x:v>g59c2eb21-64fd-4efa-a1f0-19cefc76aad4</x:v>
      </x:c>
      <x:c r="G125" s="20" t="n">
        <x:v>46003.934751099536</x:v>
      </x:c>
    </x:row>
    <x:row r="126">
      <x:c r="A126" s="18" t="str">
        <x:v>arder</x:v>
      </x:c>
      <x:c r="B126" s="18" t="str">
        <x:v>txeshã</x:v>
      </x:c>
      <x:c r="C126" s="19" t="n">
        <x:f>IF(B126="",0,(LEN(B126)-LEN(SUBSTITUTE(B126," | ","")))/3+1)</x:f>
        <x:v>1</x:v>
      </x:c>
      <x:c r="D126" t="str">
        <x:v>a</x:v>
      </x:c>
      <x:c r="E126" t="str">
        <x:v>https://www.webonary.org/marubo/geac77968-0585-4f1c-acc6-106876387357/</x:v>
      </x:c>
      <x:c r="F126" t="str">
        <x:v>gcfd24939-e795-4ba8-a011-3e02a2b4cb4a</x:v>
      </x:c>
      <x:c r="G126" s="20" t="n">
        <x:v>46003.934751099536</x:v>
      </x:c>
    </x:row>
    <x:row r="127">
      <x:c r="A127" s="18" t="str">
        <x:v>arder os olhos</x:v>
      </x:c>
      <x:c r="B127" s="18" t="str">
        <x:v>vetxéshe</x:v>
      </x:c>
      <x:c r="C127" s="19" t="n">
        <x:f>IF(B127="",0,(LEN(B127)-LEN(SUBSTITUTE(B127," | ","")))/3+1)</x:f>
        <x:v>1</x:v>
      </x:c>
      <x:c r="D127" t="str">
        <x:v>a</x:v>
      </x:c>
      <x:c r="E127" t="str">
        <x:v>https://www.webonary.org/marubo/gcb1f2094-3de9-44a4-a128-b59a46644b3b/</x:v>
      </x:c>
      <x:c r="F127" t="str">
        <x:v>gc1a98549-9096-4164-97e4-c94761084bb4</x:v>
      </x:c>
      <x:c r="G127" s="20" t="n">
        <x:v>46003.934751099536</x:v>
      </x:c>
    </x:row>
    <x:row r="128">
      <x:c r="A128" s="18" t="str">
        <x:v>areia</x:v>
      </x:c>
      <x:c r="B128" s="18" t="str">
        <x:v>machi</x:v>
      </x:c>
      <x:c r="C128" s="19" t="n">
        <x:f>IF(B128="",0,(LEN(B128)-LEN(SUBSTITUTE(B128," | ","")))/3+1)</x:f>
        <x:v>1</x:v>
      </x:c>
      <x:c r="D128" t="str">
        <x:v>a</x:v>
      </x:c>
      <x:c r="E128" t="str">
        <x:v>https://www.webonary.org/marubo/g268cb2f3-254d-4ea3-8c6a-b0d11c85ec48/</x:v>
      </x:c>
      <x:c r="F128" t="str">
        <x:v>g9b4333ed-de14-4d2f-9eee-5efd270660cb</x:v>
      </x:c>
      <x:c r="G128" s="20" t="n">
        <x:v>46003.934751099536</x:v>
      </x:c>
    </x:row>
    <x:row r="129">
      <x:c r="A129" s="18" t="str">
        <x:v>arisco</x:v>
      </x:c>
      <x:c r="B129" s="18" t="str">
        <x:v>veroika</x:v>
      </x:c>
      <x:c r="C129" s="19" t="n">
        <x:f>IF(B129="",0,(LEN(B129)-LEN(SUBSTITUTE(B129," | ","")))/3+1)</x:f>
        <x:v>1</x:v>
      </x:c>
      <x:c r="D129" t="str">
        <x:v>a</x:v>
      </x:c>
      <x:c r="E129" t="str">
        <x:v>https://www.webonary.org/marubo/g722618e5-c353-4235-a0cb-7401beb8fae9/</x:v>
      </x:c>
      <x:c r="F129" t="str">
        <x:v>gd136bf6b-de18-4cc8-b08e-56c257534387</x:v>
      </x:c>
      <x:c r="G129" s="20" t="n">
        <x:v>46003.934751099536</x:v>
      </x:c>
    </x:row>
    <x:row r="130">
      <x:c r="A130" s="18" t="str">
        <x:v>armar</x:v>
      </x:c>
      <x:c r="B130" s="18" t="str">
        <x:v>txiwa | 1</x:v>
      </x:c>
      <x:c r="C130" s="19" t="n">
        <x:f>IF(B130="",0,(LEN(B130)-LEN(SUBSTITUTE(B130," | ","")))/3+1)</x:f>
        <x:v>2</x:v>
      </x:c>
      <x:c r="D130" t="str">
        <x:v>a</x:v>
      </x:c>
      <x:c r="E130" t="str">
        <x:v>https://www.webonary.org/marubo/g50329b84-cae3-45dc-814a-d7d0bb86ff8e/</x:v>
      </x:c>
      <x:c r="F130" t="str">
        <x:v>ge4bfc45c-c4bb-4e2e-a96d-7a61efbc5f1c</x:v>
      </x:c>
      <x:c r="G130" s="20" t="n">
        <x:v>46003.934751099536</x:v>
      </x:c>
    </x:row>
    <x:row r="131">
      <x:c r="A131" s="18" t="str">
        <x:v>arraia</x:v>
      </x:c>
      <x:c r="B131" s="18" t="str">
        <x:v>iwi | 2</x:v>
      </x:c>
      <x:c r="C131" s="19" t="n">
        <x:f>IF(B131="",0,(LEN(B131)-LEN(SUBSTITUTE(B131," | ","")))/3+1)</x:f>
        <x:v>2</x:v>
      </x:c>
      <x:c r="D131" t="str">
        <x:v>a</x:v>
      </x:c>
      <x:c r="E131" t="str">
        <x:v>https://www.webonary.org/marubo/g7d718b18-eb26-40c1-980c-4cdfd29c9a07/</x:v>
      </x:c>
      <x:c r="F131" t="str">
        <x:v>g6523d56f-4f14-46be-8eee-73afe339988c</x:v>
      </x:c>
      <x:c r="G131" s="20" t="n">
        <x:v>46003.934751099536</x:v>
      </x:c>
    </x:row>
    <x:row r="132">
      <x:c r="A132" s="18" t="str">
        <x:v>arrancar</x:v>
      </x:c>
      <x:c r="B132" s="18" t="str">
        <x:v>mesha | 1</x:v>
      </x:c>
      <x:c r="C132" s="19" t="n">
        <x:f>IF(B132="",0,(LEN(B132)-LEN(SUBSTITUTE(B132," | ","")))/3+1)</x:f>
        <x:v>2</x:v>
      </x:c>
      <x:c r="D132" t="str">
        <x:v>a</x:v>
      </x:c>
      <x:c r="E132" t="str">
        <x:v>https://www.webonary.org/marubo/g8ee89cd0-9a3e-4eed-b4d2-a7ad3f4d32e2/</x:v>
      </x:c>
      <x:c r="F132" t="str">
        <x:v>gfdf5f6e6-d730-4487-87d6-eaed046e4bc0</x:v>
      </x:c>
      <x:c r="G132" s="20" t="n">
        <x:v>46003.934751099536</x:v>
      </x:c>
    </x:row>
    <x:row r="133">
      <x:c r="A133" s="18" t="str">
        <x:v>arrancar pena da parte trazeira de avé</x:v>
      </x:c>
      <x:c r="B133" s="18" t="str">
        <x:v>txémeresh aká</x:v>
      </x:c>
      <x:c r="C133" s="19" t="n">
        <x:f>IF(B133="",0,(LEN(B133)-LEN(SUBSTITUTE(B133," | ","")))/3+1)</x:f>
        <x:v>1</x:v>
      </x:c>
      <x:c r="D133" t="str">
        <x:v>a</x:v>
      </x:c>
      <x:c r="E133" t="str">
        <x:v>https://www.webonary.org/marubo/g93dfc149-343e-4e25-9d58-27a07e296453/</x:v>
      </x:c>
      <x:c r="F133" t="str">
        <x:v>gf8975f96-f7fd-4c01-881b-10a140590e2a</x:v>
      </x:c>
      <x:c r="G133" s="20" t="n">
        <x:v>46003.934751099536</x:v>
      </x:c>
    </x:row>
    <x:row r="134">
      <x:c r="A134" s="18" t="str">
        <x:v>arrastar</x:v>
      </x:c>
      <x:c r="B134" s="18" t="str">
        <x:v>ninia</x:v>
      </x:c>
      <x:c r="C134" s="19" t="n">
        <x:f>IF(B134="",0,(LEN(B134)-LEN(SUBSTITUTE(B134," | ","")))/3+1)</x:f>
        <x:v>1</x:v>
      </x:c>
      <x:c r="D134" t="str">
        <x:v>a</x:v>
      </x:c>
      <x:c r="E134" t="str">
        <x:v>https://www.webonary.org/marubo/g848b5820-c91b-4e96-8757-33ca68f14c22/</x:v>
      </x:c>
      <x:c r="F134" t="str">
        <x:v>g810b7484-8969-4c44-a544-78953aa4efcf</x:v>
      </x:c>
      <x:c r="G134" s="20" t="n">
        <x:v>46003.934751099536</x:v>
      </x:c>
    </x:row>
    <x:row r="135">
      <x:c r="A135" s="18" t="str">
        <x:v>arrepiado</x:v>
      </x:c>
      <x:c r="B135" s="18" t="str">
        <x:v>aseka</x:v>
      </x:c>
      <x:c r="C135" s="19" t="n">
        <x:f>IF(B135="",0,(LEN(B135)-LEN(SUBSTITUTE(B135," | ","")))/3+1)</x:f>
        <x:v>1</x:v>
      </x:c>
      <x:c r="D135" t="str">
        <x:v>a</x:v>
      </x:c>
      <x:c r="E135" t="str">
        <x:v>https://www.webonary.org/marubo/g3df01a56-8699-4b63-b3d9-85ab3c89e770/</x:v>
      </x:c>
      <x:c r="F135" t="str">
        <x:v>ga4718b02-09e0-465e-8967-5df2dad2c730</x:v>
      </x:c>
      <x:c r="G135" s="20" t="n">
        <x:v>46003.934751099536</x:v>
      </x:c>
    </x:row>
    <x:row r="136">
      <x:c r="A136" s="18" t="str">
        <x:v>arrombar</x:v>
      </x:c>
      <x:c r="B136" s="18" t="str">
        <x:v>txevéa</x:v>
      </x:c>
      <x:c r="C136" s="19" t="n">
        <x:f>IF(B136="",0,(LEN(B136)-LEN(SUBSTITUTE(B136," | ","")))/3+1)</x:f>
        <x:v>1</x:v>
      </x:c>
      <x:c r="D136" t="str">
        <x:v>a</x:v>
      </x:c>
      <x:c r="E136" t="str">
        <x:v>https://www.webonary.org/marubo/ge79f37c0-2028-4d48-ae78-26eecb03b99d/</x:v>
      </x:c>
      <x:c r="F136" t="str">
        <x:v>gb3d9252b-535e-449a-a447-bf92e5d4d286</x:v>
      </x:c>
      <x:c r="G136" s="20" t="n">
        <x:v>46003.934751099536</x:v>
      </x:c>
    </x:row>
    <x:row r="137">
      <x:c r="A137" s="18" t="str">
        <x:v>árvore</x:v>
      </x:c>
      <x:c r="B137" s="18" t="str">
        <x:v>iwi | 1</x:v>
      </x:c>
      <x:c r="C137" s="19" t="n">
        <x:f>IF(B137="",0,(LEN(B137)-LEN(SUBSTITUTE(B137," | ","")))/3+1)</x:f>
        <x:v>2</x:v>
      </x:c>
      <x:c r="D137" t="str">
        <x:v>a</x:v>
      </x:c>
      <x:c r="E137" t="str">
        <x:v>https://www.webonary.org/marubo/g4b0785af-d51e-4858-b050-e6ec451b338e/</x:v>
      </x:c>
      <x:c r="F137" t="str">
        <x:v>g0dc89841-fe56-4488-b640-4b3296c79b55</x:v>
      </x:c>
      <x:c r="G137" s="20" t="n">
        <x:v>46003.934751099536</x:v>
      </x:c>
    </x:row>
    <x:row r="138">
      <x:c r="A138" s="18" t="str">
        <x:v>árvore (esp.)</x:v>
      </x:c>
      <x:c r="B138" s="18" t="str">
        <x:v>tawá</x:v>
      </x:c>
      <x:c r="C138" s="19" t="n">
        <x:f>IF(B138="",0,(LEN(B138)-LEN(SUBSTITUTE(B138," | ","")))/3+1)</x:f>
        <x:v>1</x:v>
      </x:c>
      <x:c r="D138" t="str">
        <x:v>a</x:v>
      </x:c>
      <x:c r="E138" t="str">
        <x:v>https://www.webonary.org/marubo/g3452ea02-2a4f-4028-945a-4a153d68071e/</x:v>
      </x:c>
      <x:c r="F138" t="str">
        <x:v>gb2873fff-5c22-4878-aeb9-09d93fd80fd9</x:v>
      </x:c>
      <x:c r="G138" s="20" t="n">
        <x:v>46003.934751099536</x:v>
      </x:c>
    </x:row>
    <x:row r="139">
      <x:c r="A139" s="18" t="str">
        <x:v>árvore jacareúba</x:v>
      </x:c>
      <x:c r="B139" s="18" t="str">
        <x:v>ino iwi</x:v>
      </x:c>
      <x:c r="C139" s="19" t="n">
        <x:f>IF(B139="",0,(LEN(B139)-LEN(SUBSTITUTE(B139," | ","")))/3+1)</x:f>
        <x:v>1</x:v>
      </x:c>
      <x:c r="D139" t="str">
        <x:v>a</x:v>
      </x:c>
      <x:c r="E139" t="str">
        <x:v>https://www.webonary.org/marubo/g822f6441-e7fc-46a4-a260-07f6da48fad5/</x:v>
      </x:c>
      <x:c r="F139" t="str">
        <x:v>gbe67aabd-98ce-4682-9ef3-c27c3c38ac4c</x:v>
      </x:c>
      <x:c r="G139" s="20" t="n">
        <x:v>46003.934751099536</x:v>
      </x:c>
    </x:row>
    <x:row r="140">
      <x:c r="A140" s="18" t="str">
        <x:v>ASP.</x:v>
      </x:c>
      <x:c r="B140" s="18" t="str">
        <x:v>-kõ</x:v>
      </x:c>
      <x:c r="C140" s="19" t="n">
        <x:f>IF(B140="",0,(LEN(B140)-LEN(SUBSTITUTE(B140," | ","")))/3+1)</x:f>
        <x:v>1</x:v>
      </x:c>
      <x:c r="D140" t="str">
        <x:v>a</x:v>
      </x:c>
      <x:c r="E140" t="str">
        <x:v>https://www.webonary.org/marubo/g58f4d4e6-653d-4946-89f0-36ef0544cc29/</x:v>
      </x:c>
      <x:c r="F140" t="str">
        <x:v>gd29ae308-5956-43d2-8537-40af4e86e5c7</x:v>
      </x:c>
      <x:c r="G140" s="20" t="n">
        <x:v>46003.934751099536</x:v>
      </x:c>
    </x:row>
    <x:row r="141">
      <x:c r="A141" s="18" t="str">
        <x:v>áspero</x:v>
      </x:c>
      <x:c r="B141" s="18" t="str">
        <x:v>masháshka</x:v>
      </x:c>
      <x:c r="C141" s="19" t="n">
        <x:f>IF(B141="",0,(LEN(B141)-LEN(SUBSTITUTE(B141," | ","")))/3+1)</x:f>
        <x:v>1</x:v>
      </x:c>
      <x:c r="D141" t="str">
        <x:v>a</x:v>
      </x:c>
      <x:c r="E141" t="str">
        <x:v>https://www.webonary.org/marubo/g92586da2-323b-49a0-b48e-e04a4ff0ac1b/</x:v>
      </x:c>
      <x:c r="F141" t="str">
        <x:v>g1ef79453-0c0c-4a94-afb0-87804b868136</x:v>
      </x:c>
      <x:c r="G141" s="20" t="n">
        <x:v>46003.934751099536</x:v>
      </x:c>
    </x:row>
    <x:row r="142">
      <x:c r="A142" s="18" t="str">
        <x:v>aspirar pela boca</x:v>
      </x:c>
      <x:c r="B142" s="18" t="str">
        <x:v>ãsh aká</x:v>
      </x:c>
      <x:c r="C142" s="19" t="n">
        <x:f>IF(B142="",0,(LEN(B142)-LEN(SUBSTITUTE(B142," | ","")))/3+1)</x:f>
        <x:v>1</x:v>
      </x:c>
      <x:c r="D142" t="str">
        <x:v>a</x:v>
      </x:c>
      <x:c r="E142" t="str">
        <x:v>https://www.webonary.org/marubo/g24dc8a5b-772b-4e05-a2d6-140a4300c478/</x:v>
      </x:c>
      <x:c r="F142" t="str">
        <x:v>gef3148a4-ac3d-4e0c-9512-ba31f7559976</x:v>
      </x:c>
      <x:c r="G142" s="20" t="n">
        <x:v>46003.934751099536</x:v>
      </x:c>
    </x:row>
    <x:row r="143">
      <x:c r="A143" s="18" t="str">
        <x:v>ASS</x:v>
      </x:c>
      <x:c r="B143" s="18" t="str">
        <x:v>-pa | 2</x:v>
      </x:c>
      <x:c r="C143" s="19" t="n">
        <x:f>IF(B143="",0,(LEN(B143)-LEN(SUBSTITUTE(B143," | ","")))/3+1)</x:f>
        <x:v>2</x:v>
      </x:c>
      <x:c r="D143" t="str">
        <x:v>a</x:v>
      </x:c>
      <x:c r="E143" t="str">
        <x:v>https://www.webonary.org/marubo/gbca18614-234d-4c0a-b06f-f4e0d409bcd9/</x:v>
      </x:c>
      <x:c r="F143" t="str">
        <x:v>g6d473312-1c2f-46e1-8eae-5f74cc47e42e</x:v>
      </x:c>
      <x:c r="G143" s="20" t="n">
        <x:v>46003.934751099536</x:v>
      </x:c>
    </x:row>
    <x:row r="144">
      <x:c r="A144" s="18" t="str">
        <x:v>assado</x:v>
      </x:c>
      <x:c r="B144" s="18" t="str">
        <x:v>txiika</x:v>
      </x:c>
      <x:c r="C144" s="19" t="n">
        <x:f>IF(B144="",0,(LEN(B144)-LEN(SUBSTITUTE(B144," | ","")))/3+1)</x:f>
        <x:v>1</x:v>
      </x:c>
      <x:c r="D144" t="str">
        <x:v>a</x:v>
      </x:c>
      <x:c r="E144" t="str">
        <x:v>https://www.webonary.org/marubo/g50f63f79-e6b8-46ed-b956-02f72261529e/</x:v>
      </x:c>
      <x:c r="F144" t="str">
        <x:v>ga0e54589-34d3-4e08-b2ba-c62718b3715a</x:v>
      </x:c>
      <x:c r="G144" s="20" t="n">
        <x:v>46003.934751099536</x:v>
      </x:c>
    </x:row>
    <x:row r="145">
      <x:c r="A145" s="18" t="str">
        <x:v>assar milho na brasa</x:v>
      </x:c>
      <x:c r="B145" s="18" t="str">
        <x:v>oia</x:v>
      </x:c>
      <x:c r="C145" s="19" t="n">
        <x:f>IF(B145="",0,(LEN(B145)-LEN(SUBSTITUTE(B145," | ","")))/3+1)</x:f>
        <x:v>1</x:v>
      </x:c>
      <x:c r="D145" t="str">
        <x:v>a</x:v>
      </x:c>
      <x:c r="E145" t="str">
        <x:v>https://www.webonary.org/marubo/g78f69b18-b6e6-4afa-99f7-7ef91351d6d5/</x:v>
      </x:c>
      <x:c r="F145" t="str">
        <x:v>g6a126df8-bfd8-4ed1-81a1-67d21fdf6658</x:v>
      </x:c>
      <x:c r="G145" s="20" t="n">
        <x:v>46003.934751099536</x:v>
      </x:c>
    </x:row>
    <x:row r="146">
      <x:c r="A146" s="18" t="str">
        <x:v>assim</x:v>
      </x:c>
      <x:c r="B146" s="18" t="str">
        <x:v>aská | neská</x:v>
      </x:c>
      <x:c r="C146" s="19" t="n">
        <x:f>IF(B146="",0,(LEN(B146)-LEN(SUBSTITUTE(B146," | ","")))/3+1)</x:f>
        <x:v>2</x:v>
      </x:c>
      <x:c r="D146" t="str">
        <x:v>a</x:v>
      </x:c>
      <x:c r="E146" t="str">
        <x:v>https://www.webonary.org/marubo/g0e8dcae2-2ce2-4cec-8bbd-185ea211d244/</x:v>
      </x:c>
      <x:c r="F146" t="str">
        <x:v>ga9f21390-3c85-49b5-8527-b65306d72b64</x:v>
      </x:c>
      <x:c r="G146" s="20" t="n">
        <x:v>46003.934751099536</x:v>
      </x:c>
    </x:row>
    <x:row r="147">
      <x:c r="A147" s="18" t="str">
        <x:v>assobiar</x:v>
      </x:c>
      <x:c r="B147" s="18" t="str">
        <x:v>shẽĩ ikí</x:v>
      </x:c>
      <x:c r="C147" s="19" t="n">
        <x:f>IF(B147="",0,(LEN(B147)-LEN(SUBSTITUTE(B147," | ","")))/3+1)</x:f>
        <x:v>1</x:v>
      </x:c>
      <x:c r="D147" t="str">
        <x:v>a</x:v>
      </x:c>
      <x:c r="E147" t="str">
        <x:v>https://www.webonary.org/marubo/gf089427a-a60d-42b4-ae69-633b9a9f1595/</x:v>
      </x:c>
      <x:c r="F147" t="str">
        <x:v>g1c2bcfe9-c5e0-42f7-9faa-bdf0be2276e3</x:v>
      </x:c>
      <x:c r="G147" s="20" t="n">
        <x:v>46003.934751099536</x:v>
      </x:c>
    </x:row>
    <x:row r="148">
      <x:c r="A148" s="18" t="str">
        <x:v>assombrar</x:v>
      </x:c>
      <x:c r="B148" s="18" t="str">
        <x:v>pãtéa</x:v>
      </x:c>
      <x:c r="C148" s="19" t="n">
        <x:f>IF(B148="",0,(LEN(B148)-LEN(SUBSTITUTE(B148," | ","")))/3+1)</x:f>
        <x:v>1</x:v>
      </x:c>
      <x:c r="D148" t="str">
        <x:v>a</x:v>
      </x:c>
      <x:c r="E148" t="str">
        <x:v>https://www.webonary.org/marubo/gca8d65b6-c1c9-4b1d-83b6-9f717e34b5e5/</x:v>
      </x:c>
      <x:c r="F148" t="str">
        <x:v>g92a15ed8-a3f2-4060-b8c0-cde099f0f600</x:v>
      </x:c>
      <x:c r="G148" s="20" t="n">
        <x:v>46003.934751099536</x:v>
      </x:c>
    </x:row>
    <x:row r="149">
      <x:c r="A149" s="18" t="str">
        <x:v>assovia</x:v>
      </x:c>
      <x:c r="B149" s="18" t="str">
        <x:v>shei</x:v>
      </x:c>
      <x:c r="C149" s="19" t="n">
        <x:f>IF(B149="",0,(LEN(B149)-LEN(SUBSTITUTE(B149," | ","")))/3+1)</x:f>
        <x:v>1</x:v>
      </x:c>
      <x:c r="D149" t="str">
        <x:v>a</x:v>
      </x:c>
      <x:c r="E149" t="str">
        <x:v>https://www.webonary.org/marubo/gdf44974a-b26b-406f-b037-2c7e3056aba9/</x:v>
      </x:c>
      <x:c r="F149" t="str">
        <x:v>g0379807d-0291-46a4-8767-843be7e388df</x:v>
      </x:c>
      <x:c r="G149" s="20" t="n">
        <x:v>46003.934751099536</x:v>
      </x:c>
    </x:row>
    <x:row r="150">
      <x:c r="A150" s="18" t="str">
        <x:v>assoviar</x:v>
      </x:c>
      <x:c r="B150" s="18" t="str">
        <x:v>shẽi</x:v>
      </x:c>
      <x:c r="C150" s="19" t="n">
        <x:f>IF(B150="",0,(LEN(B150)-LEN(SUBSTITUTE(B150," | ","")))/3+1)</x:f>
        <x:v>1</x:v>
      </x:c>
      <x:c r="D150" t="str">
        <x:v>a</x:v>
      </x:c>
      <x:c r="E150" t="str">
        <x:v>https://www.webonary.org/marubo/g387094f0-a5b1-48fb-bb26-9f0355d21cb9/</x:v>
      </x:c>
      <x:c r="F150" t="str">
        <x:v>gfd3e7eda-81be-4ad4-b6ff-89548792bb8d</x:v>
      </x:c>
      <x:c r="G150" s="20" t="n">
        <x:v>46003.934751099536</x:v>
      </x:c>
    </x:row>
    <x:row r="151">
      <x:c r="A151" s="18" t="str">
        <x:v>assustar</x:v>
      </x:c>
      <x:c r="B151" s="18" t="str">
        <x:v>ratéa | rakete aká | mechpakewã</x:v>
      </x:c>
      <x:c r="C151" s="19" t="n">
        <x:f>IF(B151="",0,(LEN(B151)-LEN(SUBSTITUTE(B151," | ","")))/3+1)</x:f>
        <x:v>3</x:v>
      </x:c>
      <x:c r="D151" t="str">
        <x:v>a</x:v>
      </x:c>
      <x:c r="E151" t="str">
        <x:v>https://www.webonary.org/marubo/g6a3b4e80-4e89-463d-b5ea-b9deba3892a9/</x:v>
      </x:c>
      <x:c r="F151" t="str">
        <x:v>g5b6e878e-a168-4e21-a798-5432103f334a</x:v>
      </x:c>
      <x:c r="G151" s="20" t="n">
        <x:v>46003.934751099536</x:v>
      </x:c>
    </x:row>
    <x:row r="152">
      <x:c r="A152" s="18" t="str">
        <x:v>atigir</x:v>
      </x:c>
      <x:c r="B152" s="18" t="str">
        <x:v>atxía</x:v>
      </x:c>
      <x:c r="C152" s="19" t="n">
        <x:f>IF(B152="",0,(LEN(B152)-LEN(SUBSTITUTE(B152," | ","")))/3+1)</x:f>
        <x:v>1</x:v>
      </x:c>
      <x:c r="D152" t="str">
        <x:v>a</x:v>
      </x:c>
      <x:c r="E152" t="str">
        <x:v>https://www.webonary.org/marubo/g515ef14c-0922-4aed-9223-6d1b1da7f8c9/</x:v>
      </x:c>
      <x:c r="F152" t="str">
        <x:v>ge194acf8-ab4d-45d3-8547-52e2bb23f278</x:v>
      </x:c>
      <x:c r="G152" s="20" t="n">
        <x:v>46003.934751099536</x:v>
      </x:c>
    </x:row>
    <x:row r="153">
      <x:c r="A153" s="18" t="str">
        <x:v>atingir</x:v>
      </x:c>
      <x:c r="B153" s="18" t="str">
        <x:v>tsaka</x:v>
      </x:c>
      <x:c r="C153" s="19" t="n">
        <x:f>IF(B153="",0,(LEN(B153)-LEN(SUBSTITUTE(B153," | ","")))/3+1)</x:f>
        <x:v>1</x:v>
      </x:c>
      <x:c r="D153" t="str">
        <x:v>a</x:v>
      </x:c>
      <x:c r="E153" t="str">
        <x:v>https://www.webonary.org/marubo/gdff9e94d-3bf1-4cb4-957a-32d951aeb247/</x:v>
      </x:c>
      <x:c r="F153" t="str">
        <x:v>g944c720d-66c1-4188-8010-71db636ea967</x:v>
      </x:c>
      <x:c r="G153" s="20" t="n">
        <x:v>46003.934751099536</x:v>
      </x:c>
    </x:row>
    <x:row r="154">
      <x:c r="A154" s="18" t="str">
        <x:v>atirar</x:v>
      </x:c>
      <x:c r="B154" s="18" t="str">
        <x:v>teka | 1</x:v>
      </x:c>
      <x:c r="C154" s="19" t="n">
        <x:f>IF(B154="",0,(LEN(B154)-LEN(SUBSTITUTE(B154," | ","")))/3+1)</x:f>
        <x:v>2</x:v>
      </x:c>
      <x:c r="D154" t="str">
        <x:v>a</x:v>
      </x:c>
      <x:c r="E154" t="str">
        <x:v>https://www.webonary.org/marubo/gcd0ca2d2-09fc-44e8-98fb-462bf6daacab/</x:v>
      </x:c>
      <x:c r="F154" t="str">
        <x:v>g42ec9105-ac8d-4a0a-a9dc-75d9c4de852b</x:v>
      </x:c>
      <x:c r="G154" s="20" t="n">
        <x:v>46003.934751099536</x:v>
      </x:c>
    </x:row>
    <x:row r="155">
      <x:c r="A155" s="18" t="str">
        <x:v>atrás</x:v>
      </x:c>
      <x:c r="B155" s="18" t="str">
        <x:v>txipo</x:v>
      </x:c>
      <x:c r="C155" s="19" t="n">
        <x:f>IF(B155="",0,(LEN(B155)-LEN(SUBSTITUTE(B155," | ","")))/3+1)</x:f>
        <x:v>1</x:v>
      </x:c>
      <x:c r="D155" t="str">
        <x:v>a</x:v>
      </x:c>
      <x:c r="E155" t="str">
        <x:v>https://www.webonary.org/marubo/g9331d009-a4a9-48b9-b0dd-7cced1c9602e/</x:v>
      </x:c>
      <x:c r="F155" t="str">
        <x:v>g8ef05da8-72a3-4a90-b4d4-6b36c5ba17ed</x:v>
      </x:c>
      <x:c r="G155" s="20" t="n">
        <x:v>46003.934751099536</x:v>
      </x:c>
    </x:row>
    <x:row r="156">
      <x:c r="A156" s="18" t="str">
        <x:v>atrás do joelho</x:v>
      </x:c>
      <x:c r="B156" s="18" t="str">
        <x:v>raspíti</x:v>
      </x:c>
      <x:c r="C156" s="19" t="n">
        <x:f>IF(B156="",0,(LEN(B156)-LEN(SUBSTITUTE(B156," | ","")))/3+1)</x:f>
        <x:v>1</x:v>
      </x:c>
      <x:c r="D156" t="str">
        <x:v>a</x:v>
      </x:c>
      <x:c r="E156" t="str">
        <x:v>https://www.webonary.org/marubo/ged83943d-4559-4137-84c5-b09a354fe221/</x:v>
      </x:c>
      <x:c r="F156" t="str">
        <x:v>g2788c310-1d66-4eac-89d6-8da55735b46b</x:v>
      </x:c>
      <x:c r="G156" s="20" t="n">
        <x:v>46003.93475862269</x:v>
      </x:c>
    </x:row>
    <x:row r="157">
      <x:c r="A157" s="18" t="str">
        <x:v>atravessar</x:v>
      </x:c>
      <x:c r="B157" s="18" t="str">
        <x:v>pokea</x:v>
      </x:c>
      <x:c r="C157" s="19" t="n">
        <x:f>IF(B157="",0,(LEN(B157)-LEN(SUBSTITUTE(B157," | ","")))/3+1)</x:f>
        <x:v>1</x:v>
      </x:c>
      <x:c r="D157" t="str">
        <x:v>a</x:v>
      </x:c>
      <x:c r="E157" t="str">
        <x:v>https://www.webonary.org/marubo/g91b55762-9fdf-4dd3-9dfe-4dcc847a7f42/</x:v>
      </x:c>
      <x:c r="F157" t="str">
        <x:v>g53fa2b24-b01d-4961-a082-611b8c5c51b0</x:v>
      </x:c>
      <x:c r="G157" s="20" t="n">
        <x:v>46003.93475862269</x:v>
      </x:c>
    </x:row>
    <x:row r="158">
      <x:c r="A158" s="18" t="str">
        <x:v>AUX.1</x:v>
      </x:c>
      <x:c r="B158" s="18" t="str">
        <x:v>ikí | 1</x:v>
      </x:c>
      <x:c r="C158" s="19" t="n">
        <x:f>IF(B158="",0,(LEN(B158)-LEN(SUBSTITUTE(B158," | ","")))/3+1)</x:f>
        <x:v>2</x:v>
      </x:c>
      <x:c r="D158" t="str">
        <x:v>a</x:v>
      </x:c>
      <x:c r="E158" t="str">
        <x:v>https://www.webonary.org/marubo/gf2679fdd-462c-454f-b18e-0cba369052c7/</x:v>
      </x:c>
      <x:c r="F158" t="str">
        <x:v>g4b532112-a439-4876-90dd-e2ca67110b7f</x:v>
      </x:c>
      <x:c r="G158" s="20" t="n">
        <x:v>46003.93475862269</x:v>
      </x:c>
    </x:row>
    <x:row r="159">
      <x:c r="A159" s="18" t="str">
        <x:v>avião</x:v>
      </x:c>
      <x:c r="B159" s="18" t="str">
        <x:v>keyá rãtxa</x:v>
      </x:c>
      <x:c r="C159" s="19" t="n">
        <x:f>IF(B159="",0,(LEN(B159)-LEN(SUBSTITUTE(B159," | ","")))/3+1)</x:f>
        <x:v>1</x:v>
      </x:c>
      <x:c r="D159" t="str">
        <x:v>a</x:v>
      </x:c>
      <x:c r="E159" t="str">
        <x:v>https://www.webonary.org/marubo/gf40fc3d3-82ba-4cba-93b9-c247874ae2e7/</x:v>
      </x:c>
      <x:c r="F159" t="str">
        <x:v>gc404ac54-2d7a-448a-92c4-b6470e253905</x:v>
      </x:c>
      <x:c r="G159" s="20" t="n">
        <x:v>46003.93475862269</x:v>
      </x:c>
    </x:row>
    <x:row r="160">
      <x:c r="A160" s="18" t="str">
        <x:v>avô cruzado</x:v>
      </x:c>
      <x:c r="B160" s="18" t="str">
        <x:v>txaitxo</x:v>
      </x:c>
      <x:c r="C160" s="19" t="n">
        <x:f>IF(B160="",0,(LEN(B160)-LEN(SUBSTITUTE(B160," | ","")))/3+1)</x:f>
        <x:v>1</x:v>
      </x:c>
      <x:c r="D160" t="str">
        <x:v>a</x:v>
      </x:c>
      <x:c r="E160" t="str">
        <x:v>https://www.webonary.org/marubo/g3e535a09-3841-4343-9af1-2877025c9544/</x:v>
      </x:c>
      <x:c r="F160" t="str">
        <x:v>gd215694c-5f22-498a-ac6b-68721677a334</x:v>
      </x:c>
      <x:c r="G160" s="20" t="n">
        <x:v>46003.93475862269</x:v>
      </x:c>
    </x:row>
    <x:row r="161">
      <x:c r="A161" s="18" t="str">
        <x:v>avó materna</x:v>
      </x:c>
      <x:c r="B161" s="18" t="str">
        <x:v>txichtxo</x:v>
      </x:c>
      <x:c r="C161" s="19" t="n">
        <x:f>IF(B161="",0,(LEN(B161)-LEN(SUBSTITUTE(B161," | ","")))/3+1)</x:f>
        <x:v>1</x:v>
      </x:c>
      <x:c r="D161" t="str">
        <x:v>a</x:v>
      </x:c>
      <x:c r="E161" t="str">
        <x:v>https://www.webonary.org/marubo/ga3532406-eb59-4170-a5ee-0c4264ba8cca/</x:v>
      </x:c>
      <x:c r="F161" t="str">
        <x:v>ge5ee8ae4-dede-4c34-aa72-314ba8fceba1</x:v>
      </x:c>
      <x:c r="G161" s="20" t="n">
        <x:v>46003.93475862269</x:v>
      </x:c>
    </x:row>
    <x:row r="162">
      <x:c r="A162" s="18" t="str">
        <x:v>avó paternal</x:v>
      </x:c>
      <x:c r="B162" s="18" t="str">
        <x:v>paĩtxo</x:v>
      </x:c>
      <x:c r="C162" s="19" t="n">
        <x:f>IF(B162="",0,(LEN(B162)-LEN(SUBSTITUTE(B162," | ","")))/3+1)</x:f>
        <x:v>1</x:v>
      </x:c>
      <x:c r="D162" t="str">
        <x:v>a</x:v>
      </x:c>
      <x:c r="E162" t="str">
        <x:v>https://www.webonary.org/marubo/g47c0a2a8-a1cc-409c-aa31-b486fcff56d4/</x:v>
      </x:c>
      <x:c r="F162" t="str">
        <x:v>g6cd096f7-8583-4f7c-8d6a-f7475af02ad6</x:v>
      </x:c>
      <x:c r="G162" s="20" t="n">
        <x:v>46003.93475862269</x:v>
      </x:c>
    </x:row>
    <x:row r="163">
      <x:c r="A163" s="18" t="str">
        <x:v>avó paterno</x:v>
      </x:c>
      <x:c r="B163" s="18" t="str">
        <x:v>ochtxo</x:v>
      </x:c>
      <x:c r="C163" s="19" t="n">
        <x:f>IF(B163="",0,(LEN(B163)-LEN(SUBSTITUTE(B163," | ","")))/3+1)</x:f>
        <x:v>1</x:v>
      </x:c>
      <x:c r="D163" t="str">
        <x:v>a</x:v>
      </x:c>
      <x:c r="E163" t="str">
        <x:v>https://www.webonary.org/marubo/gaf48f5ee-27a2-4e51-becd-f5797f0d79fa/</x:v>
      </x:c>
      <x:c r="F163" t="str">
        <x:v>g8a35fe9a-8f19-4bb4-9aeb-dbcd7439dd02</x:v>
      </x:c>
      <x:c r="G163" s="20" t="n">
        <x:v>46003.93475862269</x:v>
      </x:c>
    </x:row>
    <x:row r="164">
      <x:c r="A164" s="18" t="str">
        <x:v>ayahuasca</x:v>
      </x:c>
      <x:c r="B164" s="18" t="str">
        <x:v>õni</x:v>
      </x:c>
      <x:c r="C164" s="19" t="n">
        <x:f>IF(B164="",0,(LEN(B164)-LEN(SUBSTITUTE(B164," | ","")))/3+1)</x:f>
        <x:v>1</x:v>
      </x:c>
      <x:c r="D164" t="str">
        <x:v>a</x:v>
      </x:c>
      <x:c r="E164" t="str">
        <x:v>https://www.webonary.org/marubo/g5a73ffd1-cbbd-42cf-b4b3-7a7ea4fb1991/</x:v>
      </x:c>
      <x:c r="F164" t="str">
        <x:v>gb50c1b43-1c38-4e04-b996-704b432784fa</x:v>
      </x:c>
      <x:c r="G164" s="20" t="n">
        <x:v>46003.93475862269</x:v>
      </x:c>
    </x:row>
    <x:row r="165">
      <x:c r="A165" s="18" t="str">
        <x:v>azedo</x:v>
      </x:c>
      <x:c r="B165" s="18" t="str">
        <x:v>katxaka</x:v>
      </x:c>
      <x:c r="C165" s="19" t="n">
        <x:f>IF(B165="",0,(LEN(B165)-LEN(SUBSTITUTE(B165," | ","")))/3+1)</x:f>
        <x:v>1</x:v>
      </x:c>
      <x:c r="D165" t="str">
        <x:v>a</x:v>
      </x:c>
      <x:c r="E165" t="str">
        <x:v>https://www.webonary.org/marubo/g4f974269-5e13-424a-b0d4-3481443cae1f/</x:v>
      </x:c>
      <x:c r="F165" t="str">
        <x:v>g009e6537-5441-40f4-aa36-74972d5eaa1e</x:v>
      </x:c>
      <x:c r="G165" s="20" t="n">
        <x:v>46003.93475862269</x:v>
      </x:c>
    </x:row>
    <x:row r="166">
      <x:c r="A166" s="18" t="str">
        <x:v>azul claro</x:v>
      </x:c>
      <x:c r="B166" s="18" t="str">
        <x:v>shanekoroka</x:v>
      </x:c>
      <x:c r="C166" s="19" t="n">
        <x:f>IF(B166="",0,(LEN(B166)-LEN(SUBSTITUTE(B166," | ","")))/3+1)</x:f>
        <x:v>1</x:v>
      </x:c>
      <x:c r="D166" t="str">
        <x:v>a</x:v>
      </x:c>
      <x:c r="E166" t="str">
        <x:v>https://www.webonary.org/marubo/gf08d20d5-e793-42ad-afa0-9a1f2c3f0ef0/</x:v>
      </x:c>
      <x:c r="F166" t="str">
        <x:v>g69729403-339f-4601-b322-7e8348d55498</x:v>
      </x:c>
      <x:c r="G166" s="20" t="n">
        <x:v>46003.93475862269</x:v>
      </x:c>
    </x:row>
    <x:row r="167">
      <x:c r="A167" s="18" t="str">
        <x:v>azul escuro</x:v>
      </x:c>
      <x:c r="B167" s="18" t="str">
        <x:v>shaneisoka</x:v>
      </x:c>
      <x:c r="C167" s="19" t="n">
        <x:f>IF(B167="",0,(LEN(B167)-LEN(SUBSTITUTE(B167," | ","")))/3+1)</x:f>
        <x:v>1</x:v>
      </x:c>
      <x:c r="D167" t="str">
        <x:v>a</x:v>
      </x:c>
      <x:c r="E167" t="str">
        <x:v>https://www.webonary.org/marubo/g1921bb44-1b58-4851-92eb-66a8414afa4f/</x:v>
      </x:c>
      <x:c r="F167" t="str">
        <x:v>g5f7e6d45-b707-41be-90ef-06c6a07bfaab</x:v>
      </x:c>
      <x:c r="G167" s="20" t="n">
        <x:v>46003.93475862269</x:v>
      </x:c>
    </x:row>
    <x:row r="168">
      <x:c r="A168" s="18" t="str">
        <x:v>babaçu</x:v>
      </x:c>
      <x:c r="B168" s="18" t="str">
        <x:v>kõta</x:v>
      </x:c>
      <x:c r="C168" s="19" t="n">
        <x:f>IF(B168="",0,(LEN(B168)-LEN(SUBSTITUTE(B168," | ","")))/3+1)</x:f>
        <x:v>1</x:v>
      </x:c>
      <x:c r="D168" t="str">
        <x:v>b</x:v>
      </x:c>
      <x:c r="E168" t="str">
        <x:v>https://www.webonary.org/marubo/g989ff2a9-4106-4583-9eb5-8bf7f841957a/</x:v>
      </x:c>
      <x:c r="F168" t="str">
        <x:v>g7e37b3a9-cc2e-4be6-89d6-7e130a7185d8</x:v>
      </x:c>
      <x:c r="G168" s="20" t="n">
        <x:v>46003.93475862269</x:v>
      </x:c>
    </x:row>
    <x:row r="169">
      <x:c r="A169" s="18" t="str">
        <x:v>bacia</x:v>
      </x:c>
      <x:c r="B169" s="18" t="str">
        <x:v>tsisó | txĩká</x:v>
      </x:c>
      <x:c r="C169" s="19" t="n">
        <x:f>IF(B169="",0,(LEN(B169)-LEN(SUBSTITUTE(B169," | ","")))/3+1)</x:f>
        <x:v>2</x:v>
      </x:c>
      <x:c r="D169" t="str">
        <x:v>b</x:v>
      </x:c>
      <x:c r="E169" t="str">
        <x:v>https://www.webonary.org/marubo/g4588f754-4831-4573-89a7-6161ca90cf5c/</x:v>
      </x:c>
      <x:c r="F169" t="str">
        <x:v>gb92a5175-3525-42c9-95fd-018d05b149e1</x:v>
      </x:c>
      <x:c r="G169" s="20" t="n">
        <x:v>46003.93475862269</x:v>
      </x:c>
    </x:row>
    <x:row r="170">
      <x:c r="A170" s="18" t="str">
        <x:v>bacural</x:v>
      </x:c>
      <x:c r="B170" s="18" t="str">
        <x:v>txoshpe | 1</x:v>
      </x:c>
      <x:c r="C170" s="19" t="n">
        <x:f>IF(B170="",0,(LEN(B170)-LEN(SUBSTITUTE(B170," | ","")))/3+1)</x:f>
        <x:v>2</x:v>
      </x:c>
      <x:c r="D170" t="str">
        <x:v>b</x:v>
      </x:c>
      <x:c r="E170" t="str">
        <x:v>https://www.webonary.org/marubo/gd58ae1d9-a100-4f01-9231-ece6468f90ca/</x:v>
      </x:c>
      <x:c r="F170" t="str">
        <x:v>ga99bb64c-68d2-48df-864e-58c94488ba58</x:v>
      </x:c>
      <x:c r="G170" s="20" t="n">
        <x:v>46003.93475862269</x:v>
      </x:c>
    </x:row>
    <x:row r="171">
      <x:c r="A171" s="18" t="str">
        <x:v>baixo</x:v>
      </x:c>
      <x:c r="B171" s="18" t="str">
        <x:v>tokochta</x:v>
      </x:c>
      <x:c r="C171" s="19" t="n">
        <x:f>IF(B171="",0,(LEN(B171)-LEN(SUBSTITUTE(B171," | ","")))/3+1)</x:f>
        <x:v>1</x:v>
      </x:c>
      <x:c r="D171" t="str">
        <x:v>b</x:v>
      </x:c>
      <x:c r="E171" t="str">
        <x:v>https://www.webonary.org/marubo/g4afd0513-858c-4243-8702-84d182584117/</x:v>
      </x:c>
      <x:c r="F171" t="str">
        <x:v>gd0556e73-754a-4c7c-86ef-c863883caa3d</x:v>
      </x:c>
      <x:c r="G171" s="20" t="n">
        <x:v>46003.93475862269</x:v>
      </x:c>
    </x:row>
    <x:row r="172">
      <x:c r="A172" s="18" t="str">
        <x:v>balança</x:v>
      </x:c>
      <x:c r="B172" s="18" t="str">
        <x:v>weõti</x:v>
      </x:c>
      <x:c r="C172" s="19" t="n">
        <x:f>IF(B172="",0,(LEN(B172)-LEN(SUBSTITUTE(B172," | ","")))/3+1)</x:f>
        <x:v>1</x:v>
      </x:c>
      <x:c r="D172" t="str">
        <x:v>b</x:v>
      </x:c>
      <x:c r="E172" t="str">
        <x:v>https://www.webonary.org/marubo/g919bc5af-628d-4129-bef4-41c158f18bcf/</x:v>
      </x:c>
      <x:c r="F172" t="str">
        <x:v>g604dc38a-c6d6-42fe-a698-7dd6e2ec7282</x:v>
      </x:c>
      <x:c r="G172" s="20" t="n">
        <x:v>46003.93475862269</x:v>
      </x:c>
    </x:row>
    <x:row r="173">
      <x:c r="A173" s="18" t="str">
        <x:v>balançar</x:v>
      </x:c>
      <x:c r="B173" s="18" t="str">
        <x:v>keshkã ikí | oyõ ikí</x:v>
      </x:c>
      <x:c r="C173" s="19" t="n">
        <x:f>IF(B173="",0,(LEN(B173)-LEN(SUBSTITUTE(B173," | ","")))/3+1)</x:f>
        <x:v>2</x:v>
      </x:c>
      <x:c r="D173" t="str">
        <x:v>b</x:v>
      </x:c>
      <x:c r="E173" t="str">
        <x:v>https://www.webonary.org/marubo/gc79a42bc-c0c5-4698-a5c0-dcf7e08c8312/</x:v>
      </x:c>
      <x:c r="F173" t="str">
        <x:v>gc42b64e0-b367-44e7-a4f7-9b35894cfd45</x:v>
      </x:c>
      <x:c r="G173" s="20" t="n">
        <x:v>46003.93475862269</x:v>
      </x:c>
    </x:row>
    <x:row r="174">
      <x:c r="A174" s="18" t="str">
        <x:v>balançar de rede</x:v>
      </x:c>
      <x:c r="B174" s="18" t="str">
        <x:v>weõ ikí</x:v>
      </x:c>
      <x:c r="C174" s="19" t="n">
        <x:f>IF(B174="",0,(LEN(B174)-LEN(SUBSTITUTE(B174," | ","")))/3+1)</x:f>
        <x:v>1</x:v>
      </x:c>
      <x:c r="D174" t="str">
        <x:v>b</x:v>
      </x:c>
      <x:c r="E174" t="str">
        <x:v>https://www.webonary.org/marubo/gfa371b89-1ea9-40a1-a450-f20bb760c5f6/</x:v>
      </x:c>
      <x:c r="F174" t="str">
        <x:v>g3ea0f7c0-0562-4454-a850-35b0b07ee770</x:v>
      </x:c>
      <x:c r="G174" s="20" t="n">
        <x:v>46003.93475862269</x:v>
      </x:c>
    </x:row>
    <x:row r="175">
      <x:c r="A175" s="18" t="str">
        <x:v>bambu</x:v>
      </x:c>
      <x:c r="B175" s="18" t="str">
        <x:v>paka | 1</x:v>
      </x:c>
      <x:c r="C175" s="19" t="n">
        <x:f>IF(B175="",0,(LEN(B175)-LEN(SUBSTITUTE(B175," | ","")))/3+1)</x:f>
        <x:v>2</x:v>
      </x:c>
      <x:c r="D175" t="str">
        <x:v>b</x:v>
      </x:c>
      <x:c r="E175" t="str">
        <x:v>https://www.webonary.org/marubo/gc58b01f7-23ce-4893-8f23-8769cabdf858/</x:v>
      </x:c>
      <x:c r="F175" t="str">
        <x:v>g0621eddd-87fe-478d-bee6-343aa4fbb925</x:v>
      </x:c>
      <x:c r="G175" s="20" t="n">
        <x:v>46003.93475862269</x:v>
      </x:c>
    </x:row>
    <x:row r="176">
      <x:c r="A176" s="18" t="str">
        <x:v>banana</x:v>
      </x:c>
      <x:c r="B176" s="18" t="str">
        <x:v>mani</x:v>
      </x:c>
      <x:c r="C176" s="19" t="n">
        <x:f>IF(B176="",0,(LEN(B176)-LEN(SUBSTITUTE(B176," | ","")))/3+1)</x:f>
        <x:v>1</x:v>
      </x:c>
      <x:c r="D176" t="str">
        <x:v>b</x:v>
      </x:c>
      <x:c r="E176" t="str">
        <x:v>https://www.webonary.org/marubo/g04ab820a-3a79-4646-9ec7-e87bc4047287/</x:v>
      </x:c>
      <x:c r="F176" t="str">
        <x:v>ga6ea15ea-f0ce-4afc-aec3-d9a86f233a67</x:v>
      </x:c>
      <x:c r="G176" s="20" t="n">
        <x:v>46003.93475862269</x:v>
      </x:c>
    </x:row>
    <x:row r="177">
      <x:c r="A177" s="18" t="str">
        <x:v>banana chifre de boi</x:v>
      </x:c>
      <x:c r="B177" s="18" t="str">
        <x:v>awá mani</x:v>
      </x:c>
      <x:c r="C177" s="19" t="n">
        <x:f>IF(B177="",0,(LEN(B177)-LEN(SUBSTITUTE(B177," | ","")))/3+1)</x:f>
        <x:v>1</x:v>
      </x:c>
      <x:c r="D177" t="str">
        <x:v>b</x:v>
      </x:c>
      <x:c r="E177" t="str">
        <x:v>https://www.webonary.org/marubo/g96b1109a-ef40-4bdb-9c70-d6e305f3c4f4/</x:v>
      </x:c>
      <x:c r="F177" t="str">
        <x:v>gcae26d6a-aa82-454d-83bb-fa219d064383</x:v>
      </x:c>
      <x:c r="G177" s="20" t="n">
        <x:v>46003.93475862269</x:v>
      </x:c>
    </x:row>
    <x:row r="178">
      <x:c r="A178" s="18" t="str">
        <x:v>banana da terra2</x:v>
      </x:c>
      <x:c r="B178" s="18" t="str">
        <x:v>manika</x:v>
      </x:c>
      <x:c r="C178" s="19" t="n">
        <x:f>IF(B178="",0,(LEN(B178)-LEN(SUBSTITUTE(B178," | ","")))/3+1)</x:f>
        <x:v>1</x:v>
      </x:c>
      <x:c r="D178" t="str">
        <x:v>b</x:v>
      </x:c>
      <x:c r="E178" t="str">
        <x:v>https://www.webonary.org/marubo/g315aec3f-c00e-44de-a5a0-6973e45d4fea/</x:v>
      </x:c>
      <x:c r="F178" t="str">
        <x:v>gc3912a24-1063-4ce8-831c-87cf9d392ece</x:v>
      </x:c>
      <x:c r="G178" s="20" t="n">
        <x:v>46003.93475862269</x:v>
      </x:c>
    </x:row>
    <x:row r="179">
      <x:c r="A179" s="18" t="str">
        <x:v>banana maçã</x:v>
      </x:c>
      <x:c r="B179" s="18" t="str">
        <x:v>chĩko mani</x:v>
      </x:c>
      <x:c r="C179" s="19" t="n">
        <x:f>IF(B179="",0,(LEN(B179)-LEN(SUBSTITUTE(B179," | ","")))/3+1)</x:f>
        <x:v>1</x:v>
      </x:c>
      <x:c r="D179" t="str">
        <x:v>b</x:v>
      </x:c>
      <x:c r="E179" t="str">
        <x:v>https://www.webonary.org/marubo/ga5f3f563-6c9f-449a-a12d-a5dff0742677/</x:v>
      </x:c>
      <x:c r="F179" t="str">
        <x:v>g37d43574-3c79-404d-9a92-97c523e67c78</x:v>
      </x:c>
      <x:c r="G179" s="20" t="n">
        <x:v>46003.93475862269</x:v>
      </x:c>
    </x:row>
    <x:row r="180">
      <x:c r="A180" s="18" t="str">
        <x:v>banana nanica</x:v>
      </x:c>
      <x:c r="B180" s="18" t="str">
        <x:v>koro mani</x:v>
      </x:c>
      <x:c r="C180" s="19" t="n">
        <x:f>IF(B180="",0,(LEN(B180)-LEN(SUBSTITUTE(B180," | ","")))/3+1)</x:f>
        <x:v>1</x:v>
      </x:c>
      <x:c r="D180" t="str">
        <x:v>b</x:v>
      </x:c>
      <x:c r="E180" t="str">
        <x:v>https://www.webonary.org/marubo/g1aead4ca-f9fc-42fc-828e-44e9713aaede/</x:v>
      </x:c>
      <x:c r="F180" t="str">
        <x:v>g160968fe-eb48-47fd-8813-51ba8f13a4ee</x:v>
      </x:c>
      <x:c r="G180" s="20" t="n">
        <x:v>46003.93475862269</x:v>
      </x:c>
    </x:row>
    <x:row r="181">
      <x:c r="A181" s="18" t="str">
        <x:v>banana não madura</x:v>
      </x:c>
      <x:c r="B181" s="18" t="str">
        <x:v>txõpaka</x:v>
      </x:c>
      <x:c r="C181" s="19" t="n">
        <x:f>IF(B181="",0,(LEN(B181)-LEN(SUBSTITUTE(B181," | ","")))/3+1)</x:f>
        <x:v>1</x:v>
      </x:c>
      <x:c r="D181" t="str">
        <x:v>b</x:v>
      </x:c>
      <x:c r="E181" t="str">
        <x:v>https://www.webonary.org/marubo/g0d7f5e14-8269-45f2-a4ce-28d340ad3e8e/</x:v>
      </x:c>
      <x:c r="F181" t="str">
        <x:v>gb650ba40-d5d1-4423-b347-0e50cf3314cd</x:v>
      </x:c>
      <x:c r="G181" s="20" t="n">
        <x:v>46003.93475862269</x:v>
      </x:c>
    </x:row>
    <x:row r="182">
      <x:c r="A182" s="18" t="str">
        <x:v>banana ou inga que não ficou grande</x:v>
      </x:c>
      <x:c r="B182" s="18" t="str">
        <x:v>txõpa</x:v>
      </x:c>
      <x:c r="C182" s="19" t="n">
        <x:f>IF(B182="",0,(LEN(B182)-LEN(SUBSTITUTE(B182," | ","")))/3+1)</x:f>
        <x:v>1</x:v>
      </x:c>
      <x:c r="D182" t="str">
        <x:v>b</x:v>
      </x:c>
      <x:c r="E182" t="str">
        <x:v>https://www.webonary.org/marubo/ga3738855-bc62-4952-94c3-56a5f389e873/</x:v>
      </x:c>
      <x:c r="F182" t="str">
        <x:v>ge3db70d0-1f11-4582-b1a6-c1b75fbe2c36</x:v>
      </x:c>
      <x:c r="G182" s="20" t="n">
        <x:v>46003.93475862269</x:v>
      </x:c>
    </x:row>
    <x:row r="183">
      <x:c r="A183" s="18" t="str">
        <x:v>banana prata</x:v>
      </x:c>
      <x:c r="B183" s="18" t="str">
        <x:v>mãsãmani</x:v>
      </x:c>
      <x:c r="C183" s="19" t="n">
        <x:f>IF(B183="",0,(LEN(B183)-LEN(SUBSTITUTE(B183," | ","")))/3+1)</x:f>
        <x:v>1</x:v>
      </x:c>
      <x:c r="D183" t="str">
        <x:v>b</x:v>
      </x:c>
      <x:c r="E183" t="str">
        <x:v>https://www.webonary.org/marubo/g8cdf34bd-f874-46c8-a8ee-f288ea9aa4ef/</x:v>
      </x:c>
      <x:c r="F183" t="str">
        <x:v>g2bf04d16-dd9c-412f-9268-e6f3ff175880</x:v>
      </x:c>
      <x:c r="G183" s="20" t="n">
        <x:v>46003.93475862269</x:v>
      </x:c>
    </x:row>
    <x:row r="184">
      <x:c r="A184" s="18" t="str">
        <x:v>banana roxa</x:v>
      </x:c>
      <x:c r="B184" s="18" t="str">
        <x:v>kãi mani</x:v>
      </x:c>
      <x:c r="C184" s="19" t="n">
        <x:f>IF(B184="",0,(LEN(B184)-LEN(SUBSTITUTE(B184," | ","")))/3+1)</x:f>
        <x:v>1</x:v>
      </x:c>
      <x:c r="D184" t="str">
        <x:v>b</x:v>
      </x:c>
      <x:c r="E184" t="str">
        <x:v>https://www.webonary.org/marubo/ga0e88c07-07d2-4688-a6fe-9a808099daec/</x:v>
      </x:c>
      <x:c r="F184" t="str">
        <x:v>g6aabd68a-9018-4a16-ab94-146ace17c0d1</x:v>
      </x:c>
      <x:c r="G184" s="20" t="n">
        <x:v>46003.93475862269</x:v>
      </x:c>
    </x:row>
    <x:row r="185">
      <x:c r="A185" s="18" t="str">
        <x:v>banana verde cozida</x:v>
      </x:c>
      <x:c r="B185" s="18" t="str">
        <x:v>mani shoo</x:v>
      </x:c>
      <x:c r="C185" s="19" t="n">
        <x:f>IF(B185="",0,(LEN(B185)-LEN(SUBSTITUTE(B185," | ","")))/3+1)</x:f>
        <x:v>1</x:v>
      </x:c>
      <x:c r="D185" t="str">
        <x:v>b</x:v>
      </x:c>
      <x:c r="E185" t="str">
        <x:v>https://www.webonary.org/marubo/gbe6cc282-9d2c-4e99-84b2-04d2f2d7fba6/</x:v>
      </x:c>
      <x:c r="F185" t="str">
        <x:v>g37be25cd-10c6-4113-96e6-81260403e4a0</x:v>
      </x:c>
      <x:c r="G185" s="20" t="n">
        <x:v>46003.93475862269</x:v>
      </x:c>
    </x:row>
    <x:row r="186">
      <x:c r="A186" s="18" t="str">
        <x:v>banar</x:v>
      </x:c>
      <x:c r="B186" s="18" t="str">
        <x:v>wekõa</x:v>
      </x:c>
      <x:c r="C186" s="19" t="n">
        <x:f>IF(B186="",0,(LEN(B186)-LEN(SUBSTITUTE(B186," | ","")))/3+1)</x:f>
        <x:v>1</x:v>
      </x:c>
      <x:c r="D186" t="str">
        <x:v>b</x:v>
      </x:c>
      <x:c r="E186" t="str">
        <x:v>https://www.webonary.org/marubo/ge5a713c4-ec22-406b-aaea-3fbaecddb942/</x:v>
      </x:c>
      <x:c r="F186" t="str">
        <x:v>geb0b631c-7937-4fa3-83ff-36dfa768a59e</x:v>
      </x:c>
      <x:c r="G186" s="20" t="n">
        <x:v>46003.93475862269</x:v>
      </x:c>
    </x:row>
    <x:row r="187">
      <x:c r="A187" s="18" t="str">
        <x:v>banco paralelo</x:v>
      </x:c>
      <x:c r="B187" s="18" t="str">
        <x:v>kenã</x:v>
      </x:c>
      <x:c r="C187" s="19" t="n">
        <x:f>IF(B187="",0,(LEN(B187)-LEN(SUBSTITUTE(B187," | ","")))/3+1)</x:f>
        <x:v>1</x:v>
      </x:c>
      <x:c r="D187" t="str">
        <x:v>b</x:v>
      </x:c>
      <x:c r="E187" t="str">
        <x:v>https://www.webonary.org/marubo/gff5c06a3-fe22-44f9-bcf7-ccc52dbfa951/</x:v>
      </x:c>
      <x:c r="F187" t="str">
        <x:v>g64993846-0053-462d-b0cd-ca49430655c4</x:v>
      </x:c>
      <x:c r="G187" s="20" t="n">
        <x:v>46003.93475862269</x:v>
      </x:c>
    </x:row>
    <x:row r="188">
      <x:c r="A188" s="18" t="str">
        <x:v>barata</x:v>
      </x:c>
      <x:c r="B188" s="18" t="str">
        <x:v>mãpa</x:v>
      </x:c>
      <x:c r="C188" s="19" t="n">
        <x:f>IF(B188="",0,(LEN(B188)-LEN(SUBSTITUTE(B188," | ","")))/3+1)</x:f>
        <x:v>1</x:v>
      </x:c>
      <x:c r="D188" t="str">
        <x:v>b</x:v>
      </x:c>
      <x:c r="E188" t="str">
        <x:v>https://www.webonary.org/marubo/g34af1927-477d-4c2d-8699-c47dfc9d24f0/</x:v>
      </x:c>
      <x:c r="F188" t="str">
        <x:v>gec0666ee-87d1-4daa-a245-5f9b53e43fcf</x:v>
      </x:c>
      <x:c r="G188" s="20" t="n">
        <x:v>46003.93475862269</x:v>
      </x:c>
    </x:row>
    <x:row r="189">
      <x:c r="A189" s="18" t="str">
        <x:v>barato</x:v>
      </x:c>
      <x:c r="B189" s="18" t="str">
        <x:v>orama</x:v>
      </x:c>
      <x:c r="C189" s="19" t="n">
        <x:f>IF(B189="",0,(LEN(B189)-LEN(SUBSTITUTE(B189," | ","")))/3+1)</x:f>
        <x:v>1</x:v>
      </x:c>
      <x:c r="D189" t="str">
        <x:v>b</x:v>
      </x:c>
      <x:c r="E189" t="str">
        <x:v>https://www.webonary.org/marubo/g15a9190b-846d-4a77-b596-4fcc3aad5422/</x:v>
      </x:c>
      <x:c r="F189" t="str">
        <x:v>g2e42ebdb-de3b-4836-abdd-9c64e3aade6d</x:v>
      </x:c>
      <x:c r="G189" s="20" t="n">
        <x:v>46003.93475862269</x:v>
      </x:c>
    </x:row>
    <x:row r="190">
      <x:c r="A190" s="18" t="str">
        <x:v>barba</x:v>
      </x:c>
      <x:c r="B190" s="18" t="str">
        <x:v>keni</x:v>
      </x:c>
      <x:c r="C190" s="19" t="n">
        <x:f>IF(B190="",0,(LEN(B190)-LEN(SUBSTITUTE(B190," | ","")))/3+1)</x:f>
        <x:v>1</x:v>
      </x:c>
      <x:c r="D190" t="str">
        <x:v>b</x:v>
      </x:c>
      <x:c r="E190" t="str">
        <x:v>https://www.webonary.org/marubo/g409703a0-1e16-4e7b-864a-0183b6a617a4/</x:v>
      </x:c>
      <x:c r="F190" t="str">
        <x:v>g08ea4117-12a4-4a7e-aba3-a2d3ff9161e0</x:v>
      </x:c>
      <x:c r="G190" s="20" t="n">
        <x:v>46003.93475862269</x:v>
      </x:c>
    </x:row>
    <x:row r="191">
      <x:c r="A191" s="18" t="str">
        <x:v>barbante</x:v>
      </x:c>
      <x:c r="B191" s="18" t="str">
        <x:v>resisi</x:v>
      </x:c>
      <x:c r="C191" s="19" t="n">
        <x:f>IF(B191="",0,(LEN(B191)-LEN(SUBSTITUTE(B191," | ","")))/3+1)</x:f>
        <x:v>1</x:v>
      </x:c>
      <x:c r="D191" t="str">
        <x:v>b</x:v>
      </x:c>
      <x:c r="E191" t="str">
        <x:v>https://www.webonary.org/marubo/g5fb1ec06-fde6-4dd0-855e-cce2109692a8/</x:v>
      </x:c>
      <x:c r="F191" t="str">
        <x:v>g732e656d-2de8-41d5-8e87-429eff0e095d</x:v>
      </x:c>
      <x:c r="G191" s="20" t="n">
        <x:v>46003.93475862269</x:v>
      </x:c>
    </x:row>
    <x:row r="192">
      <x:c r="A192" s="18" t="str">
        <x:v>barranco</x:v>
      </x:c>
      <x:c r="B192" s="18" t="str">
        <x:v>kẽpe</x:v>
      </x:c>
      <x:c r="C192" s="19" t="n">
        <x:f>IF(B192="",0,(LEN(B192)-LEN(SUBSTITUTE(B192," | ","")))/3+1)</x:f>
        <x:v>1</x:v>
      </x:c>
      <x:c r="D192" t="str">
        <x:v>b</x:v>
      </x:c>
      <x:c r="E192" t="str">
        <x:v>https://www.webonary.org/marubo/g43ef5716-908e-49a7-988e-9dad52065d24/</x:v>
      </x:c>
      <x:c r="F192" t="str">
        <x:v>g4faaa638-afb4-4334-b580-a8c9c77cea4d</x:v>
      </x:c>
      <x:c r="G192" s="20" t="n">
        <x:v>46003.93475862269</x:v>
      </x:c>
    </x:row>
    <x:row r="193">
      <x:c r="A193" s="18" t="str">
        <x:v>barrento</x:v>
      </x:c>
      <x:c r="B193" s="18" t="str">
        <x:v>potáka</x:v>
      </x:c>
      <x:c r="C193" s="19" t="n">
        <x:f>IF(B193="",0,(LEN(B193)-LEN(SUBSTITUTE(B193," | ","")))/3+1)</x:f>
        <x:v>1</x:v>
      </x:c>
      <x:c r="D193" t="str">
        <x:v>b</x:v>
      </x:c>
      <x:c r="E193" t="str">
        <x:v>https://www.webonary.org/marubo/g46198241-7968-429a-a109-dc78cc3c0083/</x:v>
      </x:c>
      <x:c r="F193" t="str">
        <x:v>gec2daf01-8a06-48bc-a669-a677c30c2e53</x:v>
      </x:c>
      <x:c r="G193" s="20" t="n">
        <x:v>46003.93475862269</x:v>
      </x:c>
    </x:row>
    <x:row r="194">
      <x:c r="A194" s="18" t="str">
        <x:v>barulhento</x:v>
      </x:c>
      <x:c r="B194" s="18" t="str">
        <x:v>isĩka</x:v>
      </x:c>
      <x:c r="C194" s="19" t="n">
        <x:f>IF(B194="",0,(LEN(B194)-LEN(SUBSTITUTE(B194," | ","")))/3+1)</x:f>
        <x:v>1</x:v>
      </x:c>
      <x:c r="D194" t="str">
        <x:v>b</x:v>
      </x:c>
      <x:c r="E194" t="str">
        <x:v>https://www.webonary.org/marubo/g03cd81a5-52c4-40af-91db-512c72ea3925/</x:v>
      </x:c>
      <x:c r="F194" t="str">
        <x:v>g67d99ef5-4dd2-411d-8493-397327a8a3dd</x:v>
      </x:c>
      <x:c r="G194" s="20" t="n">
        <x:v>46003.93475862269</x:v>
      </x:c>
    </x:row>
    <x:row r="195">
      <x:c r="A195" s="18" t="str">
        <x:v>barulho de mexer na rede</x:v>
      </x:c>
      <x:c r="B195" s="18" t="str">
        <x:v>tsekés ikí</x:v>
      </x:c>
      <x:c r="C195" s="19" t="n">
        <x:f>IF(B195="",0,(LEN(B195)-LEN(SUBSTITUTE(B195," | ","")))/3+1)</x:f>
        <x:v>1</x:v>
      </x:c>
      <x:c r="D195" t="str">
        <x:v>b</x:v>
      </x:c>
      <x:c r="E195" t="str">
        <x:v>https://www.webonary.org/marubo/g5e716473-d6a5-4881-80c9-3301d1c2c8c4/</x:v>
      </x:c>
      <x:c r="F195" t="str">
        <x:v>g52dbc6d2-5bf6-4ede-8da8-7a4d415dec14</x:v>
      </x:c>
      <x:c r="G195" s="20" t="n">
        <x:v>46003.93475862269</x:v>
      </x:c>
    </x:row>
    <x:row r="196">
      <x:c r="A196" s="18" t="str">
        <x:v>barulho de sacurdir flechas ou lanças juntos</x:v>
      </x:c>
      <x:c r="B196" s="18" t="str">
        <x:v>txari aká</x:v>
      </x:c>
      <x:c r="C196" s="19" t="n">
        <x:f>IF(B196="",0,(LEN(B196)-LEN(SUBSTITUTE(B196," | ","")))/3+1)</x:f>
        <x:v>1</x:v>
      </x:c>
      <x:c r="D196" t="str">
        <x:v>b</x:v>
      </x:c>
      <x:c r="E196" t="str">
        <x:v>https://www.webonary.org/marubo/g38650050-a521-4814-9b41-6325bf5ce4f9/</x:v>
      </x:c>
      <x:c r="F196" t="str">
        <x:v>g4a6b6ddb-5cf2-49bf-917f-375db8680c0a</x:v>
      </x:c>
      <x:c r="G196" s="20" t="n">
        <x:v>46003.93475862269</x:v>
      </x:c>
    </x:row>
    <x:row r="197">
      <x:c r="A197" s="18" t="str">
        <x:v>barulho de trovão (quando homem importante morrer)</x:v>
      </x:c>
      <x:c r="B197" s="18" t="str">
        <x:v>roé aká</x:v>
      </x:c>
      <x:c r="C197" s="19" t="n">
        <x:f>IF(B197="",0,(LEN(B197)-LEN(SUBSTITUTE(B197," | ","")))/3+1)</x:f>
        <x:v>1</x:v>
      </x:c>
      <x:c r="D197" t="str">
        <x:v>b</x:v>
      </x:c>
      <x:c r="E197" t="str">
        <x:v>https://www.webonary.org/marubo/g8b7848d8-de6a-4276-ad07-877228ac9fe3/</x:v>
      </x:c>
      <x:c r="F197" t="str">
        <x:v>g0c5f7303-e206-48bb-9864-147bda7ff568</x:v>
      </x:c>
      <x:c r="G197" s="20" t="n">
        <x:v>46003.93475862269</x:v>
      </x:c>
    </x:row>
    <x:row r="198">
      <x:c r="A198" s="18" t="str">
        <x:v>barulho de trovão (quando uma mulher morrer)</x:v>
      </x:c>
      <x:c r="B198" s="18" t="str">
        <x:v>posti aká</x:v>
      </x:c>
      <x:c r="C198" s="19" t="n">
        <x:f>IF(B198="",0,(LEN(B198)-LEN(SUBSTITUTE(B198," | ","")))/3+1)</x:f>
        <x:v>1</x:v>
      </x:c>
      <x:c r="D198" t="str">
        <x:v>b</x:v>
      </x:c>
      <x:c r="E198" t="str">
        <x:v>https://www.webonary.org/marubo/g9da559f4-6711-4aab-8c24-671767911eb5/</x:v>
      </x:c>
      <x:c r="F198" t="str">
        <x:v>gfb166358-03d2-4ab0-b617-8abec9a5f50a</x:v>
      </x:c>
      <x:c r="G198" s="20" t="n">
        <x:v>46003.93475862269</x:v>
      </x:c>
    </x:row>
    <x:row r="199">
      <x:c r="A199" s="18" t="str">
        <x:v>barulho de um animal</x:v>
      </x:c>
      <x:c r="B199" s="18" t="str">
        <x:v>keoa | 2</x:v>
      </x:c>
      <x:c r="C199" s="19" t="n">
        <x:f>IF(B199="",0,(LEN(B199)-LEN(SUBSTITUTE(B199," | ","")))/3+1)</x:f>
        <x:v>2</x:v>
      </x:c>
      <x:c r="D199" t="str">
        <x:v>b</x:v>
      </x:c>
      <x:c r="E199" t="str">
        <x:v>https://www.webonary.org/marubo/g2c177108-ca6e-4930-8cc8-f97dfb15916c/</x:v>
      </x:c>
      <x:c r="F199" t="str">
        <x:v>g411d52ce-6bae-4d94-a948-4296946fe34a</x:v>
      </x:c>
      <x:c r="G199" s="20" t="n">
        <x:v>46003.93475862269</x:v>
      </x:c>
    </x:row>
    <x:row r="200">
      <x:c r="A200" s="18" t="str">
        <x:v>barulho dos dente de queixada</x:v>
      </x:c>
      <x:c r="B200" s="18" t="str">
        <x:v>txari aká</x:v>
      </x:c>
      <x:c r="C200" s="19" t="n">
        <x:f>IF(B200="",0,(LEN(B200)-LEN(SUBSTITUTE(B200," | ","")))/3+1)</x:f>
        <x:v>1</x:v>
      </x:c>
      <x:c r="D200" t="str">
        <x:v>b</x:v>
      </x:c>
      <x:c r="E200" t="str">
        <x:v>https://www.webonary.org/marubo/g38650050-a521-4814-9b41-6325bf5ce4f9/</x:v>
      </x:c>
      <x:c r="F200" t="str">
        <x:v>g0d7952fb-513f-4845-9eb7-1280194a7619</x:v>
      </x:c>
      <x:c r="G200" s="20" t="n">
        <x:v>46003.93475862269</x:v>
      </x:c>
    </x:row>
    <x:row r="201">
      <x:c r="A201" s="18" t="str">
        <x:v>barulho quando agua fervendo está para acabar</x:v>
      </x:c>
      <x:c r="B201" s="18" t="str">
        <x:v>chee ikí</x:v>
      </x:c>
      <x:c r="C201" s="19" t="n">
        <x:f>IF(B201="",0,(LEN(B201)-LEN(SUBSTITUTE(B201," | ","")))/3+1)</x:f>
        <x:v>1</x:v>
      </x:c>
      <x:c r="D201" t="str">
        <x:v>b</x:v>
      </x:c>
      <x:c r="E201" t="str">
        <x:v>https://www.webonary.org/marubo/gef787dcf-83ab-4fe7-9626-3fe416c4ebc8/</x:v>
      </x:c>
      <x:c r="F201" t="str">
        <x:v>g4b95a910-4841-4f0f-adee-ff8bf4090582</x:v>
      </x:c>
      <x:c r="G201" s="20" t="n">
        <x:v>46003.93475862269</x:v>
      </x:c>
    </x:row>
    <x:row r="202">
      <x:c r="A202" s="18" t="str">
        <x:v>batata doce</x:v>
      </x:c>
      <x:c r="B202" s="18" t="str">
        <x:v>kari</x:v>
      </x:c>
      <x:c r="C202" s="19" t="n">
        <x:f>IF(B202="",0,(LEN(B202)-LEN(SUBSTITUTE(B202," | ","")))/3+1)</x:f>
        <x:v>1</x:v>
      </x:c>
      <x:c r="D202" t="str">
        <x:v>b</x:v>
      </x:c>
      <x:c r="E202" t="str">
        <x:v>https://www.webonary.org/marubo/g6237e627-0e71-4e82-9142-45be9992bf77/</x:v>
      </x:c>
      <x:c r="F202" t="str">
        <x:v>g926c7cdf-e854-44b6-afec-b099e2bda5d1</x:v>
      </x:c>
      <x:c r="G202" s="20" t="n">
        <x:v>46003.93475862269</x:v>
      </x:c>
    </x:row>
    <x:row r="203">
      <x:c r="A203" s="18" t="str">
        <x:v>bater</x:v>
      </x:c>
      <x:c r="B203" s="18" t="str">
        <x:v>tõõ aká | txaka | retea | 1 | richkia | pestoa | motsa</x:v>
      </x:c>
      <x:c r="C203" s="19" t="n">
        <x:f>IF(B203="",0,(LEN(B203)-LEN(SUBSTITUTE(B203," | ","")))/3+1)</x:f>
        <x:v>7</x:v>
      </x:c>
      <x:c r="D203" t="str">
        <x:v>b</x:v>
      </x:c>
      <x:c r="E203" t="str">
        <x:v>https://www.webonary.org/marubo/gd0e14abd-b45f-43c7-8385-3ed50c22768f/</x:v>
      </x:c>
      <x:c r="F203" t="str">
        <x:v>ge4804cf5-41ec-4e25-aa75-01fa7e8c85ae</x:v>
      </x:c>
      <x:c r="G203" s="20" t="n">
        <x:v>46003.93475862269</x:v>
      </x:c>
    </x:row>
    <x:row r="204">
      <x:c r="A204" s="18" t="str">
        <x:v>bater cabeça do animal</x:v>
      </x:c>
      <x:c r="B204" s="18" t="str">
        <x:v>vorích aká</x:v>
      </x:c>
      <x:c r="C204" s="19" t="n">
        <x:f>IF(B204="",0,(LEN(B204)-LEN(SUBSTITUTE(B204," | ","")))/3+1)</x:f>
        <x:v>1</x:v>
      </x:c>
      <x:c r="D204" t="str">
        <x:v>b</x:v>
      </x:c>
      <x:c r="E204" t="str">
        <x:v>https://www.webonary.org/marubo/gb70e213a-1816-435f-aba9-3546ea75e3c0/</x:v>
      </x:c>
      <x:c r="F204" t="str">
        <x:v>gb625bc9b-ebce-439a-a31e-e0fcfaaf11ec</x:v>
      </x:c>
      <x:c r="G204" s="20" t="n">
        <x:v>46003.93475862269</x:v>
      </x:c>
    </x:row>
    <x:row r="205">
      <x:c r="A205" s="18" t="str">
        <x:v>bater canela</x:v>
      </x:c>
      <x:c r="B205" s="18" t="str">
        <x:v>witã ikí</x:v>
      </x:c>
      <x:c r="C205" s="19" t="n">
        <x:f>IF(B205="",0,(LEN(B205)-LEN(SUBSTITUTE(B205," | ","")))/3+1)</x:f>
        <x:v>1</x:v>
      </x:c>
      <x:c r="D205" t="str">
        <x:v>b</x:v>
      </x:c>
      <x:c r="E205" t="str">
        <x:v>https://www.webonary.org/marubo/ga21d7a7f-4eaa-4fc6-aad1-54577ad92895/</x:v>
      </x:c>
      <x:c r="F205" t="str">
        <x:v>gf81ebdb0-0dd5-4410-921f-eeb36bd5eb30</x:v>
      </x:c>
      <x:c r="G205" s="20" t="n">
        <x:v>46003.93475862269</x:v>
      </x:c>
    </x:row>
    <x:row r="206">
      <x:c r="A206" s="18" t="str">
        <x:v>bater joelho</x:v>
      </x:c>
      <x:c r="B206" s="18" t="str">
        <x:v>rãto ikí</x:v>
      </x:c>
      <x:c r="C206" s="19" t="n">
        <x:f>IF(B206="",0,(LEN(B206)-LEN(SUBSTITUTE(B206," | ","")))/3+1)</x:f>
        <x:v>1</x:v>
      </x:c>
      <x:c r="D206" t="str">
        <x:v>b</x:v>
      </x:c>
      <x:c r="E206" t="str">
        <x:v>https://www.webonary.org/marubo/gbeb1e479-de90-41ba-a7f7-8c679167fc78/</x:v>
      </x:c>
      <x:c r="F206" t="str">
        <x:v>g6c07b005-6281-4c96-9554-bda8dbd6eae9</x:v>
      </x:c>
      <x:c r="G206" s="20" t="n">
        <x:v>46003.934771342596</x:v>
      </x:c>
    </x:row>
    <x:row r="207">
      <x:c r="A207" s="18" t="str">
        <x:v>bater na esposa</x:v>
      </x:c>
      <x:c r="B207" s="18" t="str">
        <x:v>isĩ aká</x:v>
      </x:c>
      <x:c r="C207" s="19" t="n">
        <x:f>IF(B207="",0,(LEN(B207)-LEN(SUBSTITUTE(B207," | ","")))/3+1)</x:f>
        <x:v>1</x:v>
      </x:c>
      <x:c r="D207" t="str">
        <x:v>b</x:v>
      </x:c>
      <x:c r="E207" t="str">
        <x:v>https://www.webonary.org/marubo/g1a124880-7a98-4ca3-a645-de6525b5f3cb/</x:v>
      </x:c>
      <x:c r="F207" t="str">
        <x:v>gfb39af74-c439-4b34-aa88-56efe2c2a359</x:v>
      </x:c>
      <x:c r="G207" s="20" t="n">
        <x:v>46003.934771342596</x:v>
      </x:c>
    </x:row>
    <x:row r="208">
      <x:c r="A208" s="18" t="str">
        <x:v>bater nas costas de uma pessoa</x:v>
      </x:c>
      <x:c r="B208" s="18" t="str">
        <x:v>petó aká</x:v>
      </x:c>
      <x:c r="C208" s="19" t="n">
        <x:f>IF(B208="",0,(LEN(B208)-LEN(SUBSTITUTE(B208," | ","")))/3+1)</x:f>
        <x:v>1</x:v>
      </x:c>
      <x:c r="D208" t="str">
        <x:v>b</x:v>
      </x:c>
      <x:c r="E208" t="str">
        <x:v>https://www.webonary.org/marubo/gcbe6ee30-e927-4418-8c3e-7b5d918dd244/</x:v>
      </x:c>
      <x:c r="F208" t="str">
        <x:v>gc17624c9-2743-4148-9899-d2552ea870a4</x:v>
      </x:c>
      <x:c r="G208" s="20" t="n">
        <x:v>46003.934771342596</x:v>
      </x:c>
    </x:row>
    <x:row r="209">
      <x:c r="A209" s="18" t="str">
        <x:v>bater testa</x:v>
      </x:c>
      <x:c r="B209" s="18" t="str">
        <x:v>vesenkewa</x:v>
      </x:c>
      <x:c r="C209" s="19" t="n">
        <x:f>IF(B209="",0,(LEN(B209)-LEN(SUBSTITUTE(B209," | ","")))/3+1)</x:f>
        <x:v>1</x:v>
      </x:c>
      <x:c r="D209" t="str">
        <x:v>b</x:v>
      </x:c>
      <x:c r="E209" t="str">
        <x:v>https://www.webonary.org/marubo/gb154a6dd-3ce2-4e94-a359-3d1f144ff15a/</x:v>
      </x:c>
      <x:c r="F209" t="str">
        <x:v>g59fddf04-c814-4f4c-9338-d421b0456131</x:v>
      </x:c>
      <x:c r="G209" s="20" t="n">
        <x:v>46003.934771342596</x:v>
      </x:c>
    </x:row>
    <x:row r="210">
      <x:c r="A210" s="18" t="str">
        <x:v>bater timbó no igarapé ou lago</x:v>
      </x:c>
      <x:c r="B210" s="18" t="str">
        <x:v>ashã</x:v>
      </x:c>
      <x:c r="C210" s="19" t="n">
        <x:f>IF(B210="",0,(LEN(B210)-LEN(SUBSTITUTE(B210," | ","")))/3+1)</x:f>
        <x:v>1</x:v>
      </x:c>
      <x:c r="D210" t="str">
        <x:v>b</x:v>
      </x:c>
      <x:c r="E210" t="str">
        <x:v>https://www.webonary.org/marubo/g50add1d5-93a3-44ca-a7e8-42efdc837369/</x:v>
      </x:c>
      <x:c r="F210" t="str">
        <x:v>g3eee036d-7694-4fde-9d4c-802c45fb1519</x:v>
      </x:c>
      <x:c r="G210" s="20" t="n">
        <x:v>46003.934771342596</x:v>
      </x:c>
    </x:row>
    <x:row r="211">
      <x:c r="A211" s="18" t="str">
        <x:v>batom</x:v>
      </x:c>
      <x:c r="B211" s="18" t="str">
        <x:v>kesha õchĩti</x:v>
      </x:c>
      <x:c r="C211" s="19" t="n">
        <x:f>IF(B211="",0,(LEN(B211)-LEN(SUBSTITUTE(B211," | ","")))/3+1)</x:f>
        <x:v>1</x:v>
      </x:c>
      <x:c r="D211" t="str">
        <x:v>b</x:v>
      </x:c>
      <x:c r="E211" t="str">
        <x:v>https://www.webonary.org/marubo/g6675198b-95cc-41db-b656-6affe349175e/</x:v>
      </x:c>
      <x:c r="F211" t="str">
        <x:v>g9425abeb-80ba-471f-912c-f3811586fe3a</x:v>
      </x:c>
      <x:c r="G211" s="20" t="n">
        <x:v>46003.934771342596</x:v>
      </x:c>
    </x:row>
    <x:row r="212">
      <x:c r="A212" s="18" t="str">
        <x:v>bebê</x:v>
      </x:c>
      <x:c r="B212" s="18" t="str">
        <x:v>chẽke</x:v>
      </x:c>
      <x:c r="C212" s="19" t="n">
        <x:f>IF(B212="",0,(LEN(B212)-LEN(SUBSTITUTE(B212," | ","")))/3+1)</x:f>
        <x:v>1</x:v>
      </x:c>
      <x:c r="D212" t="str">
        <x:v>b</x:v>
      </x:c>
      <x:c r="E212" t="str">
        <x:v>https://www.webonary.org/marubo/g3f67ff8b-33a0-4ffa-aba8-3872f3d081cf/</x:v>
      </x:c>
      <x:c r="F212" t="str">
        <x:v>g59f2e428-af24-4283-b330-0892e78019e4</x:v>
      </x:c>
      <x:c r="G212" s="20" t="n">
        <x:v>46003.934771342596</x:v>
      </x:c>
    </x:row>
    <x:row r="213">
      <x:c r="A213" s="18" t="str">
        <x:v>bebê peqeno</x:v>
      </x:c>
      <x:c r="B213" s="18" t="str">
        <x:v>txõpíchi</x:v>
      </x:c>
      <x:c r="C213" s="19" t="n">
        <x:f>IF(B213="",0,(LEN(B213)-LEN(SUBSTITUTE(B213," | ","")))/3+1)</x:f>
        <x:v>1</x:v>
      </x:c>
      <x:c r="D213" t="str">
        <x:v>b</x:v>
      </x:c>
      <x:c r="E213" t="str">
        <x:v>https://www.webonary.org/marubo/g007e51e0-8ea0-417d-b4a9-cdcecd8230ca/</x:v>
      </x:c>
      <x:c r="F213" t="str">
        <x:v>g2b372ee8-2d0c-41d0-81c6-0c2e7c82fb32</x:v>
      </x:c>
      <x:c r="G213" s="20" t="n">
        <x:v>46003.934771342596</x:v>
      </x:c>
    </x:row>
    <x:row r="214">
      <x:c r="A214" s="18" t="str">
        <x:v>beber)</x:v>
      </x:c>
      <x:c r="B214" s="18" t="str">
        <x:v>vetsa</x:v>
      </x:c>
      <x:c r="C214" s="19" t="n">
        <x:f>IF(B214="",0,(LEN(B214)-LEN(SUBSTITUTE(B214," | ","")))/3+1)</x:f>
        <x:v>1</x:v>
      </x:c>
      <x:c r="D214" t="str">
        <x:v>b</x:v>
      </x:c>
      <x:c r="E214" t="str">
        <x:v>https://www.webonary.org/marubo/g1af30860-40ea-4e60-8a87-291283fbc4fe/</x:v>
      </x:c>
      <x:c r="F214" t="str">
        <x:v>g984b016c-5d94-4047-8c52-2a501f485408</x:v>
      </x:c>
      <x:c r="G214" s="20" t="n">
        <x:v>46003.934771342596</x:v>
      </x:c>
    </x:row>
    <x:row r="215">
      <x:c r="A215" s="18" t="str">
        <x:v>bebericar</x:v>
      </x:c>
      <x:c r="B215" s="18" t="str">
        <x:v>perés aká</x:v>
      </x:c>
      <x:c r="C215" s="19" t="n">
        <x:f>IF(B215="",0,(LEN(B215)-LEN(SUBSTITUTE(B215," | ","")))/3+1)</x:f>
        <x:v>1</x:v>
      </x:c>
      <x:c r="D215" t="str">
        <x:v>b</x:v>
      </x:c>
      <x:c r="E215" t="str">
        <x:v>https://www.webonary.org/marubo/ga97dd6bf-0e40-46ea-806e-8c4d14cc9f79/</x:v>
      </x:c>
      <x:c r="F215" t="str">
        <x:v>ga1e2b36b-8921-4760-9e45-a8ca6a0c1978</x:v>
      </x:c>
      <x:c r="G215" s="20" t="n">
        <x:v>46003.934771342596</x:v>
      </x:c>
    </x:row>
    <x:row r="216">
      <x:c r="A216" s="18" t="str">
        <x:v>bebida de banana</x:v>
      </x:c>
      <x:c r="B216" s="18" t="str">
        <x:v>mani waka</x:v>
      </x:c>
      <x:c r="C216" s="19" t="n">
        <x:f>IF(B216="",0,(LEN(B216)-LEN(SUBSTITUTE(B216," | ","")))/3+1)</x:f>
        <x:v>1</x:v>
      </x:c>
      <x:c r="D216" t="str">
        <x:v>b</x:v>
      </x:c>
      <x:c r="E216" t="str">
        <x:v>https://www.webonary.org/marubo/gdb03c318-b198-48e1-af84-012bb480b129/</x:v>
      </x:c>
      <x:c r="F216" t="str">
        <x:v>ga9eb30d2-5817-431a-9df1-9a89eddb0861</x:v>
      </x:c>
      <x:c r="G216" s="20" t="n">
        <x:v>46003.934771342596</x:v>
      </x:c>
    </x:row>
    <x:row r="217">
      <x:c r="A217" s="18" t="str">
        <x:v>beija-flor</x:v>
      </x:c>
      <x:c r="B217" s="18" t="str">
        <x:v>pino</x:v>
      </x:c>
      <x:c r="C217" s="19" t="n">
        <x:f>IF(B217="",0,(LEN(B217)-LEN(SUBSTITUTE(B217," | ","")))/3+1)</x:f>
        <x:v>1</x:v>
      </x:c>
      <x:c r="D217" t="str">
        <x:v>b</x:v>
      </x:c>
      <x:c r="E217" t="str">
        <x:v>https://www.webonary.org/marubo/gcf2a6f88-18b9-4239-9912-78861adae8e6/</x:v>
      </x:c>
      <x:c r="F217" t="str">
        <x:v>g48c45dd0-c629-4d3e-b680-ae4760751907</x:v>
      </x:c>
      <x:c r="G217" s="20" t="n">
        <x:v>46003.934771342596</x:v>
      </x:c>
    </x:row>
    <x:row r="218">
      <x:c r="A218" s="18" t="str">
        <x:v>beijar</x:v>
      </x:c>
      <x:c r="B218" s="18" t="str">
        <x:v>mekí aká</x:v>
      </x:c>
      <x:c r="C218" s="19" t="n">
        <x:f>IF(B218="",0,(LEN(B218)-LEN(SUBSTITUTE(B218," | ","")))/3+1)</x:f>
        <x:v>1</x:v>
      </x:c>
      <x:c r="D218" t="str">
        <x:v>b</x:v>
      </x:c>
      <x:c r="E218" t="str">
        <x:v>https://www.webonary.org/marubo/g16efadd9-e025-4d4e-a5fb-737670ed191c/</x:v>
      </x:c>
      <x:c r="F218" t="str">
        <x:v>gbcd22173-ef89-462e-865d-00d5a81b450b</x:v>
      </x:c>
      <x:c r="G218" s="20" t="n">
        <x:v>46003.934771342596</x:v>
      </x:c>
    </x:row>
    <x:row r="219">
      <x:c r="A219" s="18" t="str">
        <x:v>BEN</x:v>
      </x:c>
      <x:c r="B219" s="18" t="str">
        <x:v>-ravĩ | -shõ | 2 | -sho</x:v>
      </x:c>
      <x:c r="C219" s="19" t="n">
        <x:f>IF(B219="",0,(LEN(B219)-LEN(SUBSTITUTE(B219," | ","")))/3+1)</x:f>
        <x:v>4</x:v>
      </x:c>
      <x:c r="D219" t="str">
        <x:v>b</x:v>
      </x:c>
      <x:c r="E219" t="str">
        <x:v>https://www.webonary.org/marubo/g518d94cb-fe47-454d-89fd-037c4e618530/</x:v>
      </x:c>
      <x:c r="F219" t="str">
        <x:v>g94552745-12f3-44eb-9e27-07e5a7568b44</x:v>
      </x:c>
      <x:c r="G219" s="20" t="n">
        <x:v>46003.934771342596</x:v>
      </x:c>
    </x:row>
    <x:row r="220">
      <x:c r="A220" s="18" t="str">
        <x:v>bengala</x:v>
      </x:c>
      <x:c r="B220" s="18" t="str">
        <x:v>otéti</x:v>
      </x:c>
      <x:c r="C220" s="19" t="n">
        <x:f>IF(B220="",0,(LEN(B220)-LEN(SUBSTITUTE(B220," | ","")))/3+1)</x:f>
        <x:v>1</x:v>
      </x:c>
      <x:c r="D220" t="str">
        <x:v>b</x:v>
      </x:c>
      <x:c r="E220" t="str">
        <x:v>https://www.webonary.org/marubo/gc72ed119-2629-44e3-bb04-2ed4dbf16d73/</x:v>
      </x:c>
      <x:c r="F220" t="str">
        <x:v>gdaeb4183-847c-4126-a9cb-c7ca05f54b29</x:v>
      </x:c>
      <x:c r="G220" s="20" t="n">
        <x:v>46003.934771342596</x:v>
      </x:c>
    </x:row>
    <x:row r="221">
      <x:c r="A221" s="18" t="str">
        <x:v>bermuda</x:v>
      </x:c>
      <x:c r="B221" s="18" t="str">
        <x:v>tsisókiri | õpo txirochta | õpo tsisókiri</x:v>
      </x:c>
      <x:c r="C221" s="19" t="n">
        <x:f>IF(B221="",0,(LEN(B221)-LEN(SUBSTITUTE(B221," | ","")))/3+1)</x:f>
        <x:v>3</x:v>
      </x:c>
      <x:c r="D221" t="str">
        <x:v>b</x:v>
      </x:c>
      <x:c r="E221" t="str">
        <x:v>https://www.webonary.org/marubo/gd13a28dc-b05e-4da1-a005-422e7174f720/</x:v>
      </x:c>
      <x:c r="F221" t="str">
        <x:v>gb5acfc6b-9d05-417d-986e-857e7395fcbf</x:v>
      </x:c>
      <x:c r="G221" s="20" t="n">
        <x:v>46003.934771342596</x:v>
      </x:c>
    </x:row>
    <x:row r="222">
      <x:c r="A222" s="18" t="str">
        <x:v>bexiga</x:v>
      </x:c>
      <x:c r="B222" s="18" t="str">
        <x:v>isõ ná</x:v>
      </x:c>
      <x:c r="C222" s="19" t="n">
        <x:f>IF(B222="",0,(LEN(B222)-LEN(SUBSTITUTE(B222," | ","")))/3+1)</x:f>
        <x:v>1</x:v>
      </x:c>
      <x:c r="D222" t="str">
        <x:v>b</x:v>
      </x:c>
      <x:c r="E222" t="str">
        <x:v>https://www.webonary.org/marubo/g59ec391c-12a8-4119-bc19-d08bad9a74a0/</x:v>
      </x:c>
      <x:c r="F222" t="str">
        <x:v>g61d5512e-911d-4f2b-8051-ce14c6d54513</x:v>
      </x:c>
      <x:c r="G222" s="20" t="n">
        <x:v>46003.934771342596</x:v>
      </x:c>
    </x:row>
    <x:row r="223">
      <x:c r="A223" s="18" t="str">
        <x:v>bezouro</x:v>
      </x:c>
      <x:c r="B223" s="18" t="str">
        <x:v>tarãse</x:v>
      </x:c>
      <x:c r="C223" s="19" t="n">
        <x:f>IF(B223="",0,(LEN(B223)-LEN(SUBSTITUTE(B223," | ","")))/3+1)</x:f>
        <x:v>1</x:v>
      </x:c>
      <x:c r="D223" t="str">
        <x:v>b</x:v>
      </x:c>
      <x:c r="E223" t="str">
        <x:v>https://www.webonary.org/marubo/gb1193273-fc88-4be7-a78a-153d42dd5825/</x:v>
      </x:c>
      <x:c r="F223" t="str">
        <x:v>g89e08227-8b38-493d-99a0-a8517775e056</x:v>
      </x:c>
      <x:c r="G223" s="20" t="n">
        <x:v>46003.934771342596</x:v>
      </x:c>
    </x:row>
    <x:row r="224">
      <x:c r="A224" s="18" t="str">
        <x:v>bicho de estimação</x:v>
      </x:c>
      <x:c r="B224" s="18" t="str">
        <x:v>yoini ináka</x:v>
      </x:c>
      <x:c r="C224" s="19" t="n">
        <x:f>IF(B224="",0,(LEN(B224)-LEN(SUBSTITUTE(B224," | ","")))/3+1)</x:f>
        <x:v>1</x:v>
      </x:c>
      <x:c r="D224" t="str">
        <x:v>b</x:v>
      </x:c>
      <x:c r="E224" t="str">
        <x:v>https://www.webonary.org/marubo/gda54dd61-e67a-4577-8542-458ec0d7b636/</x:v>
      </x:c>
      <x:c r="F224" t="str">
        <x:v>gffe79668-5da0-4711-a294-1d85d821f9b9</x:v>
      </x:c>
      <x:c r="G224" s="20" t="n">
        <x:v>46003.934771342596</x:v>
      </x:c>
    </x:row>
    <x:row r="225">
      <x:c r="A225" s="18" t="str">
        <x:v>bicho de pé</x:v>
      </x:c>
      <x:c r="B225" s="18" t="str">
        <x:v>siro</x:v>
      </x:c>
      <x:c r="C225" s="19" t="n">
        <x:f>IF(B225="",0,(LEN(B225)-LEN(SUBSTITUTE(B225," | ","")))/3+1)</x:f>
        <x:v>1</x:v>
      </x:c>
      <x:c r="D225" t="str">
        <x:v>b</x:v>
      </x:c>
      <x:c r="E225" t="str">
        <x:v>https://www.webonary.org/marubo/gfa7e6610-f6dc-42b6-9465-210a99d8af1a/</x:v>
      </x:c>
      <x:c r="F225" t="str">
        <x:v>g03084ff5-aac0-4586-8dfe-18d7fcd26272</x:v>
      </x:c>
      <x:c r="G225" s="20" t="n">
        <x:v>46003.934771342596</x:v>
      </x:c>
    </x:row>
    <x:row r="226">
      <x:c r="A226" s="18" t="str">
        <x:v>bicho preguiça</x:v>
      </x:c>
      <x:c r="B226" s="18" t="str">
        <x:v>naĩ | 1</x:v>
      </x:c>
      <x:c r="C226" s="19" t="n">
        <x:f>IF(B226="",0,(LEN(B226)-LEN(SUBSTITUTE(B226," | ","")))/3+1)</x:f>
        <x:v>2</x:v>
      </x:c>
      <x:c r="D226" t="str">
        <x:v>b</x:v>
      </x:c>
      <x:c r="E226" t="str">
        <x:v>https://www.webonary.org/marubo/g5993b9eb-50cd-4579-8113-800281a02a61/</x:v>
      </x:c>
      <x:c r="F226" t="str">
        <x:v>gf4648fe0-507a-45f4-b24c-93185c0782a3</x:v>
      </x:c>
      <x:c r="G226" s="20" t="n">
        <x:v>46003.934771342596</x:v>
      </x:c>
    </x:row>
    <x:row r="227">
      <x:c r="A227" s="18" t="str">
        <x:v>bico de brasa</x:v>
      </x:c>
      <x:c r="B227" s="18" t="str">
        <x:v>tikõ | 1</x:v>
      </x:c>
      <x:c r="C227" s="19" t="n">
        <x:f>IF(B227="",0,(LEN(B227)-LEN(SUBSTITUTE(B227," | ","")))/3+1)</x:f>
        <x:v>2</x:v>
      </x:c>
      <x:c r="D227" t="str">
        <x:v>b</x:v>
      </x:c>
      <x:c r="E227" t="str">
        <x:v>https://www.webonary.org/marubo/g93cd9860-e952-4e92-bde6-db2227d4acf5/</x:v>
      </x:c>
      <x:c r="F227" t="str">
        <x:v>g677fa383-2541-4ef8-98b4-bc7782bca7b5</x:v>
      </x:c>
      <x:c r="G227" s="20" t="n">
        <x:v>46003.934771342596</x:v>
      </x:c>
    </x:row>
    <x:row r="228">
      <x:c r="A228" s="18" t="str">
        <x:v>biribá</x:v>
      </x:c>
      <x:c r="B228" s="18" t="str">
        <x:v>anõna</x:v>
      </x:c>
      <x:c r="C228" s="19" t="n">
        <x:f>IF(B228="",0,(LEN(B228)-LEN(SUBSTITUTE(B228," | ","")))/3+1)</x:f>
        <x:v>1</x:v>
      </x:c>
      <x:c r="D228" t="str">
        <x:v>b</x:v>
      </x:c>
      <x:c r="E228" t="str">
        <x:v>https://www.webonary.org/marubo/ge6caf41b-1d0c-420a-959e-404f728e1382/</x:v>
      </x:c>
      <x:c r="F228" t="str">
        <x:v>g1482b20a-1844-4678-a9db-6cab07b6b120</x:v>
      </x:c>
      <x:c r="G228" s="20" t="n">
        <x:v>46003.934771342596</x:v>
      </x:c>
    </x:row>
    <x:row r="229">
      <x:c r="A229" s="18" t="str">
        <x:v>bisavó maternal</x:v>
      </x:c>
      <x:c r="B229" s="18" t="str">
        <x:v>ewatxo</x:v>
      </x:c>
      <x:c r="C229" s="19" t="n">
        <x:f>IF(B229="",0,(LEN(B229)-LEN(SUBSTITUTE(B229," | ","")))/3+1)</x:f>
        <x:v>1</x:v>
      </x:c>
      <x:c r="D229" t="str">
        <x:v>b</x:v>
      </x:c>
      <x:c r="E229" t="str">
        <x:v>https://www.webonary.org/marubo/g7e90e492-03d6-4a1a-a0c5-d774da242c97/</x:v>
      </x:c>
      <x:c r="F229" t="str">
        <x:v>g9248c9bd-fb56-480a-8ce7-4aa121c5ef17</x:v>
      </x:c>
      <x:c r="G229" s="20" t="n">
        <x:v>46003.934771342596</x:v>
      </x:c>
    </x:row>
    <x:row r="230">
      <x:c r="A230" s="18" t="str">
        <x:v>bisavô maternal</x:v>
      </x:c>
      <x:c r="B230" s="18" t="str">
        <x:v>epatxo</x:v>
      </x:c>
      <x:c r="C230" s="19" t="n">
        <x:f>IF(B230="",0,(LEN(B230)-LEN(SUBSTITUTE(B230," | ","")))/3+1)</x:f>
        <x:v>1</x:v>
      </x:c>
      <x:c r="D230" t="str">
        <x:v>b</x:v>
      </x:c>
      <x:c r="E230" t="str">
        <x:v>https://www.webonary.org/marubo/ga77dc838-6f98-405e-b74f-c0f0af7bca29/</x:v>
      </x:c>
      <x:c r="F230" t="str">
        <x:v>g3d3dd3d3-44d0-4de1-b764-d636fece44a4</x:v>
      </x:c>
      <x:c r="G230" s="20" t="n">
        <x:v>46003.934771342596</x:v>
      </x:c>
    </x:row>
    <x:row r="231">
      <x:c r="A231" s="18" t="str">
        <x:v>bloqueado</x:v>
      </x:c>
      <x:c r="B231" s="18" t="str">
        <x:v>vestóa</x:v>
      </x:c>
      <x:c r="C231" s="19" t="n">
        <x:f>IF(B231="",0,(LEN(B231)-LEN(SUBSTITUTE(B231," | ","")))/3+1)</x:f>
        <x:v>1</x:v>
      </x:c>
      <x:c r="D231" t="str">
        <x:v>b</x:v>
      </x:c>
      <x:c r="E231" t="str">
        <x:v>https://www.webonary.org/marubo/g065f8705-3222-47dc-9f97-0e860a67af95/</x:v>
      </x:c>
      <x:c r="F231" t="str">
        <x:v>gc1de209c-1131-48bc-adcd-aef6f9af7d85</x:v>
      </x:c>
      <x:c r="G231" s="20" t="n">
        <x:v>46003.934771342596</x:v>
      </x:c>
    </x:row>
    <x:row r="232">
      <x:c r="A232" s="18" t="str">
        <x:v>bloqueiar</x:v>
      </x:c>
      <x:c r="B232" s="18" t="str">
        <x:v>tea</x:v>
      </x:c>
      <x:c r="C232" s="19" t="n">
        <x:f>IF(B232="",0,(LEN(B232)-LEN(SUBSTITUTE(B232," | ","")))/3+1)</x:f>
        <x:v>1</x:v>
      </x:c>
      <x:c r="D232" t="str">
        <x:v>b</x:v>
      </x:c>
      <x:c r="E232" t="str">
        <x:v>https://www.webonary.org/marubo/g14a83360-5a8b-4826-8244-debcd4c98f5d/</x:v>
      </x:c>
      <x:c r="F232" t="str">
        <x:v>ga594072f-c614-44d4-8a30-81f7e484678d</x:v>
      </x:c>
      <x:c r="G232" s="20" t="n">
        <x:v>46003.934771342596</x:v>
      </x:c>
    </x:row>
    <x:row r="233">
      <x:c r="A233" s="18" t="str">
        <x:v>boca</x:v>
      </x:c>
      <x:c r="B233" s="18" t="str">
        <x:v>ana</x:v>
      </x:c>
      <x:c r="C233" s="19" t="n">
        <x:f>IF(B233="",0,(LEN(B233)-LEN(SUBSTITUTE(B233," | ","")))/3+1)</x:f>
        <x:v>1</x:v>
      </x:c>
      <x:c r="D233" t="str">
        <x:v>b</x:v>
      </x:c>
      <x:c r="E233" t="str">
        <x:v>https://www.webonary.org/marubo/g86171cd6-f88e-4d91-84da-f42ede5c5323/</x:v>
      </x:c>
      <x:c r="F233" t="str">
        <x:v>g4e28f139-5d50-44dc-9e59-9280089efd86</x:v>
      </x:c>
      <x:c r="G233" s="20" t="n">
        <x:v>46003.934771342596</x:v>
      </x:c>
    </x:row>
    <x:row r="234">
      <x:c r="A234" s="18" t="str">
        <x:v>bocejar</x:v>
      </x:c>
      <x:c r="B234" s="18" t="str">
        <x:v>shava</x:v>
      </x:c>
      <x:c r="C234" s="19" t="n">
        <x:f>IF(B234="",0,(LEN(B234)-LEN(SUBSTITUTE(B234," | ","")))/3+1)</x:f>
        <x:v>1</x:v>
      </x:c>
      <x:c r="D234" t="str">
        <x:v>b</x:v>
      </x:c>
      <x:c r="E234" t="str">
        <x:v>https://www.webonary.org/marubo/ga5a248ea-bcb4-4c14-8908-c20c2f69008d/</x:v>
      </x:c>
      <x:c r="F234" t="str">
        <x:v>g62cf9490-7ff8-4443-ba27-8c85438dd80c</x:v>
      </x:c>
      <x:c r="G234" s="20" t="n">
        <x:v>46003.934771342596</x:v>
      </x:c>
    </x:row>
    <x:row r="235">
      <x:c r="A235" s="18" t="str">
        <x:v>bochecha</x:v>
      </x:c>
      <x:c r="B235" s="18" t="str">
        <x:v>tamo</x:v>
      </x:c>
      <x:c r="C235" s="19" t="n">
        <x:f>IF(B235="",0,(LEN(B235)-LEN(SUBSTITUTE(B235," | ","")))/3+1)</x:f>
        <x:v>1</x:v>
      </x:c>
      <x:c r="D235" t="str">
        <x:v>b</x:v>
      </x:c>
      <x:c r="E235" t="str">
        <x:v>https://www.webonary.org/marubo/gcea29cf9-177f-4488-9c88-b0ce99766d61/</x:v>
      </x:c>
      <x:c r="F235" t="str">
        <x:v>g3942c9f9-0c19-43cd-baaf-3b44ccfcf670</x:v>
      </x:c>
      <x:c r="G235" s="20" t="n">
        <x:v>46003.934771342596</x:v>
      </x:c>
    </x:row>
    <x:row r="236">
      <x:c r="A236" s="18" t="str">
        <x:v>bodó</x:v>
      </x:c>
      <x:c r="B236" s="18" t="str">
        <x:v>yẽke</x:v>
      </x:c>
      <x:c r="C236" s="19" t="n">
        <x:f>IF(B236="",0,(LEN(B236)-LEN(SUBSTITUTE(B236," | ","")))/3+1)</x:f>
        <x:v>1</x:v>
      </x:c>
      <x:c r="D236" t="str">
        <x:v>b</x:v>
      </x:c>
      <x:c r="E236" t="str">
        <x:v>https://www.webonary.org/marubo/g02c142f6-cb95-4bff-a6ca-d6843f98e795/</x:v>
      </x:c>
      <x:c r="F236" t="str">
        <x:v>g35cd5e60-6aca-4267-8489-da2c3ba91412</x:v>
      </x:c>
      <x:c r="G236" s="20" t="n">
        <x:v>46003.934771342596</x:v>
      </x:c>
    </x:row>
    <x:row r="237">
      <x:c r="A237" s="18" t="str">
        <x:v>boi</x:v>
      </x:c>
      <x:c r="B237" s="18" t="str">
        <x:v>txasho anika | noa txasho</x:v>
      </x:c>
      <x:c r="C237" s="19" t="n">
        <x:f>IF(B237="",0,(LEN(B237)-LEN(SUBSTITUTE(B237," | ","")))/3+1)</x:f>
        <x:v>2</x:v>
      </x:c>
      <x:c r="D237" t="str">
        <x:v>b</x:v>
      </x:c>
      <x:c r="E237" t="str">
        <x:v>https://www.webonary.org/marubo/g30e3c183-5cd7-4c41-bb04-a6d1d948d298/</x:v>
      </x:c>
      <x:c r="F237" t="str">
        <x:v>g03fbf0a7-7b6f-4c96-a190-729fe3e4ef1e</x:v>
      </x:c>
      <x:c r="G237" s="20" t="n">
        <x:v>46003.934771342596</x:v>
      </x:c>
    </x:row>
    <x:row r="238">
      <x:c r="A238" s="18" t="str">
        <x:v>bola</x:v>
      </x:c>
      <x:c r="B238" s="18" t="str">
        <x:v>yaviti</x:v>
      </x:c>
      <x:c r="C238" s="19" t="n">
        <x:f>IF(B238="",0,(LEN(B238)-LEN(SUBSTITUTE(B238," | ","")))/3+1)</x:f>
        <x:v>1</x:v>
      </x:c>
      <x:c r="D238" t="str">
        <x:v>b</x:v>
      </x:c>
      <x:c r="E238" t="str">
        <x:v>https://www.webonary.org/marubo/g4ddc57e2-35fd-4da5-b894-da768c8af398/</x:v>
      </x:c>
      <x:c r="F238" t="str">
        <x:v>g8b3b0f50-73bc-46f9-9660-3096042ef47d</x:v>
      </x:c>
      <x:c r="G238" s="20" t="n">
        <x:v>46003.934771342596</x:v>
      </x:c>
    </x:row>
    <x:row r="239">
      <x:c r="A239" s="18" t="str">
        <x:v>bolsa de roupa</x:v>
      </x:c>
      <x:c r="B239" s="18" t="str">
        <x:v>txemeiti | txi meiti</x:v>
      </x:c>
      <x:c r="C239" s="19" t="n">
        <x:f>IF(B239="",0,(LEN(B239)-LEN(SUBSTITUTE(B239," | ","")))/3+1)</x:f>
        <x:v>2</x:v>
      </x:c>
      <x:c r="D239" t="str">
        <x:v>b</x:v>
      </x:c>
      <x:c r="E239" t="str">
        <x:v>https://www.webonary.org/marubo/gbd7c3b0a-acab-4a15-8a5b-895242c3f3aa/</x:v>
      </x:c>
      <x:c r="F239" t="str">
        <x:v>gaf6df7e4-cfe6-4bcd-a7e7-d5f43be4e52d</x:v>
      </x:c>
      <x:c r="G239" s="20" t="n">
        <x:v>46003.934771342596</x:v>
      </x:c>
    </x:row>
    <x:row r="240">
      <x:c r="A240" s="18" t="str">
        <x:v>bom</x:v>
      </x:c>
      <x:c r="B240" s="18" t="str">
        <x:v>roaka</x:v>
      </x:c>
      <x:c r="C240" s="19" t="n">
        <x:f>IF(B240="",0,(LEN(B240)-LEN(SUBSTITUTE(B240," | ","")))/3+1)</x:f>
        <x:v>1</x:v>
      </x:c>
      <x:c r="D240" t="str">
        <x:v>b</x:v>
      </x:c>
      <x:c r="E240" t="str">
        <x:v>https://www.webonary.org/marubo/g6228d06b-7bb8-4475-b404-9c8eeddee745/</x:v>
      </x:c>
      <x:c r="F240" t="str">
        <x:v>gac692626-f3ba-4b4d-9784-e3a0061898f1</x:v>
      </x:c>
      <x:c r="G240" s="20" t="n">
        <x:v>46003.934771342596</x:v>
      </x:c>
    </x:row>
    <x:row r="241">
      <x:c r="A241" s="18" t="str">
        <x:v>bom cheiro</x:v>
      </x:c>
      <x:c r="B241" s="18" t="str">
        <x:v>noéka</x:v>
      </x:c>
      <x:c r="C241" s="19" t="n">
        <x:f>IF(B241="",0,(LEN(B241)-LEN(SUBSTITUTE(B241," | ","")))/3+1)</x:f>
        <x:v>1</x:v>
      </x:c>
      <x:c r="D241" t="str">
        <x:v>b</x:v>
      </x:c>
      <x:c r="E241" t="str">
        <x:v>https://www.webonary.org/marubo/g63c60f83-06e2-49a5-86ad-cc6e4ed572b3/</x:v>
      </x:c>
      <x:c r="F241" t="str">
        <x:v>gf149ea22-f0a8-4452-ab14-7ae98c2f827e</x:v>
      </x:c>
      <x:c r="G241" s="20" t="n">
        <x:v>46003.934771342596</x:v>
      </x:c>
    </x:row>
    <x:row r="242">
      <x:c r="A242" s="18" t="str">
        <x:v>bonitinho</x:v>
      </x:c>
      <x:c r="B242" s="18" t="str">
        <x:v>ichtã</x:v>
      </x:c>
      <x:c r="C242" s="19" t="n">
        <x:f>IF(B242="",0,(LEN(B242)-LEN(SUBSTITUTE(B242," | ","")))/3+1)</x:f>
        <x:v>1</x:v>
      </x:c>
      <x:c r="D242" t="str">
        <x:v>b</x:v>
      </x:c>
      <x:c r="E242" t="str">
        <x:v>https://www.webonary.org/marubo/g39664d0d-1d34-4cac-b79a-793c6350a5a5/</x:v>
      </x:c>
      <x:c r="F242" t="str">
        <x:v>g317faaf7-1e59-4b6a-98f5-3e35a9ba8f5a</x:v>
      </x:c>
      <x:c r="G242" s="20" t="n">
        <x:v>46003.934771342596</x:v>
      </x:c>
    </x:row>
    <x:row r="243">
      <x:c r="A243" s="18" t="str">
        <x:v>bonito</x:v>
      </x:c>
      <x:c r="B243" s="18" t="str">
        <x:v>roakachta</x:v>
      </x:c>
      <x:c r="C243" s="19" t="n">
        <x:f>IF(B243="",0,(LEN(B243)-LEN(SUBSTITUTE(B243," | ","")))/3+1)</x:f>
        <x:v>1</x:v>
      </x:c>
      <x:c r="D243" t="str">
        <x:v>b</x:v>
      </x:c>
      <x:c r="E243" t="str">
        <x:v>https://www.webonary.org/marubo/g9e05d789-2403-408b-987c-42b6dffeb483/</x:v>
      </x:c>
      <x:c r="F243" t="str">
        <x:v>g1cf0ec7d-3680-4f7b-8ef6-e778edcb0560</x:v>
      </x:c>
      <x:c r="G243" s="20" t="n">
        <x:v>46003.934771342596</x:v>
      </x:c>
    </x:row>
    <x:row r="244">
      <x:c r="A244" s="18" t="str">
        <x:v>borboleta</x:v>
      </x:c>
      <x:c r="B244" s="18" t="str">
        <x:v>shaopero</x:v>
      </x:c>
      <x:c r="C244" s="19" t="n">
        <x:f>IF(B244="",0,(LEN(B244)-LEN(SUBSTITUTE(B244," | ","")))/3+1)</x:f>
        <x:v>1</x:v>
      </x:c>
      <x:c r="D244" t="str">
        <x:v>b</x:v>
      </x:c>
      <x:c r="E244" t="str">
        <x:v>https://www.webonary.org/marubo/g765bea95-a3c0-45f8-ae33-684a6eda3159/</x:v>
      </x:c>
      <x:c r="F244" t="str">
        <x:v>g9cf80486-9058-4016-bbe0-f55fc35295a6</x:v>
      </x:c>
      <x:c r="G244" s="20" t="n">
        <x:v>46003.934771342596</x:v>
      </x:c>
    </x:row>
    <x:row r="245">
      <x:c r="A245" s="18" t="str">
        <x:v>botão</x:v>
      </x:c>
      <x:c r="B245" s="18" t="str">
        <x:v>õpo vero</x:v>
      </x:c>
      <x:c r="C245" s="19" t="n">
        <x:f>IF(B245="",0,(LEN(B245)-LEN(SUBSTITUTE(B245," | ","")))/3+1)</x:f>
        <x:v>1</x:v>
      </x:c>
      <x:c r="D245" t="str">
        <x:v>b</x:v>
      </x:c>
      <x:c r="E245" t="str">
        <x:v>https://www.webonary.org/marubo/gad6e0e0a-4907-4c4e-8d81-d26a33bb9f21/</x:v>
      </x:c>
      <x:c r="F245" t="str">
        <x:v>g13f36156-d002-4660-9874-8bddf42bedf1</x:v>
      </x:c>
      <x:c r="G245" s="20" t="n">
        <x:v>46003.934771342596</x:v>
      </x:c>
    </x:row>
    <x:row r="246">
      <x:c r="A246" s="18" t="str">
        <x:v>botas</x:v>
      </x:c>
      <x:c r="B246" s="18" t="str">
        <x:v>taríti keyaka</x:v>
      </x:c>
      <x:c r="C246" s="19" t="n">
        <x:f>IF(B246="",0,(LEN(B246)-LEN(SUBSTITUTE(B246," | ","")))/3+1)</x:f>
        <x:v>1</x:v>
      </x:c>
      <x:c r="D246" t="str">
        <x:v>b</x:v>
      </x:c>
      <x:c r="E246" t="str">
        <x:v>https://www.webonary.org/marubo/g32a1c7e8-9fb6-4008-a01f-a2eab9c7cbfc/</x:v>
      </x:c>
      <x:c r="F246" t="str">
        <x:v>g33eb1dcb-7802-45c9-bcbb-51601c762117</x:v>
      </x:c>
      <x:c r="G246" s="20" t="n">
        <x:v>46003.934771342596</x:v>
      </x:c>
    </x:row>
    <x:row r="247">
      <x:c r="A247" s="18" t="str">
        <x:v>boto</x:v>
      </x:c>
      <x:c r="B247" s="18" t="str">
        <x:v>kocho</x:v>
      </x:c>
      <x:c r="C247" s="19" t="n">
        <x:f>IF(B247="",0,(LEN(B247)-LEN(SUBSTITUTE(B247," | ","")))/3+1)</x:f>
        <x:v>1</x:v>
      </x:c>
      <x:c r="D247" t="str">
        <x:v>b</x:v>
      </x:c>
      <x:c r="E247" t="str">
        <x:v>https://www.webonary.org/marubo/gb031cf44-79c9-489a-a141-1aafb5e807c4/</x:v>
      </x:c>
      <x:c r="F247" t="str">
        <x:v>g314408ef-ad12-4c4b-8862-23dc6f15b650</x:v>
      </x:c>
      <x:c r="G247" s="20" t="n">
        <x:v>46003.934771342596</x:v>
      </x:c>
    </x:row>
    <x:row r="248">
      <x:c r="A248" s="18" t="str">
        <x:v>BPP bater a cabeça</x:v>
      </x:c>
      <x:c r="B248" s="18" t="str">
        <x:v>vetó ikí</x:v>
      </x:c>
      <x:c r="C248" s="19" t="n">
        <x:f>IF(B248="",0,(LEN(B248)-LEN(SUBSTITUTE(B248," | ","")))/3+1)</x:f>
        <x:v>1</x:v>
      </x:c>
      <x:c r="D248" t="str">
        <x:v>b</x:v>
      </x:c>
      <x:c r="E248" t="str">
        <x:v>https://www.webonary.org/marubo/g5c6c9169-eb6c-4db0-a873-f746d09c14e5/</x:v>
      </x:c>
      <x:c r="F248" t="str">
        <x:v>gc582d8ac-972c-4f29-9de2-c9c26b629ff0</x:v>
      </x:c>
      <x:c r="G248" s="20" t="n">
        <x:v>46003.934771342596</x:v>
      </x:c>
    </x:row>
    <x:row r="249">
      <x:c r="A249" s="18" t="str">
        <x:v>BPP bater na cabeça</x:v>
      </x:c>
      <x:c r="B249" s="18" t="str">
        <x:v>votásha aká</x:v>
      </x:c>
      <x:c r="C249" s="19" t="n">
        <x:f>IF(B249="",0,(LEN(B249)-LEN(SUBSTITUTE(B249," | ","")))/3+1)</x:f>
        <x:v>1</x:v>
      </x:c>
      <x:c r="D249" t="str">
        <x:v>b</x:v>
      </x:c>
      <x:c r="E249" t="str">
        <x:v>https://www.webonary.org/marubo/g64f14700-e316-4432-9245-39e632b7c409/</x:v>
      </x:c>
      <x:c r="F249" t="str">
        <x:v>g19389a03-015a-445c-861d-4c33c641dda6</x:v>
      </x:c>
      <x:c r="G249" s="20" t="n">
        <x:v>46003.934771342596</x:v>
      </x:c>
    </x:row>
    <x:row r="250">
      <x:c r="A250" s="18" t="str">
        <x:v>BPP bater pé</x:v>
      </x:c>
      <x:c r="B250" s="18" t="str">
        <x:v>votxá ikí</x:v>
      </x:c>
      <x:c r="C250" s="19" t="n">
        <x:f>IF(B250="",0,(LEN(B250)-LEN(SUBSTITUTE(B250," | ","")))/3+1)</x:f>
        <x:v>1</x:v>
      </x:c>
      <x:c r="D250" t="str">
        <x:v>b</x:v>
      </x:c>
      <x:c r="E250" t="str">
        <x:v>https://www.webonary.org/marubo/g7146d637-f555-491a-9b8e-d48e41c79b24/</x:v>
      </x:c>
      <x:c r="F250" t="str">
        <x:v>ge72a7428-b01a-4853-bbf6-83daa9a5d1b7</x:v>
      </x:c>
      <x:c r="G250" s="20" t="n">
        <x:v>46003.934771342596</x:v>
      </x:c>
    </x:row>
    <x:row r="251">
      <x:c r="A251" s="18" t="str">
        <x:v>BPP cortar parte dianteiro</x:v>
      </x:c>
      <x:c r="B251" s="18" t="str">
        <x:v>votás aká</x:v>
      </x:c>
      <x:c r="C251" s="19" t="n">
        <x:f>IF(B251="",0,(LEN(B251)-LEN(SUBSTITUTE(B251," | ","")))/3+1)</x:f>
        <x:v>1</x:v>
      </x:c>
      <x:c r="D251" t="str">
        <x:v>b</x:v>
      </x:c>
      <x:c r="E251" t="str">
        <x:v>https://www.webonary.org/marubo/ga4cc227e-df13-470e-8509-9ee145d9f0fe/</x:v>
      </x:c>
      <x:c r="F251" t="str">
        <x:v>g464691ea-bfc7-4fed-a881-420d0a5bdc90</x:v>
      </x:c>
      <x:c r="G251" s="20" t="n">
        <x:v>46003.934771342596</x:v>
      </x:c>
    </x:row>
    <x:row r="252">
      <x:c r="A252" s="18" t="str">
        <x:v>BPP pelos no pescoço</x:v>
      </x:c>
      <x:c r="B252" s="18" t="str">
        <x:v>tetxovoshe</x:v>
      </x:c>
      <x:c r="C252" s="19" t="n">
        <x:f>IF(B252="",0,(LEN(B252)-LEN(SUBSTITUTE(B252," | ","")))/3+1)</x:f>
        <x:v>1</x:v>
      </x:c>
      <x:c r="D252" t="str">
        <x:v>b</x:v>
      </x:c>
      <x:c r="E252" t="str">
        <x:v>https://www.webonary.org/marubo/g83cc9da6-0ebf-4987-8809-b503394a1b8b/</x:v>
      </x:c>
      <x:c r="F252" t="str">
        <x:v>ga45db8b6-2017-40d4-84ea-18c5be4d42bf</x:v>
      </x:c>
      <x:c r="G252" s="20" t="n">
        <x:v>46003.934771342596</x:v>
      </x:c>
    </x:row>
    <x:row r="253">
      <x:c r="A253" s="18" t="str">
        <x:v>BPP quando bate na testa</x:v>
      </x:c>
      <x:c r="B253" s="18" t="str">
        <x:v>vetã ikí</x:v>
      </x:c>
      <x:c r="C253" s="19" t="n">
        <x:f>IF(B253="",0,(LEN(B253)-LEN(SUBSTITUTE(B253," | ","")))/3+1)</x:f>
        <x:v>1</x:v>
      </x:c>
      <x:c r="D253" t="str">
        <x:v>b</x:v>
      </x:c>
      <x:c r="E253" t="str">
        <x:v>https://www.webonary.org/marubo/g98f84fd8-6aa0-487c-8fa7-5835f27e27e4/</x:v>
      </x:c>
      <x:c r="F253" t="str">
        <x:v>g81ed57bf-565f-4aa9-a880-2d68e3c750d9</x:v>
      </x:c>
      <x:c r="G253" s="20" t="n">
        <x:v>46003.934771342596</x:v>
      </x:c>
    </x:row>
    <x:row r="254">
      <x:c r="A254" s="18" t="str">
        <x:v>BPPcabelos na testa</x:v>
      </x:c>
      <x:c r="B254" s="18" t="str">
        <x:v>vetxovóshe</x:v>
      </x:c>
      <x:c r="C254" s="19" t="n">
        <x:f>IF(B254="",0,(LEN(B254)-LEN(SUBSTITUTE(B254," | ","")))/3+1)</x:f>
        <x:v>1</x:v>
      </x:c>
      <x:c r="D254" t="str">
        <x:v>b</x:v>
      </x:c>
      <x:c r="E254" t="str">
        <x:v>https://www.webonary.org/marubo/gf51ae725-f36b-4b07-b6db-78f2cc8a305d/</x:v>
      </x:c>
      <x:c r="F254" t="str">
        <x:v>ga155a405-11fa-4ba8-bf14-ce9e4fd2ebf9</x:v>
      </x:c>
      <x:c r="G254" s="20" t="n">
        <x:v>46003.934771342596</x:v>
      </x:c>
    </x:row>
    <x:row r="255">
      <x:c r="A255" s="18" t="str">
        <x:v>braço inferior</x:v>
      </x:c>
      <x:c r="B255" s="18" t="str">
        <x:v>metáshe</x:v>
      </x:c>
      <x:c r="C255" s="19" t="n">
        <x:f>IF(B255="",0,(LEN(B255)-LEN(SUBSTITUTE(B255," | ","")))/3+1)</x:f>
        <x:v>1</x:v>
      </x:c>
      <x:c r="D255" t="str">
        <x:v>b</x:v>
      </x:c>
      <x:c r="E255" t="str">
        <x:v>https://www.webonary.org/marubo/g6157d099-335d-44db-8485-65a4e6a8b018/</x:v>
      </x:c>
      <x:c r="F255" t="str">
        <x:v>g6f4f0141-8f96-4601-8d1c-d3ccc2029cdb</x:v>
      </x:c>
      <x:c r="G255" s="20" t="n">
        <x:v>46003.934771342596</x:v>
      </x:c>
    </x:row>
    <x:row r="256">
      <x:c r="A256" s="18" t="str">
        <x:v>braço superior</x:v>
      </x:c>
      <x:c r="B256" s="18" t="str">
        <x:v>põyã</x:v>
      </x:c>
      <x:c r="C256" s="19" t="n">
        <x:f>IF(B256="",0,(LEN(B256)-LEN(SUBSTITUTE(B256," | ","")))/3+1)</x:f>
        <x:v>1</x:v>
      </x:c>
      <x:c r="D256" t="str">
        <x:v>b</x:v>
      </x:c>
      <x:c r="E256" t="str">
        <x:v>https://www.webonary.org/marubo/g3c82e843-94f9-4d61-89b9-c4089f12ccf4/</x:v>
      </x:c>
      <x:c r="F256" t="str">
        <x:v>gf600e682-5e89-4236-a5c4-5929212563ce</x:v>
      </x:c>
      <x:c r="G256" s="20" t="n">
        <x:v>46003.934784537036</x:v>
      </x:c>
    </x:row>
    <x:row r="257">
      <x:c r="A257" s="18" t="str">
        <x:v>branco</x:v>
      </x:c>
      <x:c r="B257" s="18" t="str">
        <x:v>oshoka</x:v>
      </x:c>
      <x:c r="C257" s="19" t="n">
        <x:f>IF(B257="",0,(LEN(B257)-LEN(SUBSTITUTE(B257," | ","")))/3+1)</x:f>
        <x:v>1</x:v>
      </x:c>
      <x:c r="D257" t="str">
        <x:v>b</x:v>
      </x:c>
      <x:c r="E257" t="str">
        <x:v>https://www.webonary.org/marubo/g04abd1a1-ff4f-40a3-9d6a-f84c1a54c5e4/</x:v>
      </x:c>
      <x:c r="F257" t="str">
        <x:v>gc27c8f00-f2b0-42ce-a7f7-2c631e4bde79</x:v>
      </x:c>
      <x:c r="G257" s="20" t="n">
        <x:v>46003.934784537036</x:v>
      </x:c>
    </x:row>
    <x:row r="258">
      <x:c r="A258" s="18" t="str">
        <x:v>brando</x:v>
      </x:c>
      <x:c r="B258" s="18" t="str">
        <x:v>orãka | 1</x:v>
      </x:c>
      <x:c r="C258" s="19" t="n">
        <x:f>IF(B258="",0,(LEN(B258)-LEN(SUBSTITUTE(B258," | ","")))/3+1)</x:f>
        <x:v>2</x:v>
      </x:c>
      <x:c r="D258" t="str">
        <x:v>b</x:v>
      </x:c>
      <x:c r="E258" t="str">
        <x:v>https://www.webonary.org/marubo/g2b774fcb-cee3-48e2-98ca-499f14c3c73b/</x:v>
      </x:c>
      <x:c r="F258" t="str">
        <x:v>ga06130d0-f68b-44ee-ae1d-661f4fef0f05</x:v>
      </x:c>
      <x:c r="G258" s="20" t="n">
        <x:v>46003.934784537036</x:v>
      </x:c>
    </x:row>
    <x:row r="259">
      <x:c r="A259" s="18" t="str">
        <x:v>bravo</x:v>
      </x:c>
      <x:c r="B259" s="18" t="str">
        <x:v>onika</x:v>
      </x:c>
      <x:c r="C259" s="19" t="n">
        <x:f>IF(B259="",0,(LEN(B259)-LEN(SUBSTITUTE(B259," | ","")))/3+1)</x:f>
        <x:v>1</x:v>
      </x:c>
      <x:c r="D259" t="str">
        <x:v>b</x:v>
      </x:c>
      <x:c r="E259" t="str">
        <x:v>https://www.webonary.org/marubo/g83d1415b-b92b-49ad-bd74-986510bc1e50/</x:v>
      </x:c>
      <x:c r="F259" t="str">
        <x:v>g9f654b21-9cae-4c26-a4d2-7eb2bbaba559</x:v>
      </x:c>
      <x:c r="G259" s="20" t="n">
        <x:v>46003.934784537036</x:v>
      </x:c>
    </x:row>
    <x:row r="260">
      <x:c r="A260" s="18" t="str">
        <x:v>break</x:v>
      </x:c>
      <x:c r="B260" s="18" t="str">
        <x:v>toshá</x:v>
      </x:c>
      <x:c r="C260" s="19" t="n">
        <x:f>IF(B260="",0,(LEN(B260)-LEN(SUBSTITUTE(B260," | ","")))/3+1)</x:f>
        <x:v>1</x:v>
      </x:c>
      <x:c r="D260" t="str">
        <x:v>b</x:v>
      </x:c>
      <x:c r="E260" t="str">
        <x:v>https://www.webonary.org/marubo/gd3d72083-6dd5-4ca0-a9e0-ab7c3b2b9074/</x:v>
      </x:c>
      <x:c r="F260" t="str">
        <x:v>gf97d2248-6f22-4af5-b6f5-80552a306eab</x:v>
      </x:c>
      <x:c r="G260" s="20" t="n">
        <x:v>46003.934784537036</x:v>
      </x:c>
    </x:row>
    <x:row r="261">
      <x:c r="A261" s="18" t="str">
        <x:v>breu</x:v>
      </x:c>
      <x:c r="B261" s="18" t="str">
        <x:v>amo</x:v>
      </x:c>
      <x:c r="C261" s="19" t="n">
        <x:f>IF(B261="",0,(LEN(B261)-LEN(SUBSTITUTE(B261," | ","")))/3+1)</x:f>
        <x:v>1</x:v>
      </x:c>
      <x:c r="D261" t="str">
        <x:v>b</x:v>
      </x:c>
      <x:c r="E261" t="str">
        <x:v>https://www.webonary.org/marubo/ge2ba588b-fff1-4c55-bad6-15826dbb82fb/</x:v>
      </x:c>
      <x:c r="F261" t="str">
        <x:v>g84b21963-9448-4932-8842-b579a999688f</x:v>
      </x:c>
      <x:c r="G261" s="20" t="n">
        <x:v>46003.934784537036</x:v>
      </x:c>
    </x:row>
    <x:row r="262">
      <x:c r="A262" s="18" t="str">
        <x:v>brigar verbalmente</x:v>
      </x:c>
      <x:c r="B262" s="18" t="str">
        <x:v>vatxĩ ikí | vatxĩa</x:v>
      </x:c>
      <x:c r="C262" s="19" t="n">
        <x:f>IF(B262="",0,(LEN(B262)-LEN(SUBSTITUTE(B262," | ","")))/3+1)</x:f>
        <x:v>2</x:v>
      </x:c>
      <x:c r="D262" t="str">
        <x:v>b</x:v>
      </x:c>
      <x:c r="E262" t="str">
        <x:v>https://www.webonary.org/marubo/g192aa8d9-a149-4d01-8d57-7030c7c42a87/</x:v>
      </x:c>
      <x:c r="F262" t="str">
        <x:v>g76e9999c-023f-489a-b673-93fec415f82c</x:v>
      </x:c>
      <x:c r="G262" s="20" t="n">
        <x:v>46003.934784537036</x:v>
      </x:c>
    </x:row>
    <x:row r="263">
      <x:c r="A263" s="18" t="str">
        <x:v>brilhante</x:v>
      </x:c>
      <x:c r="B263" s="18" t="str">
        <x:v>veichaka | verika | naoka</x:v>
      </x:c>
      <x:c r="C263" s="19" t="n">
        <x:f>IF(B263="",0,(LEN(B263)-LEN(SUBSTITUTE(B263," | ","")))/3+1)</x:f>
        <x:v>3</x:v>
      </x:c>
      <x:c r="D263" t="str">
        <x:v>b</x:v>
      </x:c>
      <x:c r="E263" t="str">
        <x:v>https://www.webonary.org/marubo/gd5bb0cc1-384c-430d-bbef-4f587cb185b9/</x:v>
      </x:c>
      <x:c r="F263" t="str">
        <x:v>gbe0b16f6-408f-41a5-9665-059d80cbb7ba</x:v>
      </x:c>
      <x:c r="G263" s="20" t="n">
        <x:v>46003.934784537036</x:v>
      </x:c>
    </x:row>
    <x:row r="264">
      <x:c r="A264" s="18" t="str">
        <x:v>brilhar</x:v>
      </x:c>
      <x:c r="B264" s="18" t="str">
        <x:v>saná</x:v>
      </x:c>
      <x:c r="C264" s="19" t="n">
        <x:f>IF(B264="",0,(LEN(B264)-LEN(SUBSTITUTE(B264," | ","")))/3+1)</x:f>
        <x:v>1</x:v>
      </x:c>
      <x:c r="D264" t="str">
        <x:v>b</x:v>
      </x:c>
      <x:c r="E264" t="str">
        <x:v>https://www.webonary.org/marubo/g3ecf2ed6-4094-496b-9665-e21f25659dd6/</x:v>
      </x:c>
      <x:c r="F264" t="str">
        <x:v>g236fa711-6f03-4fa0-8c98-fcb926f5f2f9</x:v>
      </x:c>
      <x:c r="G264" s="20" t="n">
        <x:v>46003.934784537036</x:v>
      </x:c>
    </x:row>
    <x:row r="265">
      <x:c r="A265" s="18" t="str">
        <x:v>brincar</x:v>
      </x:c>
      <x:c r="B265" s="18" t="str">
        <x:v>wesia | parãni ikí</x:v>
      </x:c>
      <x:c r="C265" s="19" t="n">
        <x:f>IF(B265="",0,(LEN(B265)-LEN(SUBSTITUTE(B265," | ","")))/3+1)</x:f>
        <x:v>2</x:v>
      </x:c>
      <x:c r="D265" t="str">
        <x:v>b</x:v>
      </x:c>
      <x:c r="E265" t="str">
        <x:v>https://www.webonary.org/marubo/ge7efc91e-cfd1-475b-81e6-c919068f5da8/</x:v>
      </x:c>
      <x:c r="F265" t="str">
        <x:v>g16a8461a-0931-465a-88dc-6844d567ada5</x:v>
      </x:c>
      <x:c r="G265" s="20" t="n">
        <x:v>46003.934784537036</x:v>
      </x:c>
    </x:row>
    <x:row r="266">
      <x:c r="A266" s="18" t="str">
        <x:v>brinco</x:v>
      </x:c>
      <x:c r="B266" s="18" t="str">
        <x:v>pãtxo osõti</x:v>
      </x:c>
      <x:c r="C266" s="19" t="n">
        <x:f>IF(B266="",0,(LEN(B266)-LEN(SUBSTITUTE(B266," | ","")))/3+1)</x:f>
        <x:v>1</x:v>
      </x:c>
      <x:c r="D266" t="str">
        <x:v>b</x:v>
      </x:c>
      <x:c r="E266" t="str">
        <x:v>https://www.webonary.org/marubo/gc6fa31ec-6c0c-4944-a1ea-515ba8c6165e/</x:v>
      </x:c>
      <x:c r="F266" t="str">
        <x:v>g87cc4052-02b9-4d32-82d3-ea1f23996bc5</x:v>
      </x:c>
      <x:c r="G266" s="20" t="n">
        <x:v>46003.934784537036</x:v>
      </x:c>
    </x:row>
    <x:row r="267">
      <x:c r="A267" s="18" t="str">
        <x:v>brinquedo</x:v>
      </x:c>
      <x:c r="B267" s="18" t="str">
        <x:v>parãti</x:v>
      </x:c>
      <x:c r="C267" s="19" t="n">
        <x:f>IF(B267="",0,(LEN(B267)-LEN(SUBSTITUTE(B267," | ","")))/3+1)</x:f>
        <x:v>1</x:v>
      </x:c>
      <x:c r="D267" t="str">
        <x:v>b</x:v>
      </x:c>
      <x:c r="E267" t="str">
        <x:v>https://www.webonary.org/marubo/g0c10a08e-f669-4d14-9dc9-5be656a54f77/</x:v>
      </x:c>
      <x:c r="F267" t="str">
        <x:v>g9df6a499-1bf2-4849-8be6-69f658a86e1b</x:v>
      </x:c>
      <x:c r="G267" s="20" t="n">
        <x:v>46003.934784537036</x:v>
      </x:c>
    </x:row>
    <x:row r="268">
      <x:c r="A268" s="18" t="str">
        <x:v>brinquedo feito de babaçu</x:v>
      </x:c>
      <x:c r="B268" s="18" t="str">
        <x:v>chõko</x:v>
      </x:c>
      <x:c r="C268" s="19" t="n">
        <x:f>IF(B268="",0,(LEN(B268)-LEN(SUBSTITUTE(B268," | ","")))/3+1)</x:f>
        <x:v>1</x:v>
      </x:c>
      <x:c r="D268" t="str">
        <x:v>b</x:v>
      </x:c>
      <x:c r="E268" t="str">
        <x:v>https://www.webonary.org/marubo/g55e999cc-f97e-4391-bdbe-b4229dbdda40/</x:v>
      </x:c>
      <x:c r="F268" t="str">
        <x:v>g4d7031a9-dabf-4249-a5f2-b4c49c21c7a2</x:v>
      </x:c>
      <x:c r="G268" s="20" t="n">
        <x:v>46003.934784537036</x:v>
      </x:c>
    </x:row>
    <x:row r="269">
      <x:c r="A269" s="18" t="str">
        <x:v>brotar</x:v>
      </x:c>
      <x:c r="B269" s="18" t="str">
        <x:v>toásh ikí</x:v>
      </x:c>
      <x:c r="C269" s="19" t="n">
        <x:f>IF(B269="",0,(LEN(B269)-LEN(SUBSTITUTE(B269," | ","")))/3+1)</x:f>
        <x:v>1</x:v>
      </x:c>
      <x:c r="D269" t="str">
        <x:v>b</x:v>
      </x:c>
      <x:c r="E269" t="str">
        <x:v>https://www.webonary.org/marubo/g6d2529b6-a362-43f6-8f8b-2b685c102c65/</x:v>
      </x:c>
      <x:c r="F269" t="str">
        <x:v>gbba3bc5b-8a2b-4599-835d-44b28aa77c41</x:v>
      </x:c>
      <x:c r="G269" s="20" t="n">
        <x:v>46003.934784537036</x:v>
      </x:c>
    </x:row>
    <x:row r="270">
      <x:c r="A270" s="18" t="str">
        <x:v>broto</x:v>
      </x:c>
      <x:c r="B270" s="18" t="str">
        <x:v>koa</x:v>
      </x:c>
      <x:c r="C270" s="19" t="n">
        <x:f>IF(B270="",0,(LEN(B270)-LEN(SUBSTITUTE(B270," | ","")))/3+1)</x:f>
        <x:v>1</x:v>
      </x:c>
      <x:c r="D270" t="str">
        <x:v>b</x:v>
      </x:c>
      <x:c r="E270" t="str">
        <x:v>https://www.webonary.org/marubo/g0ee9116e-4724-412e-a217-8dd5d23a40a4/</x:v>
      </x:c>
      <x:c r="F270" t="str">
        <x:v>gdd34c562-c9d6-4d2d-8d08-d4ecbb5b3481</x:v>
      </x:c>
      <x:c r="G270" s="20" t="n">
        <x:v>46003.934784537036</x:v>
      </x:c>
    </x:row>
    <x:row r="271">
      <x:c r="A271" s="18" t="str">
        <x:v>bruto</x:v>
      </x:c>
      <x:c r="B271" s="18" t="str">
        <x:v>txiika</x:v>
      </x:c>
      <x:c r="C271" s="19" t="n">
        <x:f>IF(B271="",0,(LEN(B271)-LEN(SUBSTITUTE(B271," | ","")))/3+1)</x:f>
        <x:v>1</x:v>
      </x:c>
      <x:c r="D271" t="str">
        <x:v>b</x:v>
      </x:c>
      <x:c r="E271" t="str">
        <x:v>https://www.webonary.org/marubo/g50f63f79-e6b8-46ed-b956-02f72261529e/</x:v>
      </x:c>
      <x:c r="F271" t="str">
        <x:v>gc20401f3-4a4a-4bde-9308-99d2f5f46a08</x:v>
      </x:c>
      <x:c r="G271" s="20" t="n">
        <x:v>46003.934784537036</x:v>
      </x:c>
    </x:row>
    <x:row r="272">
      <x:c r="A272" s="18" t="str">
        <x:v>buraco</x:v>
      </x:c>
      <x:c r="B272" s="18" t="str">
        <x:v>shãto | kini | oro | 1</x:v>
      </x:c>
      <x:c r="C272" s="19" t="n">
        <x:f>IF(B272="",0,(LEN(B272)-LEN(SUBSTITUTE(B272," | ","")))/3+1)</x:f>
        <x:v>4</x:v>
      </x:c>
      <x:c r="D272" t="str">
        <x:v>b</x:v>
      </x:c>
      <x:c r="E272" t="str">
        <x:v>https://www.webonary.org/marubo/gb34f4249-fc55-41e5-b2eb-d2440a28f1fe/</x:v>
      </x:c>
      <x:c r="F272" t="str">
        <x:v>g572aee17-6777-43ce-9266-1d9be5b133ee</x:v>
      </x:c>
      <x:c r="G272" s="20" t="n">
        <x:v>46003.934784537036</x:v>
      </x:c>
    </x:row>
    <x:row r="273">
      <x:c r="A273" s="18" t="str">
        <x:v>buriti</x:v>
      </x:c>
      <x:c r="B273" s="18" t="str">
        <x:v>vinõ</x:v>
      </x:c>
      <x:c r="C273" s="19" t="n">
        <x:f>IF(B273="",0,(LEN(B273)-LEN(SUBSTITUTE(B273," | ","")))/3+1)</x:f>
        <x:v>1</x:v>
      </x:c>
      <x:c r="D273" t="str">
        <x:v>b</x:v>
      </x:c>
      <x:c r="E273" t="str">
        <x:v>https://www.webonary.org/marubo/g5fe4e3be-3888-43e5-b86a-458e249d8e09/</x:v>
      </x:c>
      <x:c r="F273" t="str">
        <x:v>g90ae7589-33fc-4b8f-a8b3-de1ceb852ebc</x:v>
      </x:c>
      <x:c r="G273" s="20" t="n">
        <x:v>46003.934784537036</x:v>
      </x:c>
    </x:row>
    <x:row r="274">
      <x:c r="A274" s="18" t="str">
        <x:v>buriti que cai</x:v>
      </x:c>
      <x:c r="B274" s="18" t="str">
        <x:v>niri ikí</x:v>
      </x:c>
      <x:c r="C274" s="19" t="n">
        <x:f>IF(B274="",0,(LEN(B274)-LEN(SUBSTITUTE(B274," | ","")))/3+1)</x:f>
        <x:v>1</x:v>
      </x:c>
      <x:c r="D274" t="str">
        <x:v>b</x:v>
      </x:c>
      <x:c r="E274" t="str">
        <x:v>https://www.webonary.org/marubo/g4e103dfb-1c74-4c84-b10d-e6c8dc3561be/</x:v>
      </x:c>
      <x:c r="F274" t="str">
        <x:v>g87c1a2dd-959b-43c0-893b-a36eccda1c71</x:v>
      </x:c>
      <x:c r="G274" s="20" t="n">
        <x:v>46003.934784537036</x:v>
      </x:c>
    </x:row>
    <x:row r="275">
      <x:c r="A275" s="18" t="str">
        <x:v>caba marimbondo</x:v>
      </x:c>
      <x:c r="B275" s="18" t="str">
        <x:v>vina</x:v>
      </x:c>
      <x:c r="C275" s="19" t="n">
        <x:f>IF(B275="",0,(LEN(B275)-LEN(SUBSTITUTE(B275," | ","")))/3+1)</x:f>
        <x:v>1</x:v>
      </x:c>
      <x:c r="D275" t="str">
        <x:v>c</x:v>
      </x:c>
      <x:c r="E275" t="str">
        <x:v>https://www.webonary.org/marubo/g504edeee-f1a9-42cc-8d6a-273569878b6e/</x:v>
      </x:c>
      <x:c r="F275" t="str">
        <x:v>g0c25c233-b843-422e-992f-84db48691570</x:v>
      </x:c>
      <x:c r="G275" s="20" t="n">
        <x:v>46003.934784537036</x:v>
      </x:c>
    </x:row>
    <x:row r="276">
      <x:c r="A276" s="18" t="str">
        <x:v>cabaça</x:v>
      </x:c>
      <x:c r="B276" s="18" t="str">
        <x:v>txoma</x:v>
      </x:c>
      <x:c r="C276" s="19" t="n">
        <x:f>IF(B276="",0,(LEN(B276)-LEN(SUBSTITUTE(B276," | ","")))/3+1)</x:f>
        <x:v>1</x:v>
      </x:c>
      <x:c r="D276" t="str">
        <x:v>c</x:v>
      </x:c>
      <x:c r="E276" t="str">
        <x:v>https://www.webonary.org/marubo/g43774c0c-2e93-4bca-b693-c9e359a6ec12/</x:v>
      </x:c>
      <x:c r="F276" t="str">
        <x:v>g79919254-e8dc-4cd5-95cb-7316c8b719ca</x:v>
      </x:c>
      <x:c r="G276" s="20" t="n">
        <x:v>46003.934784537036</x:v>
      </x:c>
    </x:row>
    <x:row r="277">
      <x:c r="A277" s="18" t="str">
        <x:v>cabeça</x:v>
      </x:c>
      <x:c r="B277" s="18" t="str">
        <x:v>mapo</x:v>
      </x:c>
      <x:c r="C277" s="19" t="n">
        <x:f>IF(B277="",0,(LEN(B277)-LEN(SUBSTITUTE(B277," | ","")))/3+1)</x:f>
        <x:v>1</x:v>
      </x:c>
      <x:c r="D277" t="str">
        <x:v>c</x:v>
      </x:c>
      <x:c r="E277" t="str">
        <x:v>https://www.webonary.org/marubo/gcbcd8a33-9ad7-46db-aa1b-5522ce2a3331/</x:v>
      </x:c>
      <x:c r="F277" t="str">
        <x:v>g439470b9-ba71-4c72-be8e-8c26b15d10fe</x:v>
      </x:c>
      <x:c r="G277" s="20" t="n">
        <x:v>46003.934784537036</x:v>
      </x:c>
    </x:row>
    <x:row r="278">
      <x:c r="A278" s="18" t="str">
        <x:v>cabeça fedida</x:v>
      </x:c>
      <x:c r="B278" s="18" t="str">
        <x:v>võpíska</x:v>
      </x:c>
      <x:c r="C278" s="19" t="n">
        <x:f>IF(B278="",0,(LEN(B278)-LEN(SUBSTITUTE(B278," | ","")))/3+1)</x:f>
        <x:v>1</x:v>
      </x:c>
      <x:c r="D278" t="str">
        <x:v>c</x:v>
      </x:c>
      <x:c r="E278" t="str">
        <x:v>https://www.webonary.org/marubo/g5590fb85-7e32-4e07-bcb1-e1b57920ffe2/</x:v>
      </x:c>
      <x:c r="F278" t="str">
        <x:v>g46fc118d-33ea-4dfa-bebe-6952ccb972de</x:v>
      </x:c>
      <x:c r="G278" s="20" t="n">
        <x:v>46003.934784537036</x:v>
      </x:c>
    </x:row>
    <x:row r="279">
      <x:c r="A279" s="18" t="str">
        <x:v>cabeceira</x:v>
      </x:c>
      <x:c r="B279" s="18" t="str">
        <x:v>vosoa</x:v>
      </x:c>
      <x:c r="C279" s="19" t="n">
        <x:f>IF(B279="",0,(LEN(B279)-LEN(SUBSTITUTE(B279," | ","")))/3+1)</x:f>
        <x:v>1</x:v>
      </x:c>
      <x:c r="D279" t="str">
        <x:v>c</x:v>
      </x:c>
      <x:c r="E279" t="str">
        <x:v>https://www.webonary.org/marubo/g769fead6-7466-46b0-9cf7-c757638f1b95/</x:v>
      </x:c>
      <x:c r="F279" t="str">
        <x:v>g77372fa9-e181-4714-957b-1310919e8b57</x:v>
      </x:c>
      <x:c r="G279" s="20" t="n">
        <x:v>46003.934784537036</x:v>
      </x:c>
    </x:row>
    <x:row r="280">
      <x:c r="A280" s="18" t="str">
        <x:v>cabelo</x:v>
      </x:c>
      <x:c r="B280" s="18" t="str">
        <x:v>voo</x:v>
      </x:c>
      <x:c r="C280" s="19" t="n">
        <x:f>IF(B280="",0,(LEN(B280)-LEN(SUBSTITUTE(B280," | ","")))/3+1)</x:f>
        <x:v>1</x:v>
      </x:c>
      <x:c r="D280" t="str">
        <x:v>c</x:v>
      </x:c>
      <x:c r="E280" t="str">
        <x:v>https://www.webonary.org/marubo/g24d71f5d-8cc9-4fe7-919e-63dff84f31c2/</x:v>
      </x:c>
      <x:c r="F280" t="str">
        <x:v>g3aabaf93-07f3-4e14-998a-144feab1cae9</x:v>
      </x:c>
      <x:c r="G280" s="20" t="n">
        <x:v>46003.934784537036</x:v>
      </x:c>
    </x:row>
    <x:row r="281">
      <x:c r="A281" s="18" t="str">
        <x:v>caber</x:v>
      </x:c>
      <x:c r="B281" s="18" t="str">
        <x:v>anõa | 1</x:v>
      </x:c>
      <x:c r="C281" s="19" t="n">
        <x:f>IF(B281="",0,(LEN(B281)-LEN(SUBSTITUTE(B281," | ","")))/3+1)</x:f>
        <x:v>2</x:v>
      </x:c>
      <x:c r="D281" t="str">
        <x:v>c</x:v>
      </x:c>
      <x:c r="E281" t="str">
        <x:v>https://www.webonary.org/marubo/gb9469958-c5cd-4506-9342-41be1c1b2567/</x:v>
      </x:c>
      <x:c r="F281" t="str">
        <x:v>g18ee640d-21ea-422b-88ea-0b134b9d4611</x:v>
      </x:c>
      <x:c r="G281" s="20" t="n">
        <x:v>46003.934784537036</x:v>
      </x:c>
    </x:row>
    <x:row r="282">
      <x:c r="A282" s="18" t="str">
        <x:v>caçar</x:v>
      </x:c>
      <x:c r="B282" s="18" t="str">
        <x:v>nii kaa</x:v>
      </x:c>
      <x:c r="C282" s="19" t="n">
        <x:f>IF(B282="",0,(LEN(B282)-LEN(SUBSTITUTE(B282," | ","")))/3+1)</x:f>
        <x:v>1</x:v>
      </x:c>
      <x:c r="D282" t="str">
        <x:v>c</x:v>
      </x:c>
      <x:c r="E282" t="str">
        <x:v>https://www.webonary.org/marubo/gf9dcaeee-306e-456f-8f19-01dd211c7709/</x:v>
      </x:c>
      <x:c r="F282" t="str">
        <x:v>gc9d97a42-8b7e-4499-a781-d73822ef9be9</x:v>
      </x:c>
      <x:c r="G282" s="20" t="n">
        <x:v>46003.934784537036</x:v>
      </x:c>
    </x:row>
    <x:row r="283">
      <x:c r="A283" s="18" t="str">
        <x:v>cachoeira</x:v>
      </x:c>
      <x:c r="B283" s="18" t="str">
        <x:v>põpo ikí</x:v>
      </x:c>
      <x:c r="C283" s="19" t="n">
        <x:f>IF(B283="",0,(LEN(B283)-LEN(SUBSTITUTE(B283," | ","")))/3+1)</x:f>
        <x:v>1</x:v>
      </x:c>
      <x:c r="D283" t="str">
        <x:v>c</x:v>
      </x:c>
      <x:c r="E283" t="str">
        <x:v>https://www.webonary.org/marubo/g2a96a6d9-4b81-4a3d-9ce2-20c3078f3589/</x:v>
      </x:c>
      <x:c r="F283" t="str">
        <x:v>gfd551c94-e451-4c97-93cc-81493715366d</x:v>
      </x:c>
      <x:c r="G283" s="20" t="n">
        <x:v>46003.934784537036</x:v>
      </x:c>
    </x:row>
    <x:row r="284">
      <x:c r="A284" s="18" t="str">
        <x:v>cachorro</x:v>
      </x:c>
      <x:c r="B284" s="18" t="str">
        <x:v>wapa | 1</x:v>
      </x:c>
      <x:c r="C284" s="19" t="n">
        <x:f>IF(B284="",0,(LEN(B284)-LEN(SUBSTITUTE(B284," | ","")))/3+1)</x:f>
        <x:v>2</x:v>
      </x:c>
      <x:c r="D284" t="str">
        <x:v>c</x:v>
      </x:c>
      <x:c r="E284" t="str">
        <x:v>https://www.webonary.org/marubo/gd9ba0316-eb6d-4b9c-8f54-d4ae455d83f5/</x:v>
      </x:c>
      <x:c r="F284" t="str">
        <x:v>ga40ad341-48d4-4e59-aae8-fbeeecfd8267</x:v>
      </x:c>
      <x:c r="G284" s="20" t="n">
        <x:v>46003.934784537036</x:v>
      </x:c>
    </x:row>
    <x:row r="285">
      <x:c r="A285" s="18" t="str">
        <x:v>cacique</x:v>
      </x:c>
      <x:c r="B285" s="18" t="str">
        <x:v>kakáya</x:v>
      </x:c>
      <x:c r="C285" s="19" t="n">
        <x:f>IF(B285="",0,(LEN(B285)-LEN(SUBSTITUTE(B285," | ","")))/3+1)</x:f>
        <x:v>1</x:v>
      </x:c>
      <x:c r="D285" t="str">
        <x:v>c</x:v>
      </x:c>
      <x:c r="E285" t="str">
        <x:v>https://www.webonary.org/marubo/g6d224a23-a109-465d-aa7e-4a85b88b0d81/</x:v>
      </x:c>
      <x:c r="F285" t="str">
        <x:v>g96669844-720a-4cfb-bf8b-8738067eb159</x:v>
      </x:c>
      <x:c r="G285" s="20" t="n">
        <x:v>46003.934784537036</x:v>
      </x:c>
    </x:row>
    <x:row r="286">
      <x:c r="A286" s="18" t="str">
        <x:v>cadeira</x:v>
      </x:c>
      <x:c r="B286" s="18" t="str">
        <x:v>tsaoti</x:v>
      </x:c>
      <x:c r="C286" s="19" t="n">
        <x:f>IF(B286="",0,(LEN(B286)-LEN(SUBSTITUTE(B286," | ","")))/3+1)</x:f>
        <x:v>1</x:v>
      </x:c>
      <x:c r="D286" t="str">
        <x:v>c</x:v>
      </x:c>
      <x:c r="E286" t="str">
        <x:v>https://www.webonary.org/marubo/g7f931cf3-7dc1-4f82-9349-55a3ca663905/</x:v>
      </x:c>
      <x:c r="F286" t="str">
        <x:v>ga11a812b-a390-46d9-973e-214c523faf97</x:v>
      </x:c>
      <x:c r="G286" s="20" t="n">
        <x:v>46003.934784537036</x:v>
      </x:c>
    </x:row>
    <x:row r="287">
      <x:c r="A287" s="18" t="str">
        <x:v>caibro</x:v>
      </x:c>
      <x:c r="B287" s="18" t="str">
        <x:v>kano</x:v>
      </x:c>
      <x:c r="C287" s="19" t="n">
        <x:f>IF(B287="",0,(LEN(B287)-LEN(SUBSTITUTE(B287," | ","")))/3+1)</x:f>
        <x:v>1</x:v>
      </x:c>
      <x:c r="D287" t="str">
        <x:v>c</x:v>
      </x:c>
      <x:c r="E287" t="str">
        <x:v>https://www.webonary.org/marubo/gc5b90ae3-613b-4408-bdbc-a2dd791a6cc4/</x:v>
      </x:c>
      <x:c r="F287" t="str">
        <x:v>g98dcbd93-2c0c-4729-805a-9bdfa39a5771</x:v>
      </x:c>
      <x:c r="G287" s="20" t="n">
        <x:v>46003.934784537036</x:v>
      </x:c>
    </x:row>
    <x:row r="288">
      <x:c r="A288" s="18" t="str">
        <x:v>caicuma de macaxeira</x:v>
      </x:c>
      <x:c r="B288" s="18" t="str">
        <x:v>atsa waka</x:v>
      </x:c>
      <x:c r="C288" s="19" t="n">
        <x:f>IF(B288="",0,(LEN(B288)-LEN(SUBSTITUTE(B288," | ","")))/3+1)</x:f>
        <x:v>1</x:v>
      </x:c>
      <x:c r="D288" t="str">
        <x:v>c</x:v>
      </x:c>
      <x:c r="E288" t="str">
        <x:v>https://www.webonary.org/marubo/g90533014-399e-46f1-8cb4-cbac27936bb7/</x:v>
      </x:c>
      <x:c r="F288" t="str">
        <x:v>g156501dc-2ea9-4a6a-a947-d52cd02ead9a</x:v>
      </x:c>
      <x:c r="G288" s="20" t="n">
        <x:v>46003.934784537036</x:v>
      </x:c>
    </x:row>
    <x:row r="289">
      <x:c r="A289" s="18" t="str">
        <x:v>caimbra</x:v>
      </x:c>
      <x:c r="B289" s="18" t="str">
        <x:v>marĩ senoa</x:v>
      </x:c>
      <x:c r="C289" s="19" t="n">
        <x:f>IF(B289="",0,(LEN(B289)-LEN(SUBSTITUTE(B289," | ","")))/3+1)</x:f>
        <x:v>1</x:v>
      </x:c>
      <x:c r="D289" t="str">
        <x:v>c</x:v>
      </x:c>
      <x:c r="E289" t="str">
        <x:v>https://www.webonary.org/marubo/g2506473c-8eaa-4de7-9707-2c3c8c309b59/</x:v>
      </x:c>
      <x:c r="F289" t="str">
        <x:v>gb1629a81-9623-47c1-bf32-cfd8840a2423</x:v>
      </x:c>
      <x:c r="G289" s="20" t="n">
        <x:v>46003.934784537036</x:v>
      </x:c>
    </x:row>
    <x:row r="290">
      <x:c r="A290" s="18" t="str">
        <x:v>cair</x:v>
      </x:c>
      <x:c r="B290" s="18" t="str">
        <x:v>vesír aká | pakéa</x:v>
      </x:c>
      <x:c r="C290" s="19" t="n">
        <x:f>IF(B290="",0,(LEN(B290)-LEN(SUBSTITUTE(B290," | ","")))/3+1)</x:f>
        <x:v>2</x:v>
      </x:c>
      <x:c r="D290" t="str">
        <x:v>c</x:v>
      </x:c>
      <x:c r="E290" t="str">
        <x:v>https://www.webonary.org/marubo/gb0cddb84-0224-47a1-9698-9d3857c2144b/</x:v>
      </x:c>
      <x:c r="F290" t="str">
        <x:v>gb7befbf3-546e-4f01-9ffb-60a738e39a89</x:v>
      </x:c>
      <x:c r="G290" s="20" t="n">
        <x:v>46003.934784537036</x:v>
      </x:c>
    </x:row>
    <x:row r="291">
      <x:c r="A291" s="18" t="str">
        <x:v>cair (pl)</x:v>
      </x:c>
      <x:c r="B291" s="18" t="str">
        <x:v>para ikí</x:v>
      </x:c>
      <x:c r="C291" s="19" t="n">
        <x:f>IF(B291="",0,(LEN(B291)-LEN(SUBSTITUTE(B291," | ","")))/3+1)</x:f>
        <x:v>1</x:v>
      </x:c>
      <x:c r="D291" t="str">
        <x:v>c</x:v>
      </x:c>
      <x:c r="E291" t="str">
        <x:v>https://www.webonary.org/marubo/g459dd288-e705-4244-901b-614163d256dc/</x:v>
      </x:c>
      <x:c r="F291" t="str">
        <x:v>gee435d82-2fa0-438c-a32c-f2e9041dd88d</x:v>
      </x:c>
      <x:c r="G291" s="20" t="n">
        <x:v>46003.934784537036</x:v>
      </x:c>
    </x:row>
    <x:row r="292">
      <x:c r="A292" s="18" t="str">
        <x:v>cair árvore</x:v>
      </x:c>
      <x:c r="B292" s="18" t="str">
        <x:v>poshoa</x:v>
      </x:c>
      <x:c r="C292" s="19" t="n">
        <x:f>IF(B292="",0,(LEN(B292)-LEN(SUBSTITUTE(B292," | ","")))/3+1)</x:f>
        <x:v>1</x:v>
      </x:c>
      <x:c r="D292" t="str">
        <x:v>c</x:v>
      </x:c>
      <x:c r="E292" t="str">
        <x:v>https://www.webonary.org/marubo/g93922bf8-7262-47d0-bf2c-21294d1092bb/</x:v>
      </x:c>
      <x:c r="F292" t="str">
        <x:v>g7916687a-6019-4935-b2c2-ef29c3d91c54</x:v>
      </x:c>
      <x:c r="G292" s="20" t="n">
        <x:v>46003.934784537036</x:v>
      </x:c>
    </x:row>
    <x:row r="293">
      <x:c r="A293" s="18" t="str">
        <x:v>cair de escada</x:v>
      </x:c>
      <x:c r="B293" s="18" t="str">
        <x:v>repísk méa</x:v>
      </x:c>
      <x:c r="C293" s="19" t="n">
        <x:f>IF(B293="",0,(LEN(B293)-LEN(SUBSTITUTE(B293," | ","")))/3+1)</x:f>
        <x:v>1</x:v>
      </x:c>
      <x:c r="D293" t="str">
        <x:v>c</x:v>
      </x:c>
      <x:c r="E293" t="str">
        <x:v>https://www.webonary.org/marubo/gd33c748e-552d-4517-95a2-26bf1939dc69/</x:v>
      </x:c>
      <x:c r="F293" t="str">
        <x:v>gf7928e29-4cef-4841-b3bc-c522772d5d6a</x:v>
      </x:c>
      <x:c r="G293" s="20" t="n">
        <x:v>46003.934784537036</x:v>
      </x:c>
    </x:row>
    <x:row r="294">
      <x:c r="A294" s="18" t="str">
        <x:v>cair de toco</x:v>
      </x:c>
      <x:c r="B294" s="18" t="str">
        <x:v>tapiskmea</x:v>
      </x:c>
      <x:c r="C294" s="19" t="n">
        <x:f>IF(B294="",0,(LEN(B294)-LEN(SUBSTITUTE(B294," | ","")))/3+1)</x:f>
        <x:v>1</x:v>
      </x:c>
      <x:c r="D294" t="str">
        <x:v>c</x:v>
      </x:c>
      <x:c r="E294" t="str">
        <x:v>https://www.webonary.org/marubo/g956bf75f-5249-4020-8f6f-34b711c977d7/</x:v>
      </x:c>
      <x:c r="F294" t="str">
        <x:v>g0c5a9e15-9867-4650-b7a7-7a829a7150e7</x:v>
      </x:c>
      <x:c r="G294" s="20" t="n">
        <x:v>46003.934784537036</x:v>
      </x:c>
    </x:row>
    <x:row r="295">
      <x:c r="A295" s="18" t="str">
        <x:v>cair dentro</x:v>
      </x:c>
      <x:c r="B295" s="18" t="str">
        <x:v>natsek aká</x:v>
      </x:c>
      <x:c r="C295" s="19" t="n">
        <x:f>IF(B295="",0,(LEN(B295)-LEN(SUBSTITUTE(B295," | ","")))/3+1)</x:f>
        <x:v>1</x:v>
      </x:c>
      <x:c r="D295" t="str">
        <x:v>c</x:v>
      </x:c>
      <x:c r="E295" t="str">
        <x:v>https://www.webonary.org/marubo/gc130a3fc-0ee7-4560-9f41-247159f3df7a/</x:v>
      </x:c>
      <x:c r="F295" t="str">
        <x:v>gee57da11-0ff3-4c4a-b660-161f60d7fa04</x:v>
      </x:c>
      <x:c r="G295" s="20" t="n">
        <x:v>46003.934784537036</x:v>
      </x:c>
    </x:row>
    <x:row r="296">
      <x:c r="A296" s="18" t="str">
        <x:v>cair lagrimas</x:v>
      </x:c>
      <x:c r="B296" s="18" t="str">
        <x:v>veõ ikí</x:v>
      </x:c>
      <x:c r="C296" s="19" t="n">
        <x:f>IF(B296="",0,(LEN(B296)-LEN(SUBSTITUTE(B296," | ","")))/3+1)</x:f>
        <x:v>1</x:v>
      </x:c>
      <x:c r="D296" t="str">
        <x:v>c</x:v>
      </x:c>
      <x:c r="E296" t="str">
        <x:v>https://www.webonary.org/marubo/gad31c994-bdc4-4c90-81a2-b49521e1785d/</x:v>
      </x:c>
      <x:c r="F296" t="str">
        <x:v>gfb8b6e1c-9ced-47f4-aca1-8b7fb9e493ff</x:v>
      </x:c>
      <x:c r="G296" s="20" t="n">
        <x:v>46003.934784537036</x:v>
      </x:c>
    </x:row>
    <x:row r="297">
      <x:c r="A297" s="18" t="str">
        <x:v>cair pela parte dianteira</x:v>
      </x:c>
      <x:c r="B297" s="18" t="str">
        <x:v>votxo ikí</x:v>
      </x:c>
      <x:c r="C297" s="19" t="n">
        <x:f>IF(B297="",0,(LEN(B297)-LEN(SUBSTITUTE(B297," | ","")))/3+1)</x:f>
        <x:v>1</x:v>
      </x:c>
      <x:c r="D297" t="str">
        <x:v>c</x:v>
      </x:c>
      <x:c r="E297" t="str">
        <x:v>https://www.webonary.org/marubo/g34e44e4d-e197-45f0-80d4-03bdaa51ad47/</x:v>
      </x:c>
      <x:c r="F297" t="str">
        <x:v>g9d0833d6-b09c-480f-a853-5b087b1ad31e</x:v>
      </x:c>
      <x:c r="G297" s="20" t="n">
        <x:v>46003.934784537036</x:v>
      </x:c>
    </x:row>
    <x:row r="298">
      <x:c r="A298" s="18" t="str">
        <x:v>caixa</x:v>
      </x:c>
      <x:c r="B298" s="18" t="str">
        <x:v>kavõ</x:v>
      </x:c>
      <x:c r="C298" s="19" t="n">
        <x:f>IF(B298="",0,(LEN(B298)-LEN(SUBSTITUTE(B298," | ","")))/3+1)</x:f>
        <x:v>1</x:v>
      </x:c>
      <x:c r="D298" t="str">
        <x:v>c</x:v>
      </x:c>
      <x:c r="E298" t="str">
        <x:v>https://www.webonary.org/marubo/gd9c55ef1-e2c6-40d0-bdd3-cf9d2d5ad0b4/</x:v>
      </x:c>
      <x:c r="F298" t="str">
        <x:v>gd8095a22-1be2-473c-8c2f-6d31cbadcd2a</x:v>
      </x:c>
      <x:c r="G298" s="20" t="n">
        <x:v>46003.934784537036</x:v>
      </x:c>
    </x:row>
    <x:row r="299">
      <x:c r="A299" s="18" t="str">
        <x:v>cajado</x:v>
      </x:c>
      <x:c r="B299" s="18" t="str">
        <x:v>otéti</x:v>
      </x:c>
      <x:c r="C299" s="19" t="n">
        <x:f>IF(B299="",0,(LEN(B299)-LEN(SUBSTITUTE(B299," | ","")))/3+1)</x:f>
        <x:v>1</x:v>
      </x:c>
      <x:c r="D299" t="str">
        <x:v>c</x:v>
      </x:c>
      <x:c r="E299" t="str">
        <x:v>https://www.webonary.org/marubo/gc72ed119-2629-44e3-bb04-2ed4dbf16d73/</x:v>
      </x:c>
      <x:c r="F299" t="str">
        <x:v>ge42df3ea-6b2e-47a0-8b03-db2fec82705c</x:v>
      </x:c>
      <x:c r="G299" s="20" t="n">
        <x:v>46003.934784537036</x:v>
      </x:c>
    </x:row>
    <x:row r="300">
      <x:c r="A300" s="18" t="str">
        <x:v>caju (palavra emprestada)</x:v>
      </x:c>
      <x:c r="B300" s="18" t="str">
        <x:v>kachó</x:v>
      </x:c>
      <x:c r="C300" s="19" t="n">
        <x:f>IF(B300="",0,(LEN(B300)-LEN(SUBSTITUTE(B300," | ","")))/3+1)</x:f>
        <x:v>1</x:v>
      </x:c>
      <x:c r="D300" t="str">
        <x:v>c</x:v>
      </x:c>
      <x:c r="E300" t="str">
        <x:v>https://www.webonary.org/marubo/g6c845d95-b5b9-4379-85cf-125f9b0c9b75/</x:v>
      </x:c>
      <x:c r="F300" t="str">
        <x:v>g00d437db-0557-46ff-a9d7-427c5475bc9b</x:v>
      </x:c>
      <x:c r="G300" s="20" t="n">
        <x:v>46003.934784537036</x:v>
      </x:c>
    </x:row>
    <x:row r="301">
      <x:c r="A301" s="18" t="str">
        <x:v>calça jeans</x:v>
      </x:c>
      <x:c r="B301" s="18" t="str">
        <x:v>õpo keyaka</x:v>
      </x:c>
      <x:c r="C301" s="19" t="n">
        <x:f>IF(B301="",0,(LEN(B301)-LEN(SUBSTITUTE(B301," | ","")))/3+1)</x:f>
        <x:v>1</x:v>
      </x:c>
      <x:c r="D301" t="str">
        <x:v>c</x:v>
      </x:c>
      <x:c r="E301" t="str">
        <x:v>https://www.webonary.org/marubo/gd98061d0-6de6-4d39-8e35-a65c4cc35aa1/</x:v>
      </x:c>
      <x:c r="F301" t="str">
        <x:v>g21761372-15f3-4aaa-a4f7-e7adf68a74e8</x:v>
      </x:c>
      <x:c r="G301" s="20" t="n">
        <x:v>46003.934784537036</x:v>
      </x:c>
    </x:row>
    <x:row r="302">
      <x:c r="A302" s="18" t="str">
        <x:v>calçados</x:v>
      </x:c>
      <x:c r="B302" s="18" t="str">
        <x:v>taríti</x:v>
      </x:c>
      <x:c r="C302" s="19" t="n">
        <x:f>IF(B302="",0,(LEN(B302)-LEN(SUBSTITUTE(B302," | ","")))/3+1)</x:f>
        <x:v>1</x:v>
      </x:c>
      <x:c r="D302" t="str">
        <x:v>c</x:v>
      </x:c>
      <x:c r="E302" t="str">
        <x:v>https://www.webonary.org/marubo/g7469664a-008d-4b16-9cdc-b5ed5e7ba363/</x:v>
      </x:c>
      <x:c r="F302" t="str">
        <x:v>g15c11b53-3b3c-43cf-8b89-e1b270675cf2</x:v>
      </x:c>
      <x:c r="G302" s="20" t="n">
        <x:v>46003.934784537036</x:v>
      </x:c>
    </x:row>
    <x:row r="303">
      <x:c r="A303" s="18" t="str">
        <x:v>calcanhar</x:v>
      </x:c>
      <x:c r="B303" s="18" t="str">
        <x:v>tae txĩto</x:v>
      </x:c>
      <x:c r="C303" s="19" t="n">
        <x:f>IF(B303="",0,(LEN(B303)-LEN(SUBSTITUTE(B303," | ","")))/3+1)</x:f>
        <x:v>1</x:v>
      </x:c>
      <x:c r="D303" t="str">
        <x:v>c</x:v>
      </x:c>
      <x:c r="E303" t="str">
        <x:v>https://www.webonary.org/marubo/gc7c03458-7aca-44f8-acff-2ae4eb0c4c3c/</x:v>
      </x:c>
      <x:c r="F303" t="str">
        <x:v>g46da6b02-0460-4ceb-ad14-fe466a0c9d21</x:v>
      </x:c>
      <x:c r="G303" s="20" t="n">
        <x:v>46003.934784537036</x:v>
      </x:c>
    </x:row>
    <x:row r="304">
      <x:c r="A304" s="18" t="str">
        <x:v>caldo</x:v>
      </x:c>
      <x:c r="B304" s="18" t="str">
        <x:v>pasa</x:v>
      </x:c>
      <x:c r="C304" s="19" t="n">
        <x:f>IF(B304="",0,(LEN(B304)-LEN(SUBSTITUTE(B304," | ","")))/3+1)</x:f>
        <x:v>1</x:v>
      </x:c>
      <x:c r="D304" t="str">
        <x:v>c</x:v>
      </x:c>
      <x:c r="E304" t="str">
        <x:v>https://www.webonary.org/marubo/gce0ab33d-1949-4f5f-80bb-9fb88b853c7c/</x:v>
      </x:c>
      <x:c r="F304" t="str">
        <x:v>g45d0d286-8ee3-4a25-8f8f-78105f2c7c2a</x:v>
      </x:c>
      <x:c r="G304" s="20" t="n">
        <x:v>46003.934784537036</x:v>
      </x:c>
    </x:row>
    <x:row r="305">
      <x:c r="A305" s="18" t="str">
        <x:v>calor coporeal parecido com febre</x:v>
      </x:c>
      <x:c r="B305" s="18" t="str">
        <x:v>yõa</x:v>
      </x:c>
      <x:c r="C305" s="19" t="n">
        <x:f>IF(B305="",0,(LEN(B305)-LEN(SUBSTITUTE(B305," | ","")))/3+1)</x:f>
        <x:v>1</x:v>
      </x:c>
      <x:c r="D305" t="str">
        <x:v>c</x:v>
      </x:c>
      <x:c r="E305" t="str">
        <x:v>https://www.webonary.org/marubo/g281bb972-e664-455b-ab95-261cce73639b/</x:v>
      </x:c>
      <x:c r="F305" t="str">
        <x:v>g0dc5d5c2-0c3b-4440-94f1-505ace4ca9d7</x:v>
      </x:c>
      <x:c r="G305" s="20" t="n">
        <x:v>46003.934784537036</x:v>
      </x:c>
    </x:row>
    <x:row r="306">
      <x:c r="A306" s="18" t="str">
        <x:v>camelião</x:v>
      </x:c>
      <x:c r="B306" s="18" t="str">
        <x:v>yõpa</x:v>
      </x:c>
      <x:c r="C306" s="19" t="n">
        <x:f>IF(B306="",0,(LEN(B306)-LEN(SUBSTITUTE(B306," | ","")))/3+1)</x:f>
        <x:v>1</x:v>
      </x:c>
      <x:c r="D306" t="str">
        <x:v>c</x:v>
      </x:c>
      <x:c r="E306" t="str">
        <x:v>https://www.webonary.org/marubo/gaabc011d-f7a8-4c35-823e-774040647fca/</x:v>
      </x:c>
      <x:c r="F306" t="str">
        <x:v>g24ba7adb-668d-45b3-a133-3cd62c940c3f</x:v>
      </x:c>
      <x:c r="G306" s="20" t="n">
        <x:v>46003.93479238426</x:v>
      </x:c>
    </x:row>
    <x:row r="307">
      <x:c r="A307" s="18" t="str">
        <x:v>caminho</x:v>
      </x:c>
      <x:c r="B307" s="18" t="str">
        <x:v>vai</x:v>
      </x:c>
      <x:c r="C307" s="19" t="n">
        <x:f>IF(B307="",0,(LEN(B307)-LEN(SUBSTITUTE(B307," | ","")))/3+1)</x:f>
        <x:v>1</x:v>
      </x:c>
      <x:c r="D307" t="str">
        <x:v>c</x:v>
      </x:c>
      <x:c r="E307" t="str">
        <x:v>https://www.webonary.org/marubo/g7e686151-385c-4c68-a80e-c1b1de0f97fe/</x:v>
      </x:c>
      <x:c r="F307" t="str">
        <x:v>g4d06c775-e6bd-4574-9c3d-bd04d4ee9dc9</x:v>
      </x:c>
      <x:c r="G307" s="20" t="n">
        <x:v>46003.93479238426</x:v>
      </x:c>
    </x:row>
    <x:row r="308">
      <x:c r="A308" s="18" t="str">
        <x:v>caminho da morte</x:v>
      </x:c>
      <x:c r="B308" s="18" t="str">
        <x:v>Vei Vai</x:v>
      </x:c>
      <x:c r="C308" s="19" t="n">
        <x:f>IF(B308="",0,(LEN(B308)-LEN(SUBSTITUTE(B308," | ","")))/3+1)</x:f>
        <x:v>1</x:v>
      </x:c>
      <x:c r="D308" t="str">
        <x:v>c</x:v>
      </x:c>
      <x:c r="E308" t="str">
        <x:v>https://www.webonary.org/marubo/gb46cfc0a-4d52-48c0-bd83-6f360875b50f/</x:v>
      </x:c>
      <x:c r="F308" t="str">
        <x:v>ge10a38aa-c8b9-499f-b4b4-d8169be2af21</x:v>
      </x:c>
      <x:c r="G308" s="20" t="n">
        <x:v>46003.93479238426</x:v>
      </x:c>
    </x:row>
    <x:row r="309">
      <x:c r="A309" s="18" t="str">
        <x:v>camisa</x:v>
      </x:c>
      <x:c r="B309" s="18" t="str">
        <x:v>õpo shavãkiri</x:v>
      </x:c>
      <x:c r="C309" s="19" t="n">
        <x:f>IF(B309="",0,(LEN(B309)-LEN(SUBSTITUTE(B309," | ","")))/3+1)</x:f>
        <x:v>1</x:v>
      </x:c>
      <x:c r="D309" t="str">
        <x:v>c</x:v>
      </x:c>
      <x:c r="E309" t="str">
        <x:v>https://www.webonary.org/marubo/g62199f9d-da9e-48e9-a57c-6ef1c80aea30/</x:v>
      </x:c>
      <x:c r="F309" t="str">
        <x:v>g35b59b30-7804-48a0-b4e6-207756ac0a30</x:v>
      </x:c>
      <x:c r="G309" s="20" t="n">
        <x:v>46003.93479238426</x:v>
      </x:c>
    </x:row>
    <x:row r="310">
      <x:c r="A310" s="18" t="str">
        <x:v>camisa de manga comprida</x:v>
      </x:c>
      <x:c r="B310" s="18" t="str">
        <x:v>metásh keyáka</x:v>
      </x:c>
      <x:c r="C310" s="19" t="n">
        <x:f>IF(B310="",0,(LEN(B310)-LEN(SUBSTITUTE(B310," | ","")))/3+1)</x:f>
        <x:v>1</x:v>
      </x:c>
      <x:c r="D310" t="str">
        <x:v>c</x:v>
      </x:c>
      <x:c r="E310" t="str">
        <x:v>https://www.webonary.org/marubo/g9334488b-cc26-4ea8-962e-0636e8b92451/</x:v>
      </x:c>
      <x:c r="F310" t="str">
        <x:v>gc6e1d81d-c300-47ce-897a-d59c1ca0467f</x:v>
      </x:c>
      <x:c r="G310" s="20" t="n">
        <x:v>46003.93479238426</x:v>
      </x:c>
    </x:row>
    <x:row r="311">
      <x:c r="A311" s="18" t="str">
        <x:v>cana</x:v>
      </x:c>
      <x:c r="B311" s="18" t="str">
        <x:v>taveta</x:v>
      </x:c>
      <x:c r="C311" s="19" t="n">
        <x:f>IF(B311="",0,(LEN(B311)-LEN(SUBSTITUTE(B311," | ","")))/3+1)</x:f>
        <x:v>1</x:v>
      </x:c>
      <x:c r="D311" t="str">
        <x:v>c</x:v>
      </x:c>
      <x:c r="E311" t="str">
        <x:v>https://www.webonary.org/marubo/g1bfc1b7c-1dcd-4ea1-9816-8b6d11c7849b/</x:v>
      </x:c>
      <x:c r="F311" t="str">
        <x:v>g3d5110e1-1a0a-4c0a-826b-68c78b4a211e</x:v>
      </x:c>
      <x:c r="G311" s="20" t="n">
        <x:v>46003.93479238426</x:v>
      </x:c>
    </x:row>
    <x:row r="312">
      <x:c r="A312" s="18" t="str">
        <x:v>candiru</x:v>
      </x:c>
      <x:c r="B312" s="18" t="str">
        <x:v>kokomisi</x:v>
      </x:c>
      <x:c r="C312" s="19" t="n">
        <x:f>IF(B312="",0,(LEN(B312)-LEN(SUBSTITUTE(B312," | ","")))/3+1)</x:f>
        <x:v>1</x:v>
      </x:c>
      <x:c r="D312" t="str">
        <x:v>c</x:v>
      </x:c>
      <x:c r="E312" t="str">
        <x:v>https://www.webonary.org/marubo/g13bfa4fb-b5e0-45b2-b0dc-6f934e9ddcf6/</x:v>
      </x:c>
      <x:c r="F312" t="str">
        <x:v>g9ba3e570-c3b4-4580-8072-271593a9eac3</x:v>
      </x:c>
      <x:c r="G312" s="20" t="n">
        <x:v>46003.93479238426</x:v>
      </x:c>
    </x:row>
    <x:row r="313">
      <x:c r="A313" s="18" t="str">
        <x:v>caneco</x:v>
      </x:c>
      <x:c r="B313" s="18" t="str">
        <x:v>kaniko</x:v>
      </x:c>
      <x:c r="C313" s="19" t="n">
        <x:f>IF(B313="",0,(LEN(B313)-LEN(SUBSTITUTE(B313," | ","")))/3+1)</x:f>
        <x:v>1</x:v>
      </x:c>
      <x:c r="D313" t="str">
        <x:v>c</x:v>
      </x:c>
      <x:c r="E313" t="str">
        <x:v>https://www.webonary.org/marubo/g26fee2e5-55d9-4b8b-8cf8-2a67bd920123/</x:v>
      </x:c>
      <x:c r="F313" t="str">
        <x:v>gae4139b9-a5d7-4474-88b6-f6b6d0cdb4a8</x:v>
      </x:c>
      <x:c r="G313" s="20" t="n">
        <x:v>46003.93479238426</x:v>
      </x:c>
    </x:row>
    <x:row r="314">
      <x:c r="A314" s="18" t="str">
        <x:v>canela</x:v>
      </x:c>
      <x:c r="B314" s="18" t="str">
        <x:v>itáshekãwĩ</x:v>
      </x:c>
      <x:c r="C314" s="19" t="n">
        <x:f>IF(B314="",0,(LEN(B314)-LEN(SUBSTITUTE(B314," | ","")))/3+1)</x:f>
        <x:v>1</x:v>
      </x:c>
      <x:c r="D314" t="str">
        <x:v>c</x:v>
      </x:c>
      <x:c r="E314" t="str">
        <x:v>https://www.webonary.org/marubo/g36b42eed-ba27-4439-a076-f4ea0794595a/</x:v>
      </x:c>
      <x:c r="F314" t="str">
        <x:v>g2d7c84fc-eefb-4dc1-b2fc-d94f3358d775</x:v>
      </x:c>
      <x:c r="G314" s="20" t="n">
        <x:v>46003.93479238426</x:v>
      </x:c>
    </x:row>
    <x:row r="315">
      <x:c r="A315" s="18" t="str">
        <x:v>canoa</x:v>
      </x:c>
      <x:c r="B315" s="18" t="str">
        <x:v>nõti</x:v>
      </x:c>
      <x:c r="C315" s="19" t="n">
        <x:f>IF(B315="",0,(LEN(B315)-LEN(SUBSTITUTE(B315," | ","")))/3+1)</x:f>
        <x:v>1</x:v>
      </x:c>
      <x:c r="D315" t="str">
        <x:v>c</x:v>
      </x:c>
      <x:c r="E315" t="str">
        <x:v>https://www.webonary.org/marubo/g1b1d8b98-8aba-4bad-a197-cd154852501d/</x:v>
      </x:c>
      <x:c r="F315" t="str">
        <x:v>g83e6e61a-4d13-44de-aea3-41af6b4f1761</x:v>
      </x:c>
      <x:c r="G315" s="20" t="n">
        <x:v>46003.93479238426</x:v>
      </x:c>
    </x:row>
    <x:row r="316">
      <x:c r="A316" s="18" t="str">
        <x:v>cansado</x:v>
      </x:c>
      <x:c r="B316" s="18" t="str">
        <x:v>yomea</x:v>
      </x:c>
      <x:c r="C316" s="19" t="n">
        <x:f>IF(B316="",0,(LEN(B316)-LEN(SUBSTITUTE(B316," | ","")))/3+1)</x:f>
        <x:v>1</x:v>
      </x:c>
      <x:c r="D316" t="str">
        <x:v>c</x:v>
      </x:c>
      <x:c r="E316" t="str">
        <x:v>https://www.webonary.org/marubo/g0471c37e-258e-4ba6-ae07-7c0b24567c53/</x:v>
      </x:c>
      <x:c r="F316" t="str">
        <x:v>g289b55cd-07b6-446a-b4f3-25f9aa80ef48</x:v>
      </x:c>
      <x:c r="G316" s="20" t="n">
        <x:v>46003.93479238426</x:v>
      </x:c>
    </x:row>
    <x:row r="317">
      <x:c r="A317" s="18" t="str">
        <x:v>cantador traditional</x:v>
      </x:c>
      <x:c r="B317" s="18" t="str">
        <x:v>kẽchĩtxo</x:v>
      </x:c>
      <x:c r="C317" s="19" t="n">
        <x:f>IF(B317="",0,(LEN(B317)-LEN(SUBSTITUTE(B317," | ","")))/3+1)</x:f>
        <x:v>1</x:v>
      </x:c>
      <x:c r="D317" t="str">
        <x:v>c</x:v>
      </x:c>
      <x:c r="E317" t="str">
        <x:v>https://www.webonary.org/marubo/g34c96e3a-b12c-4f2b-9c70-f12ecc216366/</x:v>
      </x:c>
      <x:c r="F317" t="str">
        <x:v>g0cc0b933-f979-403a-84af-4cb9ec204520</x:v>
      </x:c>
      <x:c r="G317" s="20" t="n">
        <x:v>46003.93479238426</x:v>
      </x:c>
    </x:row>
    <x:row r="318">
      <x:c r="A318" s="18" t="str">
        <x:v>cantar</x:v>
      </x:c>
      <x:c r="B318" s="18" t="str">
        <x:v>yoia | 1 | koká ikí</x:v>
      </x:c>
      <x:c r="C318" s="19" t="n">
        <x:f>IF(B318="",0,(LEN(B318)-LEN(SUBSTITUTE(B318," | ","")))/3+1)</x:f>
        <x:v>3</x:v>
      </x:c>
      <x:c r="D318" t="str">
        <x:v>c</x:v>
      </x:c>
      <x:c r="E318" t="str">
        <x:v>https://www.webonary.org/marubo/g8d10f64c-16a6-4521-92ee-4c93140a5a69/</x:v>
      </x:c>
      <x:c r="F318" t="str">
        <x:v>gd61a592b-37b5-4daf-b7f0-db15b42ec76b</x:v>
      </x:c>
      <x:c r="G318" s="20" t="n">
        <x:v>46003.93479238426</x:v>
      </x:c>
    </x:row>
    <x:row r="319">
      <x:c r="A319" s="18" t="str">
        <x:v>capa de chuva</x:v>
      </x:c>
      <x:c r="B319" s="18" t="str">
        <x:v>oi õpo</x:v>
      </x:c>
      <x:c r="C319" s="19" t="n">
        <x:f>IF(B319="",0,(LEN(B319)-LEN(SUBSTITUTE(B319," | ","")))/3+1)</x:f>
        <x:v>1</x:v>
      </x:c>
      <x:c r="D319" t="str">
        <x:v>c</x:v>
      </x:c>
      <x:c r="E319" t="str">
        <x:v>https://www.webonary.org/marubo/g254596e4-30a9-4e60-9b71-1e3bfc7522bc/</x:v>
      </x:c>
      <x:c r="F319" t="str">
        <x:v>g7e8e45c4-b253-4146-9f7b-657da676ecab</x:v>
      </x:c>
      <x:c r="G319" s="20" t="n">
        <x:v>46003.93479238426</x:v>
      </x:c>
    </x:row>
    <x:row r="320">
      <x:c r="A320" s="18" t="str">
        <x:v>capim</x:v>
      </x:c>
      <x:c r="B320" s="18" t="str">
        <x:v>nawe</x:v>
      </x:c>
      <x:c r="C320" s="19" t="n">
        <x:f>IF(B320="",0,(LEN(B320)-LEN(SUBSTITUTE(B320," | ","")))/3+1)</x:f>
        <x:v>1</x:v>
      </x:c>
      <x:c r="D320" t="str">
        <x:v>c</x:v>
      </x:c>
      <x:c r="E320" t="str">
        <x:v>https://www.webonary.org/marubo/g8b9433f0-2567-4cd0-8067-e68a845c1345/</x:v>
      </x:c>
      <x:c r="F320" t="str">
        <x:v>g1ef7c4df-2f76-4679-949f-8022e323ba12</x:v>
      </x:c>
      <x:c r="G320" s="20" t="n">
        <x:v>46003.93479238426</x:v>
      </x:c>
    </x:row>
    <x:row r="321">
      <x:c r="A321" s="18" t="str">
        <x:v>capinar</x:v>
      </x:c>
      <x:c r="B321" s="18" t="str">
        <x:v>rãpa</x:v>
      </x:c>
      <x:c r="C321" s="19" t="n">
        <x:f>IF(B321="",0,(LEN(B321)-LEN(SUBSTITUTE(B321," | ","")))/3+1)</x:f>
        <x:v>1</x:v>
      </x:c>
      <x:c r="D321" t="str">
        <x:v>c</x:v>
      </x:c>
      <x:c r="E321" t="str">
        <x:v>https://www.webonary.org/marubo/gce94ede8-96a3-4eba-a487-5d0aa28da74d/</x:v>
      </x:c>
      <x:c r="F321" t="str">
        <x:v>g205d5d58-ac94-4310-a8df-94a4c880b12f</x:v>
      </x:c>
      <x:c r="G321" s="20" t="n">
        <x:v>46003.93479238426</x:v>
      </x:c>
    </x:row>
    <x:row r="322">
      <x:c r="A322" s="18" t="str">
        <x:v>capinar roça</x:v>
      </x:c>
      <x:c r="B322" s="18" t="str">
        <x:v>txasha</x:v>
      </x:c>
      <x:c r="C322" s="19" t="n">
        <x:f>IF(B322="",0,(LEN(B322)-LEN(SUBSTITUTE(B322," | ","")))/3+1)</x:f>
        <x:v>1</x:v>
      </x:c>
      <x:c r="D322" t="str">
        <x:v>c</x:v>
      </x:c>
      <x:c r="E322" t="str">
        <x:v>https://www.webonary.org/marubo/g1c5b44ad-ab52-4942-9c0d-1e0d84b9fd0e/</x:v>
      </x:c>
      <x:c r="F322" t="str">
        <x:v>gf5716eb5-8672-4963-9f61-fc670ba13720</x:v>
      </x:c>
      <x:c r="G322" s="20" t="n">
        <x:v>46003.93479238426</x:v>
      </x:c>
    </x:row>
    <x:row r="323">
      <x:c r="A323" s="18" t="str">
        <x:v>capitão do mato</x:v>
      </x:c>
      <x:c r="B323" s="18" t="str">
        <x:v>witxã</x:v>
      </x:c>
      <x:c r="C323" s="19" t="n">
        <x:f>IF(B323="",0,(LEN(B323)-LEN(SUBSTITUTE(B323," | ","")))/3+1)</x:f>
        <x:v>1</x:v>
      </x:c>
      <x:c r="D323" t="str">
        <x:v>c</x:v>
      </x:c>
      <x:c r="E323" t="str">
        <x:v>https://www.webonary.org/marubo/ga2f7715b-5fb0-4335-a9e5-2d175443ce16/</x:v>
      </x:c>
      <x:c r="F323" t="str">
        <x:v>g2eadbc75-8869-4e79-b04b-0c923a84fe3a</x:v>
      </x:c>
      <x:c r="G323" s="20" t="n">
        <x:v>46003.93479238426</x:v>
      </x:c>
    </x:row>
    <x:row r="324">
      <x:c r="A324" s="18" t="str">
        <x:v>capivara</x:v>
      </x:c>
      <x:c r="B324" s="18" t="str">
        <x:v>amẽ | 1</x:v>
      </x:c>
      <x:c r="C324" s="19" t="n">
        <x:f>IF(B324="",0,(LEN(B324)-LEN(SUBSTITUTE(B324," | ","")))/3+1)</x:f>
        <x:v>2</x:v>
      </x:c>
      <x:c r="D324" t="str">
        <x:v>c</x:v>
      </x:c>
      <x:c r="E324" t="str">
        <x:v>https://www.webonary.org/marubo/gb09863cd-c1d4-43d7-98b9-3cff1a90ae02/</x:v>
      </x:c>
      <x:c r="F324" t="str">
        <x:v>gd865c9f7-92ee-4147-a5cd-703b22b1cea7</x:v>
      </x:c>
      <x:c r="G324" s="20" t="n">
        <x:v>46003.93479238426</x:v>
      </x:c>
    </x:row>
    <x:row r="325">
      <x:c r="A325" s="18" t="str">
        <x:v>capotar</x:v>
      </x:c>
      <x:c r="B325" s="18" t="str">
        <x:v>naoa</x:v>
      </x:c>
      <x:c r="C325" s="19" t="n">
        <x:f>IF(B325="",0,(LEN(B325)-LEN(SUBSTITUTE(B325," | ","")))/3+1)</x:f>
        <x:v>1</x:v>
      </x:c>
      <x:c r="D325" t="str">
        <x:v>c</x:v>
      </x:c>
      <x:c r="E325" t="str">
        <x:v>https://www.webonary.org/marubo/ga8219e62-865f-4f4c-87be-a1bc26032db3/</x:v>
      </x:c>
      <x:c r="F325" t="str">
        <x:v>g9a01d8cc-8888-49e2-8cc7-9f5eca105abb</x:v>
      </x:c>
      <x:c r="G325" s="20" t="n">
        <x:v>46003.93479238426</x:v>
      </x:c>
    </x:row>
    <x:row r="326">
      <x:c r="A326" s="18" t="str">
        <x:v>caracol</x:v>
      </x:c>
      <x:c r="B326" s="18" t="str">
        <x:v>võtó</x:v>
      </x:c>
      <x:c r="C326" s="19" t="n">
        <x:f>IF(B326="",0,(LEN(B326)-LEN(SUBSTITUTE(B326," | ","")))/3+1)</x:f>
        <x:v>1</x:v>
      </x:c>
      <x:c r="D326" t="str">
        <x:v>c</x:v>
      </x:c>
      <x:c r="E326" t="str">
        <x:v>https://www.webonary.org/marubo/gc941286a-e431-459b-a089-baa6e3567433/</x:v>
      </x:c>
      <x:c r="F326" t="str">
        <x:v>g105b7fef-e6de-4e04-bde3-d257f3f362c6</x:v>
      </x:c>
      <x:c r="G326" s="20" t="n">
        <x:v>46003.93479238426</x:v>
      </x:c>
    </x:row>
    <x:row r="327">
      <x:c r="A327" s="18" t="str">
        <x:v>caramujo aruá</x:v>
      </x:c>
      <x:c r="B327" s="18" t="str">
        <x:v>novo</x:v>
      </x:c>
      <x:c r="C327" s="19" t="n">
        <x:f>IF(B327="",0,(LEN(B327)-LEN(SUBSTITUTE(B327," | ","")))/3+1)</x:f>
        <x:v>1</x:v>
      </x:c>
      <x:c r="D327" t="str">
        <x:v>c</x:v>
      </x:c>
      <x:c r="E327" t="str">
        <x:v>https://www.webonary.org/marubo/ge721cbd2-049b-46e1-8c39-409051db41d8/</x:v>
      </x:c>
      <x:c r="F327" t="str">
        <x:v>g7248f982-84ab-4be6-9d05-314f85da0af4</x:v>
      </x:c>
      <x:c r="G327" s="20" t="n">
        <x:v>46003.93479238426</x:v>
      </x:c>
    </x:row>
    <x:row r="328">
      <x:c r="A328" s="18" t="str">
        <x:v>carapanãúba</x:v>
      </x:c>
      <x:c r="B328" s="18" t="str">
        <x:v>patxo</x:v>
      </x:c>
      <x:c r="C328" s="19" t="n">
        <x:f>IF(B328="",0,(LEN(B328)-LEN(SUBSTITUTE(B328," | ","")))/3+1)</x:f>
        <x:v>1</x:v>
      </x:c>
      <x:c r="D328" t="str">
        <x:v>c</x:v>
      </x:c>
      <x:c r="E328" t="str">
        <x:v>https://www.webonary.org/marubo/g2d867e61-2613-42e4-9f25-2827938915c7/</x:v>
      </x:c>
      <x:c r="F328" t="str">
        <x:v>g20e4ab7e-e3e7-4b89-ba9f-2a79b22a9a8b</x:v>
      </x:c>
      <x:c r="G328" s="20" t="n">
        <x:v>46003.93479238426</x:v>
      </x:c>
    </x:row>
    <x:row r="329">
      <x:c r="A329" s="18" t="str">
        <x:v>careca</x:v>
      </x:c>
      <x:c r="B329" s="18" t="str">
        <x:v>mãkoa</x:v>
      </x:c>
      <x:c r="C329" s="19" t="n">
        <x:f>IF(B329="",0,(LEN(B329)-LEN(SUBSTITUTE(B329," | ","")))/3+1)</x:f>
        <x:v>1</x:v>
      </x:c>
      <x:c r="D329" t="str">
        <x:v>c</x:v>
      </x:c>
      <x:c r="E329" t="str">
        <x:v>https://www.webonary.org/marubo/g76a40815-239a-45d8-b6da-2e85eee98fad/</x:v>
      </x:c>
      <x:c r="F329" t="str">
        <x:v>gd85f8527-b96d-43d3-8b9d-b2974130e558</x:v>
      </x:c>
      <x:c r="G329" s="20" t="n">
        <x:v>46003.93479238426</x:v>
      </x:c>
    </x:row>
    <x:row r="330">
      <x:c r="A330" s="18" t="str">
        <x:v>carne</x:v>
      </x:c>
      <x:c r="B330" s="18" t="str">
        <x:v>nami</x:v>
      </x:c>
      <x:c r="C330" s="19" t="n">
        <x:f>IF(B330="",0,(LEN(B330)-LEN(SUBSTITUTE(B330," | ","")))/3+1)</x:f>
        <x:v>1</x:v>
      </x:c>
      <x:c r="D330" t="str">
        <x:v>c</x:v>
      </x:c>
      <x:c r="E330" t="str">
        <x:v>https://www.webonary.org/marubo/g4b5d9f1d-8ec4-4bcd-8c5f-94a2225abb2f/</x:v>
      </x:c>
      <x:c r="F330" t="str">
        <x:v>g28c29b34-7b89-4ea5-afab-fd64199ea8e8</x:v>
      </x:c>
      <x:c r="G330" s="20" t="n">
        <x:v>46003.93479238426</x:v>
      </x:c>
    </x:row>
    <x:row r="331">
      <x:c r="A331" s="18" t="str">
        <x:v>caro</x:v>
      </x:c>
      <x:c r="B331" s="18" t="str">
        <x:v>oraka</x:v>
      </x:c>
      <x:c r="C331" s="19" t="n">
        <x:f>IF(B331="",0,(LEN(B331)-LEN(SUBSTITUTE(B331," | ","")))/3+1)</x:f>
        <x:v>1</x:v>
      </x:c>
      <x:c r="D331" t="str">
        <x:v>c</x:v>
      </x:c>
      <x:c r="E331" t="str">
        <x:v>https://www.webonary.org/marubo/g728c4334-b625-49c9-bc66-0dce75e319c2/</x:v>
      </x:c>
      <x:c r="F331" t="str">
        <x:v>ge02e9521-82e4-412e-81aa-fe19dfbe658e</x:v>
      </x:c>
      <x:c r="G331" s="20" t="n">
        <x:v>46003.93479238426</x:v>
      </x:c>
    </x:row>
    <x:row r="332">
      <x:c r="A332" s="18" t="str">
        <x:v>caroço</x:v>
      </x:c>
      <x:c r="B332" s="18" t="str">
        <x:v>eshe</x:v>
      </x:c>
      <x:c r="C332" s="19" t="n">
        <x:f>IF(B332="",0,(LEN(B332)-LEN(SUBSTITUTE(B332," | ","")))/3+1)</x:f>
        <x:v>1</x:v>
      </x:c>
      <x:c r="D332" t="str">
        <x:v>c</x:v>
      </x:c>
      <x:c r="E332" t="str">
        <x:v>https://www.webonary.org/marubo/gddbd84c9-2acd-43e4-a55e-0badb3d5d574/</x:v>
      </x:c>
      <x:c r="F332" t="str">
        <x:v>g34a90726-ce89-4973-8970-85ce8375a520</x:v>
      </x:c>
      <x:c r="G332" s="20" t="n">
        <x:v>46003.93479238426</x:v>
      </x:c>
    </x:row>
    <x:row r="333">
      <x:c r="A333" s="18" t="str">
        <x:v>carrapato</x:v>
      </x:c>
      <x:c r="B333" s="18" t="str">
        <x:v>yanã</x:v>
      </x:c>
      <x:c r="C333" s="19" t="n">
        <x:f>IF(B333="",0,(LEN(B333)-LEN(SUBSTITUTE(B333," | ","")))/3+1)</x:f>
        <x:v>1</x:v>
      </x:c>
      <x:c r="D333" t="str">
        <x:v>c</x:v>
      </x:c>
      <x:c r="E333" t="str">
        <x:v>https://www.webonary.org/marubo/gd0a60ae9-effa-4d39-ac89-d8032fa120b6/</x:v>
      </x:c>
      <x:c r="F333" t="str">
        <x:v>g2b776158-4c4d-4801-9690-61462ca73d15</x:v>
      </x:c>
      <x:c r="G333" s="20" t="n">
        <x:v>46003.93479238426</x:v>
      </x:c>
    </x:row>
    <x:row r="334">
      <x:c r="A334" s="18" t="str">
        <x:v>carregar de mochila</x:v>
      </x:c>
      <x:c r="B334" s="18" t="str">
        <x:v>tetõa</x:v>
      </x:c>
      <x:c r="C334" s="19" t="n">
        <x:f>IF(B334="",0,(LEN(B334)-LEN(SUBSTITUTE(B334," | ","")))/3+1)</x:f>
        <x:v>1</x:v>
      </x:c>
      <x:c r="D334" t="str">
        <x:v>c</x:v>
      </x:c>
      <x:c r="E334" t="str">
        <x:v>https://www.webonary.org/marubo/gc0fae3da-7e0f-4e74-aa59-1b11826581d9/</x:v>
      </x:c>
      <x:c r="F334" t="str">
        <x:v>g932a4ad7-8566-4737-a1db-d8da5c78da72</x:v>
      </x:c>
      <x:c r="G334" s="20" t="n">
        <x:v>46003.93479238426</x:v>
      </x:c>
    </x:row>
    <x:row r="335">
      <x:c r="A335" s="18" t="str">
        <x:v>carregar muitas coisas</x:v>
      </x:c>
      <x:c r="B335" s="18" t="str">
        <x:v>kawia</x:v>
      </x:c>
      <x:c r="C335" s="19" t="n">
        <x:f>IF(B335="",0,(LEN(B335)-LEN(SUBSTITUTE(B335," | ","")))/3+1)</x:f>
        <x:v>1</x:v>
      </x:c>
      <x:c r="D335" t="str">
        <x:v>c</x:v>
      </x:c>
      <x:c r="E335" t="str">
        <x:v>https://www.webonary.org/marubo/ga0203071-1a2f-4c54-a686-dfcee3536768/</x:v>
      </x:c>
      <x:c r="F335" t="str">
        <x:v>g0b9f63b0-83b0-43ec-a056-a6fb4af511d4</x:v>
      </x:c>
      <x:c r="G335" s="20" t="n">
        <x:v>46003.93479238426</x:v>
      </x:c>
    </x:row>
    <x:row r="336">
      <x:c r="A336" s="18" t="str">
        <x:v>carregar nas costas</x:v>
      </x:c>
      <x:c r="B336" s="18" t="str">
        <x:v>papia</x:v>
      </x:c>
      <x:c r="C336" s="19" t="n">
        <x:f>IF(B336="",0,(LEN(B336)-LEN(SUBSTITUTE(B336," | ","")))/3+1)</x:f>
        <x:v>1</x:v>
      </x:c>
      <x:c r="D336" t="str">
        <x:v>c</x:v>
      </x:c>
      <x:c r="E336" t="str">
        <x:v>https://www.webonary.org/marubo/gfab60567-5350-44e0-8ec4-49ddac40f547/</x:v>
      </x:c>
      <x:c r="F336" t="str">
        <x:v>ge0c97a9a-f79c-433d-8910-5e23085af0e2</x:v>
      </x:c>
      <x:c r="G336" s="20" t="n">
        <x:v>46003.93479238426</x:v>
      </x:c>
    </x:row>
    <x:row r="337">
      <x:c r="A337" s="18" t="str">
        <x:v>carregar nos ombros</x:v>
      </x:c>
      <x:c r="B337" s="18" t="str">
        <x:v>ya</x:v>
      </x:c>
      <x:c r="C337" s="19" t="n">
        <x:f>IF(B337="",0,(LEN(B337)-LEN(SUBSTITUTE(B337," | ","")))/3+1)</x:f>
        <x:v>1</x:v>
      </x:c>
      <x:c r="D337" t="str">
        <x:v>c</x:v>
      </x:c>
      <x:c r="E337" t="str">
        <x:v>https://www.webonary.org/marubo/gc0181172-99bf-47c7-b594-1058aee19ae6/</x:v>
      </x:c>
      <x:c r="F337" t="str">
        <x:v>g5156d816-e632-444b-83f5-8f78d2919927</x:v>
      </x:c>
      <x:c r="G337" s="20" t="n">
        <x:v>46003.93479238426</x:v>
      </x:c>
    </x:row>
    <x:row r="338">
      <x:c r="A338" s="18" t="str">
        <x:v>carteira</x:v>
      </x:c>
      <x:c r="B338" s="18" t="str">
        <x:v>kopímati shaka</x:v>
      </x:c>
      <x:c r="C338" s="19" t="n">
        <x:f>IF(B338="",0,(LEN(B338)-LEN(SUBSTITUTE(B338," | ","")))/3+1)</x:f>
        <x:v>1</x:v>
      </x:c>
      <x:c r="D338" t="str">
        <x:v>c</x:v>
      </x:c>
      <x:c r="E338" t="str">
        <x:v>https://www.webonary.org/marubo/g0665b667-a107-4d8e-b9eb-81b173bd4daa/</x:v>
      </x:c>
      <x:c r="F338" t="str">
        <x:v>gb3f13831-943d-478f-a121-1b42caf817fd</x:v>
      </x:c>
      <x:c r="G338" s="20" t="n">
        <x:v>46003.93479238426</x:v>
      </x:c>
    </x:row>
    <x:row r="339">
      <x:c r="A339" s="18" t="str">
        <x:v>cartucho</x:v>
      </x:c>
      <x:c r="B339" s="18" t="str">
        <x:v>mara eshe</x:v>
      </x:c>
      <x:c r="C339" s="19" t="n">
        <x:f>IF(B339="",0,(LEN(B339)-LEN(SUBSTITUTE(B339," | ","")))/3+1)</x:f>
        <x:v>1</x:v>
      </x:c>
      <x:c r="D339" t="str">
        <x:v>c</x:v>
      </x:c>
      <x:c r="E339" t="str">
        <x:v>https://www.webonary.org/marubo/g436a5061-1ab2-457d-b32a-949bb7025a15/</x:v>
      </x:c>
      <x:c r="F339" t="str">
        <x:v>g7260ee43-0a57-4edf-87e0-6277ee04ee07</x:v>
      </x:c>
      <x:c r="G339" s="20" t="n">
        <x:v>46003.93479238426</x:v>
      </x:c>
    </x:row>
    <x:row r="340">
      <x:c r="A340" s="18" t="str">
        <x:v>carvão</x:v>
      </x:c>
      <x:c r="B340" s="18" t="str">
        <x:v>tsiste</x:v>
      </x:c>
      <x:c r="C340" s="19" t="n">
        <x:f>IF(B340="",0,(LEN(B340)-LEN(SUBSTITUTE(B340," | ","")))/3+1)</x:f>
        <x:v>1</x:v>
      </x:c>
      <x:c r="D340" t="str">
        <x:v>c</x:v>
      </x:c>
      <x:c r="E340" t="str">
        <x:v>https://www.webonary.org/marubo/g150fdfe6-1aa4-4df6-b3b2-97a20f2dd18f/</x:v>
      </x:c>
      <x:c r="F340" t="str">
        <x:v>gce534d7f-8dec-460a-abc8-45b68fd38432</x:v>
      </x:c>
      <x:c r="G340" s="20" t="n">
        <x:v>46003.93479238426</x:v>
      </x:c>
    </x:row>
    <x:row r="341">
      <x:c r="A341" s="18" t="str">
        <x:v>casada</x:v>
      </x:c>
      <x:c r="B341" s="18" t="str">
        <x:v>veneya</x:v>
      </x:c>
      <x:c r="C341" s="19" t="n">
        <x:f>IF(B341="",0,(LEN(B341)-LEN(SUBSTITUTE(B341," | ","")))/3+1)</x:f>
        <x:v>1</x:v>
      </x:c>
      <x:c r="D341" t="str">
        <x:v>c</x:v>
      </x:c>
      <x:c r="E341" t="str">
        <x:v>https://www.webonary.org/marubo/g8695476e-1ca3-4934-abc5-86cb661a467c/</x:v>
      </x:c>
      <x:c r="F341" t="str">
        <x:v>ga5aef963-8f41-4014-bd9f-bbea8d4cff67</x:v>
      </x:c>
      <x:c r="G341" s="20" t="n">
        <x:v>46003.93479238426</x:v>
      </x:c>
    </x:row>
    <x:row r="342">
      <x:c r="A342" s="18" t="str">
        <x:v>casca</x:v>
      </x:c>
      <x:c r="B342" s="18" t="str">
        <x:v>shaká</x:v>
      </x:c>
      <x:c r="C342" s="19" t="n">
        <x:f>IF(B342="",0,(LEN(B342)-LEN(SUBSTITUTE(B342," | ","")))/3+1)</x:f>
        <x:v>1</x:v>
      </x:c>
      <x:c r="D342" t="str">
        <x:v>c</x:v>
      </x:c>
      <x:c r="E342" t="str">
        <x:v>https://www.webonary.org/marubo/g561f8ce3-77a1-49cf-9f8b-73af31af086a/</x:v>
      </x:c>
      <x:c r="F342" t="str">
        <x:v>g2b59aa09-e459-49a8-b953-4a9a4f1073cf</x:v>
      </x:c>
      <x:c r="G342" s="20" t="n">
        <x:v>46003.93479238426</x:v>
      </x:c>
    </x:row>
    <x:row r="343">
      <x:c r="A343" s="18" t="str">
        <x:v>casho de banana</x:v>
      </x:c>
      <x:c r="B343" s="18" t="str">
        <x:v>mani tasho</x:v>
      </x:c>
      <x:c r="C343" s="19" t="n">
        <x:f>IF(B343="",0,(LEN(B343)-LEN(SUBSTITUTE(B343," | ","")))/3+1)</x:f>
        <x:v>1</x:v>
      </x:c>
      <x:c r="D343" t="str">
        <x:v>c</x:v>
      </x:c>
      <x:c r="E343" t="str">
        <x:v>https://www.webonary.org/marubo/g432331a6-cbb2-451e-b978-baf9c5de7c01/</x:v>
      </x:c>
      <x:c r="F343" t="str">
        <x:v>g2302e52a-f1d7-4bbb-8c09-812eb3b5a749</x:v>
      </x:c>
      <x:c r="G343" s="20" t="n">
        <x:v>46003.93479238426</x:v>
      </x:c>
    </x:row>
    <x:row r="344">
      <x:c r="A344" s="18" t="str">
        <x:v>castanho?</x:v>
      </x:c>
      <x:c r="B344" s="18" t="str">
        <x:v>nokáka</x:v>
      </x:c>
      <x:c r="C344" s="19" t="n">
        <x:f>IF(B344="",0,(LEN(B344)-LEN(SUBSTITUTE(B344," | ","")))/3+1)</x:f>
        <x:v>1</x:v>
      </x:c>
      <x:c r="D344" t="str">
        <x:v>c</x:v>
      </x:c>
      <x:c r="E344" t="str">
        <x:v>https://www.webonary.org/marubo/g30f2f308-03a2-493e-9494-62e3da755845/</x:v>
      </x:c>
      <x:c r="F344" t="str">
        <x:v>g109a93c6-dcd5-472a-acea-f07fe8d82040</x:v>
      </x:c>
      <x:c r="G344" s="20" t="n">
        <x:v>46003.93479238426</x:v>
      </x:c>
    </x:row>
    <x:row r="345">
      <x:c r="A345" s="18" t="str">
        <x:v>catitu</x:v>
      </x:c>
      <x:c r="B345" s="18" t="str">
        <x:v>ono | 1</x:v>
      </x:c>
      <x:c r="C345" s="19" t="n">
        <x:f>IF(B345="",0,(LEN(B345)-LEN(SUBSTITUTE(B345," | ","")))/3+1)</x:f>
        <x:v>2</x:v>
      </x:c>
      <x:c r="D345" t="str">
        <x:v>c</x:v>
      </x:c>
      <x:c r="E345" t="str">
        <x:v>https://www.webonary.org/marubo/g0ecaaa96-feec-48bd-af04-42f3185406f6/</x:v>
      </x:c>
      <x:c r="F345" t="str">
        <x:v>gb5b0a3c9-4116-4ae9-ab29-918a425db1e9</x:v>
      </x:c>
      <x:c r="G345" s="20" t="n">
        <x:v>46003.93479238426</x:v>
      </x:c>
    </x:row>
    <x:row r="346">
      <x:c r="A346" s="18" t="str">
        <x:v>CAUS</x:v>
      </x:c>
      <x:c r="B346" s="18" t="str">
        <x:v>-̃ | 5 | -mẽ | -ma | 1</x:v>
      </x:c>
      <x:c r="C346" s="19" t="n">
        <x:f>IF(B346="",0,(LEN(B346)-LEN(SUBSTITUTE(B346," | ","")))/3+1)</x:f>
        <x:v>5</x:v>
      </x:c>
      <x:c r="D346" t="str">
        <x:v>c</x:v>
      </x:c>
      <x:c r="E346" t="str">
        <x:v>https://www.webonary.org/marubo/g34ff824c-d5ac-4646-9e81-a2f9235d3016/</x:v>
      </x:c>
      <x:c r="F346" t="str">
        <x:v>g97265993-1d6b-468f-92c5-b3d44a6ed2c8</x:v>
      </x:c>
      <x:c r="G346" s="20" t="n">
        <x:v>46003.93479238426</x:v>
      </x:c>
    </x:row>
    <x:row r="347">
      <x:c r="A347" s="18" t="str">
        <x:v>causa</x:v>
      </x:c>
      <x:c r="B347" s="18" t="str">
        <x:v>-tõʂo</x:v>
      </x:c>
      <x:c r="C347" s="19" t="n">
        <x:f>IF(B347="",0,(LEN(B347)-LEN(SUBSTITUTE(B347," | ","")))/3+1)</x:f>
        <x:v>1</x:v>
      </x:c>
      <x:c r="D347" t="str">
        <x:v>c</x:v>
      </x:c>
      <x:c r="E347" t="str">
        <x:v>https://www.webonary.org/marubo/g8cff60ec-eec9-4532-85bb-f9b1c4fe46f8/</x:v>
      </x:c>
      <x:c r="F347" t="str">
        <x:v>g16d4e39a-de6f-423d-b6d7-379dc19d8e34</x:v>
      </x:c>
      <x:c r="G347" s="20" t="n">
        <x:v>46003.93479238426</x:v>
      </x:c>
    </x:row>
    <x:row r="348">
      <x:c r="A348" s="18" t="str">
        <x:v>CAUSAL</x:v>
      </x:c>
      <x:c r="B348" s="18" t="str">
        <x:v>-nõ | 2</x:v>
      </x:c>
      <x:c r="C348" s="19" t="n">
        <x:f>IF(B348="",0,(LEN(B348)-LEN(SUBSTITUTE(B348," | ","")))/3+1)</x:f>
        <x:v>2</x:v>
      </x:c>
      <x:c r="D348" t="str">
        <x:v>c</x:v>
      </x:c>
      <x:c r="E348" t="str">
        <x:v>https://www.webonary.org/marubo/gb5e9faaa-8f31-4a1d-aa58-52c2b16fa285/</x:v>
      </x:c>
      <x:c r="F348" t="str">
        <x:v>ge2a8031d-05e3-45bd-af22-ea5dce8981d4</x:v>
      </x:c>
      <x:c r="G348" s="20" t="n">
        <x:v>46003.93479238426</x:v>
      </x:c>
    </x:row>
    <x:row r="349">
      <x:c r="A349" s="18" t="str">
        <x:v>cavadeira</x:v>
      </x:c>
      <x:c r="B349" s="18" t="str">
        <x:v>txipá</x:v>
      </x:c>
      <x:c r="C349" s="19" t="n">
        <x:f>IF(B349="",0,(LEN(B349)-LEN(SUBSTITUTE(B349," | ","")))/3+1)</x:f>
        <x:v>1</x:v>
      </x:c>
      <x:c r="D349" t="str">
        <x:v>c</x:v>
      </x:c>
      <x:c r="E349" t="str">
        <x:v>https://www.webonary.org/marubo/ge3df7548-3f2c-4a41-8c2f-665628c00eb2/</x:v>
      </x:c>
      <x:c r="F349" t="str">
        <x:v>gf45e845e-e26e-42ec-8cc7-056e0474ccb8</x:v>
      </x:c>
      <x:c r="G349" s="20" t="n">
        <x:v>46003.93479238426</x:v>
      </x:c>
    </x:row>
    <x:row r="350">
      <x:c r="A350" s="18" t="str">
        <x:v>cavalo</x:v>
      </x:c>
      <x:c r="B350" s="18" t="str">
        <x:v>kavátxo</x:v>
      </x:c>
      <x:c r="C350" s="19" t="n">
        <x:f>IF(B350="",0,(LEN(B350)-LEN(SUBSTITUTE(B350," | ","")))/3+1)</x:f>
        <x:v>1</x:v>
      </x:c>
      <x:c r="D350" t="str">
        <x:v>c</x:v>
      </x:c>
      <x:c r="E350" t="str">
        <x:v>https://www.webonary.org/marubo/g45e7a97c-5839-4a65-a607-33fef9be78f2/</x:v>
      </x:c>
      <x:c r="F350" t="str">
        <x:v>g42cd4b48-0ffb-4858-a20f-e0b193681801</x:v>
      </x:c>
      <x:c r="G350" s="20" t="n">
        <x:v>46003.93479238426</x:v>
      </x:c>
    </x:row>
    <x:row r="351">
      <x:c r="A351" s="18" t="str">
        <x:v>cavar buraco</x:v>
      </x:c>
      <x:c r="B351" s="18" t="str">
        <x:v>pokĩa</x:v>
      </x:c>
      <x:c r="C351" s="19" t="n">
        <x:f>IF(B351="",0,(LEN(B351)-LEN(SUBSTITUTE(B351," | ","")))/3+1)</x:f>
        <x:v>1</x:v>
      </x:c>
      <x:c r="D351" t="str">
        <x:v>c</x:v>
      </x:c>
      <x:c r="E351" t="str">
        <x:v>https://www.webonary.org/marubo/gd5501bb9-9003-4f4e-9617-f12f913d0ef3/</x:v>
      </x:c>
      <x:c r="F351" t="str">
        <x:v>g14959b17-c309-463c-b10b-70d108783df9</x:v>
      </x:c>
      <x:c r="G351" s="20" t="n">
        <x:v>46003.93479238426</x:v>
      </x:c>
    </x:row>
    <x:row r="352">
      <x:c r="A352" s="18" t="str">
        <x:v>caxiado</x:v>
      </x:c>
      <x:c r="B352" s="18" t="str">
        <x:v>txomíka</x:v>
      </x:c>
      <x:c r="C352" s="19" t="n">
        <x:f>IF(B352="",0,(LEN(B352)-LEN(SUBSTITUTE(B352," | ","")))/3+1)</x:f>
        <x:v>1</x:v>
      </x:c>
      <x:c r="D352" t="str">
        <x:v>c</x:v>
      </x:c>
      <x:c r="E352" t="str">
        <x:v>https://www.webonary.org/marubo/ge92cd614-d9b6-40ed-b339-80a0eb288b90/</x:v>
      </x:c>
      <x:c r="F352" t="str">
        <x:v>g4559f60c-6fa9-4159-a17c-2451dfac51a8</x:v>
      </x:c>
      <x:c r="G352" s="20" t="n">
        <x:v>46003.93479238426</x:v>
      </x:c>
    </x:row>
    <x:row r="353">
      <x:c r="A353" s="18" t="str">
        <x:v>cedro</x:v>
      </x:c>
      <x:c r="B353" s="18" t="str">
        <x:v>kõshã́ | kõshã</x:v>
      </x:c>
      <x:c r="C353" s="19" t="n">
        <x:f>IF(B353="",0,(LEN(B353)-LEN(SUBSTITUTE(B353," | ","")))/3+1)</x:f>
        <x:v>2</x:v>
      </x:c>
      <x:c r="D353" t="str">
        <x:v>c</x:v>
      </x:c>
      <x:c r="E353" t="str">
        <x:v>https://www.webonary.org/marubo/ga97c1b38-0815-4d61-ae19-6f2dfad187a9/</x:v>
      </x:c>
      <x:c r="F353" t="str">
        <x:v>gb8d22834-24e4-4815-91d5-3f1d3cbf8a05</x:v>
      </x:c>
      <x:c r="G353" s="20" t="n">
        <x:v>46003.93479238426</x:v>
      </x:c>
    </x:row>
    <x:row r="354">
      <x:c r="A354" s="18" t="str">
        <x:v>cegar</x:v>
      </x:c>
      <x:c r="B354" s="18" t="str">
        <x:v>kẽtoa</x:v>
      </x:c>
      <x:c r="C354" s="19" t="n">
        <x:f>IF(B354="",0,(LEN(B354)-LEN(SUBSTITUTE(B354," | ","")))/3+1)</x:f>
        <x:v>1</x:v>
      </x:c>
      <x:c r="D354" t="str">
        <x:v>c</x:v>
      </x:c>
      <x:c r="E354" t="str">
        <x:v>https://www.webonary.org/marubo/g265f68b8-e0d3-425a-b18c-a298c58bb829/</x:v>
      </x:c>
      <x:c r="F354" t="str">
        <x:v>g7fe755da-fc79-4201-91f9-66f6d267cf3a</x:v>
      </x:c>
      <x:c r="G354" s="20" t="n">
        <x:v>46003.93479238426</x:v>
      </x:c>
    </x:row>
    <x:row r="355">
      <x:c r="A355" s="18" t="str">
        <x:v>cego</x:v>
      </x:c>
      <x:c r="B355" s="18" t="str">
        <x:v>veshoa | kẽtoka</x:v>
      </x:c>
      <x:c r="C355" s="19" t="n">
        <x:f>IF(B355="",0,(LEN(B355)-LEN(SUBSTITUTE(B355," | ","")))/3+1)</x:f>
        <x:v>2</x:v>
      </x:c>
      <x:c r="D355" t="str">
        <x:v>c</x:v>
      </x:c>
      <x:c r="E355" t="str">
        <x:v>https://www.webonary.org/marubo/ga2c9bb80-8294-4220-804b-673a0021d421/</x:v>
      </x:c>
      <x:c r="F355" t="str">
        <x:v>ga6945eb4-07d1-4d17-9ad9-54201d30e596</x:v>
      </x:c>
      <x:c r="G355" s="20" t="n">
        <x:v>46003.93479238426</x:v>
      </x:c>
    </x:row>
    <x:row r="356">
      <x:c r="A356" s="18" t="str">
        <x:v>ceira do mel</x:v>
      </x:c>
      <x:c r="B356" s="18" t="str">
        <x:v>vona voi</x:v>
      </x:c>
      <x:c r="C356" s="19" t="n">
        <x:f>IF(B356="",0,(LEN(B356)-LEN(SUBSTITUTE(B356," | ","")))/3+1)</x:f>
        <x:v>1</x:v>
      </x:c>
      <x:c r="D356" t="str">
        <x:v>c</x:v>
      </x:c>
      <x:c r="E356" t="str">
        <x:v>https://www.webonary.org/marubo/gdbefdecf-4371-44cc-b8bc-4d488c675c9a/</x:v>
      </x:c>
      <x:c r="F356" t="str">
        <x:v>g42999dd9-583a-49a8-b721-0e208039c98f</x:v>
      </x:c>
      <x:c r="G356" s="20" t="n">
        <x:v>46003.93479946759</x:v>
      </x:c>
    </x:row>
    <x:row r="357">
      <x:c r="A357" s="18" t="str">
        <x:v>cera dos ouvidos</x:v>
      </x:c>
      <x:c r="B357" s="18" t="str">
        <x:v>pave eshe</x:v>
      </x:c>
      <x:c r="C357" s="19" t="n">
        <x:f>IF(B357="",0,(LEN(B357)-LEN(SUBSTITUTE(B357," | ","")))/3+1)</x:f>
        <x:v>1</x:v>
      </x:c>
      <x:c r="D357" t="str">
        <x:v>c</x:v>
      </x:c>
      <x:c r="E357" t="str">
        <x:v>https://www.webonary.org/marubo/g355455d3-d475-424b-a720-da29a3693b4d/</x:v>
      </x:c>
      <x:c r="F357" t="str">
        <x:v>g2c76b47f-182e-463a-87c9-06f07dd9839e</x:v>
      </x:c>
      <x:c r="G357" s="20" t="n">
        <x:v>46003.93479946759</x:v>
      </x:c>
    </x:row>
    <x:row r="358">
      <x:c r="A358" s="18" t="str">
        <x:v>cerca</x:v>
      </x:c>
      <x:c r="B358" s="18" t="str">
        <x:v>kene</x:v>
      </x:c>
      <x:c r="C358" s="19" t="n">
        <x:f>IF(B358="",0,(LEN(B358)-LEN(SUBSTITUTE(B358," | ","")))/3+1)</x:f>
        <x:v>1</x:v>
      </x:c>
      <x:c r="D358" t="str">
        <x:v>c</x:v>
      </x:c>
      <x:c r="E358" t="str">
        <x:v>https://www.webonary.org/marubo/g32974d52-a3e4-4779-a61d-2f7fbb3a0be8/</x:v>
      </x:c>
      <x:c r="F358" t="str">
        <x:v>ga7dce402-bd8a-4c35-8f0e-8e554500a4b7</x:v>
      </x:c>
      <x:c r="G358" s="20" t="n">
        <x:v>46003.93479946759</x:v>
      </x:c>
    </x:row>
    <x:row r="359">
      <x:c r="A359" s="18" t="str">
        <x:v>cerebro</x:v>
      </x:c>
      <x:c r="B359" s="18" t="str">
        <x:v>mapo resó</x:v>
      </x:c>
      <x:c r="C359" s="19" t="n">
        <x:f>IF(B359="",0,(LEN(B359)-LEN(SUBSTITUTE(B359," | ","")))/3+1)</x:f>
        <x:v>1</x:v>
      </x:c>
      <x:c r="D359" t="str">
        <x:v>c</x:v>
      </x:c>
      <x:c r="E359" t="str">
        <x:v>https://www.webonary.org/marubo/gf5f4dc73-814a-4f00-983c-2411df50c17c/</x:v>
      </x:c>
      <x:c r="F359" t="str">
        <x:v>g94a5422d-59a2-442e-b10a-58144560f6a5</x:v>
      </x:c>
      <x:c r="G359" s="20" t="n">
        <x:v>46003.93479946759</x:v>
      </x:c>
    </x:row>
    <x:row r="360">
      <x:c r="A360" s="18" t="str">
        <x:v>ceremonio quando criaça morreu</x:v>
      </x:c>
      <x:c r="B360" s="18" t="str">
        <x:v>wacha</x:v>
      </x:c>
      <x:c r="C360" s="19" t="n">
        <x:f>IF(B360="",0,(LEN(B360)-LEN(SUBSTITUTE(B360," | ","")))/3+1)</x:f>
        <x:v>1</x:v>
      </x:c>
      <x:c r="D360" t="str">
        <x:v>c</x:v>
      </x:c>
      <x:c r="E360" t="str">
        <x:v>https://www.webonary.org/marubo/g7d3169ee-2c30-468f-be99-19127330fff6/</x:v>
      </x:c>
      <x:c r="F360" t="str">
        <x:v>g95038108-7366-4981-996f-54e85507e768</x:v>
      </x:c>
      <x:c r="G360" s="20" t="n">
        <x:v>46003.93479946759</x:v>
      </x:c>
    </x:row>
    <x:row r="361">
      <x:c r="A361" s="18" t="str">
        <x:v>certeza</x:v>
      </x:c>
      <x:c r="B361" s="18" t="str">
        <x:v>-visi</x:v>
      </x:c>
      <x:c r="C361" s="19" t="n">
        <x:f>IF(B361="",0,(LEN(B361)-LEN(SUBSTITUTE(B361," | ","")))/3+1)</x:f>
        <x:v>1</x:v>
      </x:c>
      <x:c r="D361" t="str">
        <x:v>c</x:v>
      </x:c>
      <x:c r="E361" t="str">
        <x:v>https://www.webonary.org/marubo/g29cb6fac-1ebb-4b9d-8427-fd34f99976d4/</x:v>
      </x:c>
      <x:c r="F361" t="str">
        <x:v>g1b3bb6e4-5908-4d97-9bea-6ef93f0cc9cc</x:v>
      </x:c>
      <x:c r="G361" s="20" t="n">
        <x:v>46003.93479946759</x:v>
      </x:c>
    </x:row>
    <x:row r="362">
      <x:c r="A362" s="18" t="str">
        <x:v>cesto</x:v>
      </x:c>
      <x:c r="B362" s="18" t="str">
        <x:v>txitxã | kokí</x:v>
      </x:c>
      <x:c r="C362" s="19" t="n">
        <x:f>IF(B362="",0,(LEN(B362)-LEN(SUBSTITUTE(B362," | ","")))/3+1)</x:f>
        <x:v>2</x:v>
      </x:c>
      <x:c r="D362" t="str">
        <x:v>c</x:v>
      </x:c>
      <x:c r="E362" t="str">
        <x:v>https://www.webonary.org/marubo/gf011e366-68f4-4ce6-a807-500589fc9363/</x:v>
      </x:c>
      <x:c r="F362" t="str">
        <x:v>g7b46e842-33fb-4431-9eaa-a772321254ab</x:v>
      </x:c>
      <x:c r="G362" s="20" t="n">
        <x:v>46003.93479946759</x:v>
      </x:c>
    </x:row>
    <x:row r="363">
      <x:c r="A363" s="18" t="str">
        <x:v>céu</x:v>
      </x:c>
      <x:c r="B363" s="18" t="str">
        <x:v>nai</x:v>
      </x:c>
      <x:c r="C363" s="19" t="n">
        <x:f>IF(B363="",0,(LEN(B363)-LEN(SUBSTITUTE(B363," | ","")))/3+1)</x:f>
        <x:v>1</x:v>
      </x:c>
      <x:c r="D363" t="str">
        <x:v>c</x:v>
      </x:c>
      <x:c r="E363" t="str">
        <x:v>https://www.webonary.org/marubo/g970f89d5-7238-472e-a300-bde3f66a5786/</x:v>
      </x:c>
      <x:c r="F363" t="str">
        <x:v>gb0f0ebfe-fd0e-4ef5-82f6-3e056cef10fe</x:v>
      </x:c>
      <x:c r="G363" s="20" t="n">
        <x:v>46003.93479946759</x:v>
      </x:c>
    </x:row>
    <x:row r="364">
      <x:c r="A364" s="18" t="str">
        <x:v>céu coberto</x:v>
      </x:c>
      <x:c r="B364" s="18" t="str">
        <x:v>nai veshtaka | nai veika</x:v>
      </x:c>
      <x:c r="C364" s="19" t="n">
        <x:f>IF(B364="",0,(LEN(B364)-LEN(SUBSTITUTE(B364," | ","")))/3+1)</x:f>
        <x:v>2</x:v>
      </x:c>
      <x:c r="D364" t="str">
        <x:v>c</x:v>
      </x:c>
      <x:c r="E364" t="str">
        <x:v>https://www.webonary.org/marubo/gc163cff8-a7f6-4212-a28b-5f9b3aaf4175/</x:v>
      </x:c>
      <x:c r="F364" t="str">
        <x:v>g969a0bba-8ec2-46b1-b6bf-bc4a61ca4b63</x:v>
      </x:c>
      <x:c r="G364" s="20" t="n">
        <x:v>46003.93479946759</x:v>
      </x:c>
    </x:row>
    <x:row r="365">
      <x:c r="A365" s="18" t="str">
        <x:v>céu pronto para chover</x:v>
      </x:c>
      <x:c r="B365" s="18" t="str">
        <x:v>veshtaka</x:v>
      </x:c>
      <x:c r="C365" s="19" t="n">
        <x:f>IF(B365="",0,(LEN(B365)-LEN(SUBSTITUTE(B365," | ","")))/3+1)</x:f>
        <x:v>1</x:v>
      </x:c>
      <x:c r="D365" t="str">
        <x:v>c</x:v>
      </x:c>
      <x:c r="E365" t="str">
        <x:v>https://www.webonary.org/marubo/gee621ab2-5686-435f-8820-d84f080e74db/</x:v>
      </x:c>
      <x:c r="F365" t="str">
        <x:v>g59edecf9-dd93-4150-b325-f39642735c6f</x:v>
      </x:c>
      <x:c r="G365" s="20" t="n">
        <x:v>46003.93479946759</x:v>
      </x:c>
    </x:row>
    <x:row r="366">
      <x:c r="A366" s="18" t="str">
        <x:v>chacoalhar</x:v>
      </x:c>
      <x:c r="B366" s="18" t="str">
        <x:v>shaiashaia aká</x:v>
      </x:c>
      <x:c r="C366" s="19" t="n">
        <x:f>IF(B366="",0,(LEN(B366)-LEN(SUBSTITUTE(B366," | ","")))/3+1)</x:f>
        <x:v>1</x:v>
      </x:c>
      <x:c r="D366" t="str">
        <x:v>c</x:v>
      </x:c>
      <x:c r="E366" t="str">
        <x:v>https://www.webonary.org/marubo/g53d83172-870a-4ab5-a856-fefa6d793560/</x:v>
      </x:c>
      <x:c r="F366" t="str">
        <x:v>g60e7f844-eb35-423d-b7a3-c84205335c5c</x:v>
      </x:c>
      <x:c r="G366" s="20" t="n">
        <x:v>46003.93479946759</x:v>
      </x:c>
    </x:row>
    <x:row r="367">
      <x:c r="A367" s="18" t="str">
        <x:v>chamado de grito</x:v>
      </x:c>
      <x:c r="B367" s="18" t="str">
        <x:v>paa ikí</x:v>
      </x:c>
      <x:c r="C367" s="19" t="n">
        <x:f>IF(B367="",0,(LEN(B367)-LEN(SUBSTITUTE(B367," | ","")))/3+1)</x:f>
        <x:v>1</x:v>
      </x:c>
      <x:c r="D367" t="str">
        <x:v>c</x:v>
      </x:c>
      <x:c r="E367" t="str">
        <x:v>https://www.webonary.org/marubo/gc69a81b1-36ea-48ea-9db5-f83689789849/</x:v>
      </x:c>
      <x:c r="F367" t="str">
        <x:v>g46b67883-0d16-4686-b8db-f568f76799d3</x:v>
      </x:c>
      <x:c r="G367" s="20" t="n">
        <x:v>46003.93479946759</x:v>
      </x:c>
    </x:row>
    <x:row r="368">
      <x:c r="A368" s="18" t="str">
        <x:v>chamar</x:v>
      </x:c>
      <x:c r="B368" s="18" t="str">
        <x:v>kená</x:v>
      </x:c>
      <x:c r="C368" s="19" t="n">
        <x:f>IF(B368="",0,(LEN(B368)-LEN(SUBSTITUTE(B368," | ","")))/3+1)</x:f>
        <x:v>1</x:v>
      </x:c>
      <x:c r="D368" t="str">
        <x:v>c</x:v>
      </x:c>
      <x:c r="E368" t="str">
        <x:v>https://www.webonary.org/marubo/gc9bf3215-f098-4690-b9d7-c393cfd8266d/</x:v>
      </x:c>
      <x:c r="F368" t="str">
        <x:v>g14875e83-5113-4bd4-9406-ccd76f26e962</x:v>
      </x:c>
      <x:c r="G368" s="20" t="n">
        <x:v>46003.93479946759</x:v>
      </x:c>
    </x:row>
    <x:row r="369">
      <x:c r="A369" s="18" t="str">
        <x:v>chamar com grito</x:v>
      </x:c>
      <x:c r="B369" s="18" t="str">
        <x:v>paa aká</x:v>
      </x:c>
      <x:c r="C369" s="19" t="n">
        <x:f>IF(B369="",0,(LEN(B369)-LEN(SUBSTITUTE(B369," | ","")))/3+1)</x:f>
        <x:v>1</x:v>
      </x:c>
      <x:c r="D369" t="str">
        <x:v>c</x:v>
      </x:c>
      <x:c r="E369" t="str">
        <x:v>https://www.webonary.org/marubo/gd5d0e72f-28dd-4268-9d05-dd5863446f9f/</x:v>
      </x:c>
      <x:c r="F369" t="str">
        <x:v>g6978a437-915a-4659-88ba-79a554ead1cd</x:v>
      </x:c>
      <x:c r="G369" s="20" t="n">
        <x:v>46003.93479946759</x:v>
      </x:c>
    </x:row>
    <x:row r="370">
      <x:c r="A370" s="18" t="str">
        <x:v>chapeu</x:v>
      </x:c>
      <x:c r="B370" s="18" t="str">
        <x:v>maiti</x:v>
      </x:c>
      <x:c r="C370" s="19" t="n">
        <x:f>IF(B370="",0,(LEN(B370)-LEN(SUBSTITUTE(B370," | ","")))/3+1)</x:f>
        <x:v>1</x:v>
      </x:c>
      <x:c r="D370" t="str">
        <x:v>c</x:v>
      </x:c>
      <x:c r="E370" t="str">
        <x:v>https://www.webonary.org/marubo/g63cf3836-efe2-4fe5-a5d6-b1bdb91092f6/</x:v>
      </x:c>
      <x:c r="F370" t="str">
        <x:v>gb797584f-05e2-403b-baf8-34d0cf2ca1a9</x:v>
      </x:c>
      <x:c r="G370" s="20" t="n">
        <x:v>46003.93479946759</x:v>
      </x:c>
    </x:row>
    <x:row r="371">
      <x:c r="A371" s="18" t="str">
        <x:v>chapeu de palha</x:v>
      </x:c>
      <x:c r="B371" s="18" t="str">
        <x:v>txitxã maiti</x:v>
      </x:c>
      <x:c r="C371" s="19" t="n">
        <x:f>IF(B371="",0,(LEN(B371)-LEN(SUBSTITUTE(B371," | ","")))/3+1)</x:f>
        <x:v>1</x:v>
      </x:c>
      <x:c r="D371" t="str">
        <x:v>c</x:v>
      </x:c>
      <x:c r="E371" t="str">
        <x:v>https://www.webonary.org/marubo/g5abe0394-aaa4-4211-a2fd-855f5120636b/</x:v>
      </x:c>
      <x:c r="F371" t="str">
        <x:v>g162cedb0-5be1-465d-ae3c-69161bb7b87c</x:v>
      </x:c>
      <x:c r="G371" s="20" t="n">
        <x:v>46003.93479946759</x:v>
      </x:c>
    </x:row>
    <x:row r="372">
      <x:c r="A372" s="18" t="str">
        <x:v>chave</x:v>
      </x:c>
      <x:c r="B372" s="18" t="str">
        <x:v>yavi</x:v>
      </x:c>
      <x:c r="C372" s="19" t="n">
        <x:f>IF(B372="",0,(LEN(B372)-LEN(SUBSTITUTE(B372," | ","")))/3+1)</x:f>
        <x:v>1</x:v>
      </x:c>
      <x:c r="D372" t="str">
        <x:v>c</x:v>
      </x:c>
      <x:c r="E372" t="str">
        <x:v>https://www.webonary.org/marubo/g70e6a368-cd55-4f38-923f-440017d4b47e/</x:v>
      </x:c>
      <x:c r="F372" t="str">
        <x:v>g80cd7241-98d1-492a-ba04-dadd3ca534b5</x:v>
      </x:c>
      <x:c r="G372" s="20" t="n">
        <x:v>46003.93479946759</x:v>
      </x:c>
    </x:row>
    <x:row r="373">
      <x:c r="A373" s="18" t="str">
        <x:v>chefe</x:v>
      </x:c>
      <x:c r="B373" s="18" t="str">
        <x:v>kakáya</x:v>
      </x:c>
      <x:c r="C373" s="19" t="n">
        <x:f>IF(B373="",0,(LEN(B373)-LEN(SUBSTITUTE(B373," | ","")))/3+1)</x:f>
        <x:v>1</x:v>
      </x:c>
      <x:c r="D373" t="str">
        <x:v>c</x:v>
      </x:c>
      <x:c r="E373" t="str">
        <x:v>https://www.webonary.org/marubo/g6d224a23-a109-465d-aa7e-4a85b88b0d81/</x:v>
      </x:c>
      <x:c r="F373" t="str">
        <x:v>gf03479f7-b0b3-467b-b17b-4a774ab65afb</x:v>
      </x:c>
      <x:c r="G373" s="20" t="n">
        <x:v>46003.93479946759</x:v>
      </x:c>
    </x:row>
    <x:row r="374">
      <x:c r="A374" s="18" t="str">
        <x:v>chegar</x:v>
      </x:c>
      <x:c r="B374" s="18" t="str">
        <x:v>nokoa</x:v>
      </x:c>
      <x:c r="C374" s="19" t="n">
        <x:f>IF(B374="",0,(LEN(B374)-LEN(SUBSTITUTE(B374," | ","")))/3+1)</x:f>
        <x:v>1</x:v>
      </x:c>
      <x:c r="D374" t="str">
        <x:v>c</x:v>
      </x:c>
      <x:c r="E374" t="str">
        <x:v>https://www.webonary.org/marubo/gba8c5d8f-a91b-4054-b0bd-6af3fb4f34d7/</x:v>
      </x:c>
      <x:c r="F374" t="str">
        <x:v>ged6769fd-5ca2-4d64-90e6-521f527e4c97</x:v>
      </x:c>
      <x:c r="G374" s="20" t="n">
        <x:v>46003.93479946759</x:v>
      </x:c>
    </x:row>
    <x:row r="375">
      <x:c r="A375" s="18" t="str">
        <x:v>chegar perto</x:v>
      </x:c>
      <x:c r="B375" s="18" t="str">
        <x:v>oma | 1</x:v>
      </x:c>
      <x:c r="C375" s="19" t="n">
        <x:f>IF(B375="",0,(LEN(B375)-LEN(SUBSTITUTE(B375," | ","")))/3+1)</x:f>
        <x:v>2</x:v>
      </x:c>
      <x:c r="D375" t="str">
        <x:v>c</x:v>
      </x:c>
      <x:c r="E375" t="str">
        <x:v>https://www.webonary.org/marubo/gaa0d34be-61f2-4969-bf53-c3630dc76dcb/</x:v>
      </x:c>
      <x:c r="F375" t="str">
        <x:v>g9b107a20-7d16-4ed4-acb4-77312ff89614</x:v>
      </x:c>
      <x:c r="G375" s="20" t="n">
        <x:v>46003.93479946759</x:v>
      </x:c>
    </x:row>
    <x:row r="376">
      <x:c r="A376" s="18" t="str">
        <x:v>cheio</x:v>
      </x:c>
      <x:c r="B376" s="18" t="str">
        <x:v>votseka | matáka</x:v>
      </x:c>
      <x:c r="C376" s="19" t="n">
        <x:f>IF(B376="",0,(LEN(B376)-LEN(SUBSTITUTE(B376," | ","")))/3+1)</x:f>
        <x:v>2</x:v>
      </x:c>
      <x:c r="D376" t="str">
        <x:v>c</x:v>
      </x:c>
      <x:c r="E376" t="str">
        <x:v>https://www.webonary.org/marubo/g13e14b34-bd00-4962-ad24-b1a8017e2d02/</x:v>
      </x:c>
      <x:c r="F376" t="str">
        <x:v>g27b33449-1e6b-4a03-a3d2-97542300fa9b</x:v>
      </x:c>
      <x:c r="G376" s="20" t="n">
        <x:v>46003.93479946759</x:v>
      </x:c>
    </x:row>
    <x:row r="377">
      <x:c r="A377" s="18" t="str">
        <x:v>cheio de buraco</x:v>
      </x:c>
      <x:c r="B377" s="18" t="str">
        <x:v>õsaka</x:v>
      </x:c>
      <x:c r="C377" s="19" t="n">
        <x:f>IF(B377="",0,(LEN(B377)-LEN(SUBSTITUTE(B377," | ","")))/3+1)</x:f>
        <x:v>1</x:v>
      </x:c>
      <x:c r="D377" t="str">
        <x:v>c</x:v>
      </x:c>
      <x:c r="E377" t="str">
        <x:v>https://www.webonary.org/marubo/gc3b339b5-8d0b-425b-b060-3b557863c247/</x:v>
      </x:c>
      <x:c r="F377" t="str">
        <x:v>g19bafecf-aa55-4660-a483-fb931fdb070b</x:v>
      </x:c>
      <x:c r="G377" s="20" t="n">
        <x:v>46003.93479946759</x:v>
      </x:c>
    </x:row>
    <x:row r="378">
      <x:c r="A378" s="18" t="str">
        <x:v>cheio de caroço</x:v>
      </x:c>
      <x:c r="B378" s="18" t="str">
        <x:v>txoréshka</x:v>
      </x:c>
      <x:c r="C378" s="19" t="n">
        <x:f>IF(B378="",0,(LEN(B378)-LEN(SUBSTITUTE(B378," | ","")))/3+1)</x:f>
        <x:v>1</x:v>
      </x:c>
      <x:c r="D378" t="str">
        <x:v>c</x:v>
      </x:c>
      <x:c r="E378" t="str">
        <x:v>https://www.webonary.org/marubo/ge9d401c0-072f-433a-aabd-31ffa57b5cb2/</x:v>
      </x:c>
      <x:c r="F378" t="str">
        <x:v>g8c4d7088-1990-45a9-920e-453d4057e1fa</x:v>
      </x:c>
      <x:c r="G378" s="20" t="n">
        <x:v>46003.93479946759</x:v>
      </x:c>
    </x:row>
    <x:row r="379">
      <x:c r="A379" s="18" t="str">
        <x:v>cheio de nó</x:v>
      </x:c>
      <x:c r="B379" s="18" t="str">
        <x:v>txoreka</x:v>
      </x:c>
      <x:c r="C379" s="19" t="n">
        <x:f>IF(B379="",0,(LEN(B379)-LEN(SUBSTITUTE(B379," | ","")))/3+1)</x:f>
        <x:v>1</x:v>
      </x:c>
      <x:c r="D379" t="str">
        <x:v>c</x:v>
      </x:c>
      <x:c r="E379" t="str">
        <x:v>https://www.webonary.org/marubo/g1c44d20d-8bdc-46db-96d8-ad4292fc10b3/</x:v>
      </x:c>
      <x:c r="F379" t="str">
        <x:v>g683c80f1-acff-449c-98cc-35a2f4bef8ec</x:v>
      </x:c>
      <x:c r="G379" s="20" t="n">
        <x:v>46003.93479946759</x:v>
      </x:c>
    </x:row>
    <x:row r="380">
      <x:c r="A380" s="18" t="str">
        <x:v>cheirar</x:v>
      </x:c>
      <x:c r="B380" s="18" t="str">
        <x:v>shetea</x:v>
      </x:c>
      <x:c r="C380" s="19" t="n">
        <x:f>IF(B380="",0,(LEN(B380)-LEN(SUBSTITUTE(B380," | ","")))/3+1)</x:f>
        <x:v>1</x:v>
      </x:c>
      <x:c r="D380" t="str">
        <x:v>c</x:v>
      </x:c>
      <x:c r="E380" t="str">
        <x:v>https://www.webonary.org/marubo/g27949870-1382-493f-8302-f1ba389239e0/</x:v>
      </x:c>
      <x:c r="F380" t="str">
        <x:v>g73824ac8-3b51-4ee1-9b7b-ce050db4b0da</x:v>
      </x:c>
      <x:c r="G380" s="20" t="n">
        <x:v>46003.93479946759</x:v>
      </x:c>
    </x:row>
    <x:row r="381">
      <x:c r="A381" s="18" t="str">
        <x:v>cheiro de urina</x:v>
      </x:c>
      <x:c r="B381" s="18" t="str">
        <x:v>ketxoka</x:v>
      </x:c>
      <x:c r="C381" s="19" t="n">
        <x:f>IF(B381="",0,(LEN(B381)-LEN(SUBSTITUTE(B381," | ","")))/3+1)</x:f>
        <x:v>1</x:v>
      </x:c>
      <x:c r="D381" t="str">
        <x:v>c</x:v>
      </x:c>
      <x:c r="E381" t="str">
        <x:v>https://www.webonary.org/marubo/g791e3065-0e04-43b4-91a2-3ae5cd96af32/</x:v>
      </x:c>
      <x:c r="F381" t="str">
        <x:v>g7b23010c-cebc-449e-9f9d-df394414ef76</x:v>
      </x:c>
      <x:c r="G381" s="20" t="n">
        <x:v>46003.93479946759</x:v>
      </x:c>
    </x:row>
    <x:row r="382">
      <x:c r="A382" s="18" t="str">
        <x:v>cheiro depois de trabalhar no sol</x:v>
      </x:c>
      <x:c r="B382" s="18" t="str">
        <x:v>vari itsa</x:v>
      </x:c>
      <x:c r="C382" s="19" t="n">
        <x:f>IF(B382="",0,(LEN(B382)-LEN(SUBSTITUTE(B382," | ","")))/3+1)</x:f>
        <x:v>1</x:v>
      </x:c>
      <x:c r="D382" t="str">
        <x:v>c</x:v>
      </x:c>
      <x:c r="E382" t="str">
        <x:v>https://www.webonary.org/marubo/g08a88835-22f3-4fe6-9142-19f217aaa12e/</x:v>
      </x:c>
      <x:c r="F382" t="str">
        <x:v>gc7620ac1-4f3a-47ad-85f1-67399ccd7be0</x:v>
      </x:c>
      <x:c r="G382" s="20" t="n">
        <x:v>46003.93479946759</x:v>
      </x:c>
    </x:row>
    <x:row r="383">
      <x:c r="A383" s="18" t="str">
        <x:v>cheiro forte</x:v>
      </x:c>
      <x:c r="B383" s="18" t="str">
        <x:v>itsaka | itsa | 2</x:v>
      </x:c>
      <x:c r="C383" s="19" t="n">
        <x:f>IF(B383="",0,(LEN(B383)-LEN(SUBSTITUTE(B383," | ","")))/3+1)</x:f>
        <x:v>3</x:v>
      </x:c>
      <x:c r="D383" t="str">
        <x:v>c</x:v>
      </x:c>
      <x:c r="E383" t="str">
        <x:v>https://www.webonary.org/marubo/gc48d9929-6c59-4fe9-933d-46fb51339a8d/</x:v>
      </x:c>
      <x:c r="F383" t="str">
        <x:v>g3bf675cc-a630-45c5-ac4c-ac8eb8e771ab</x:v>
      </x:c>
      <x:c r="G383" s="20" t="n">
        <x:v>46003.93479946759</x:v>
      </x:c>
    </x:row>
    <x:row r="384">
      <x:c r="A384" s="18" t="str">
        <x:v>cheiroso</x:v>
      </x:c>
      <x:c r="B384" s="18" t="str">
        <x:v>inĩka</x:v>
      </x:c>
      <x:c r="C384" s="19" t="n">
        <x:f>IF(B384="",0,(LEN(B384)-LEN(SUBSTITUTE(B384," | ","")))/3+1)</x:f>
        <x:v>1</x:v>
      </x:c>
      <x:c r="D384" t="str">
        <x:v>c</x:v>
      </x:c>
      <x:c r="E384" t="str">
        <x:v>https://www.webonary.org/marubo/g27fafb7d-0433-4322-b446-88880c13b377/</x:v>
      </x:c>
      <x:c r="F384" t="str">
        <x:v>g35b4635e-0dc4-43f7-9676-55c24c25c20f</x:v>
      </x:c>
      <x:c r="G384" s="20" t="n">
        <x:v>46003.93479946759</x:v>
      </x:c>
    </x:row>
    <x:row r="385">
      <x:c r="A385" s="18" t="str">
        <x:v>chifre</x:v>
      </x:c>
      <x:c r="B385" s="18" t="str">
        <x:v>mãsho</x:v>
      </x:c>
      <x:c r="C385" s="19" t="n">
        <x:f>IF(B385="",0,(LEN(B385)-LEN(SUBSTITUTE(B385," | ","")))/3+1)</x:f>
        <x:v>1</x:v>
      </x:c>
      <x:c r="D385" t="str">
        <x:v>c</x:v>
      </x:c>
      <x:c r="E385" t="str">
        <x:v>https://www.webonary.org/marubo/gcdc64d93-a5b9-4944-8927-e66f10dadeec/</x:v>
      </x:c>
      <x:c r="F385" t="str">
        <x:v>g99496378-d889-43f8-9af1-2dffce2fdb47</x:v>
      </x:c>
      <x:c r="G385" s="20" t="n">
        <x:v>46003.93479946759</x:v>
      </x:c>
    </x:row>
    <x:row r="386">
      <x:c r="A386" s="18" t="str">
        <x:v>chocalhar</x:v>
      </x:c>
      <x:c r="B386" s="18" t="str">
        <x:v>shaasha aká</x:v>
      </x:c>
      <x:c r="C386" s="19" t="n">
        <x:f>IF(B386="",0,(LEN(B386)-LEN(SUBSTITUTE(B386," | ","")))/3+1)</x:f>
        <x:v>1</x:v>
      </x:c>
      <x:c r="D386" t="str">
        <x:v>c</x:v>
      </x:c>
      <x:c r="E386" t="str">
        <x:v>https://www.webonary.org/marubo/g50b95602-4420-4733-aaeb-8bf4f7e5dc93/</x:v>
      </x:c>
      <x:c r="F386" t="str">
        <x:v>g3276fc73-ad30-46c9-857b-eeaa81230be0</x:v>
      </x:c>
      <x:c r="G386" s="20" t="n">
        <x:v>46003.93479946759</x:v>
      </x:c>
    </x:row>
    <x:row r="387">
      <x:c r="A387" s="18" t="str">
        <x:v>choque na cabeça</x:v>
      </x:c>
      <x:c r="B387" s="18" t="str">
        <x:v>vosẽnkẽwa</x:v>
      </x:c>
      <x:c r="C387" s="19" t="n">
        <x:f>IF(B387="",0,(LEN(B387)-LEN(SUBSTITUTE(B387," | ","")))/3+1)</x:f>
        <x:v>1</x:v>
      </x:c>
      <x:c r="D387" t="str">
        <x:v>c</x:v>
      </x:c>
      <x:c r="E387" t="str">
        <x:v>https://www.webonary.org/marubo/g99168169-73b5-4357-a525-76247467ce25/</x:v>
      </x:c>
      <x:c r="F387" t="str">
        <x:v>g62593c33-a104-4368-8c64-4dd4935c23a5</x:v>
      </x:c>
      <x:c r="G387" s="20" t="n">
        <x:v>46003.93479946759</x:v>
      </x:c>
    </x:row>
    <x:row r="388">
      <x:c r="A388" s="18" t="str">
        <x:v>chorar</x:v>
      </x:c>
      <x:c r="B388" s="18" t="str">
        <x:v>wai ikí</x:v>
      </x:c>
      <x:c r="C388" s="19" t="n">
        <x:f>IF(B388="",0,(LEN(B388)-LEN(SUBSTITUTE(B388," | ","")))/3+1)</x:f>
        <x:v>1</x:v>
      </x:c>
      <x:c r="D388" t="str">
        <x:v>c</x:v>
      </x:c>
      <x:c r="E388" t="str">
        <x:v>https://www.webonary.org/marubo/g1920b07d-c4d1-4c2f-bb87-b9e4c4dfd1e0/</x:v>
      </x:c>
      <x:c r="F388" t="str">
        <x:v>g365ecc6d-3712-45f4-80c2-9bfc14e081e3</x:v>
      </x:c>
      <x:c r="G388" s="20" t="n">
        <x:v>46003.93479946759</x:v>
      </x:c>
    </x:row>
    <x:row r="389">
      <x:c r="A389" s="18" t="str">
        <x:v>chumbo</x:v>
      </x:c>
      <x:c r="B389" s="18" t="str">
        <x:v>mara</x:v>
      </x:c>
      <x:c r="C389" s="19" t="n">
        <x:f>IF(B389="",0,(LEN(B389)-LEN(SUBSTITUTE(B389," | ","")))/3+1)</x:f>
        <x:v>1</x:v>
      </x:c>
      <x:c r="D389" t="str">
        <x:v>c</x:v>
      </x:c>
      <x:c r="E389" t="str">
        <x:v>https://www.webonary.org/marubo/g02329b81-ae9c-426b-8f64-09831f0f1a74/</x:v>
      </x:c>
      <x:c r="F389" t="str">
        <x:v>g388acf36-2b88-43f3-8cc9-fbe67c462a80</x:v>
      </x:c>
      <x:c r="G389" s="20" t="n">
        <x:v>46003.93479946759</x:v>
      </x:c>
    </x:row>
    <x:row r="390">
      <x:c r="A390" s="18" t="str">
        <x:v>chupar</x:v>
      </x:c>
      <x:c r="B390" s="18" t="str">
        <x:v>tsoo aká | oyóa | kokoa</x:v>
      </x:c>
      <x:c r="C390" s="19" t="n">
        <x:f>IF(B390="",0,(LEN(B390)-LEN(SUBSTITUTE(B390," | ","")))/3+1)</x:f>
        <x:v>3</x:v>
      </x:c>
      <x:c r="D390" t="str">
        <x:v>c</x:v>
      </x:c>
      <x:c r="E390" t="str">
        <x:v>https://www.webonary.org/marubo/gaf3fd3d7-f499-4a81-a2a0-a2b17ddebad5/</x:v>
      </x:c>
      <x:c r="F390" t="str">
        <x:v>gc5ae52e6-44e7-4aab-9ab2-3e9af300699b</x:v>
      </x:c>
      <x:c r="G390" s="20" t="n">
        <x:v>46003.93479946759</x:v>
      </x:c>
    </x:row>
    <x:row r="391">
      <x:c r="A391" s="18" t="str">
        <x:v>chutar</x:v>
      </x:c>
      <x:c r="B391" s="18" t="str">
        <x:v>tis aká</x:v>
      </x:c>
      <x:c r="C391" s="19" t="n">
        <x:f>IF(B391="",0,(LEN(B391)-LEN(SUBSTITUTE(B391," | ","")))/3+1)</x:f>
        <x:v>1</x:v>
      </x:c>
      <x:c r="D391" t="str">
        <x:v>c</x:v>
      </x:c>
      <x:c r="E391" t="str">
        <x:v>https://www.webonary.org/marubo/g97c63765-ade1-46cc-8127-22ae60a9ed85/</x:v>
      </x:c>
      <x:c r="F391" t="str">
        <x:v>gea94e934-2789-454d-a905-9b380648fc36</x:v>
      </x:c>
      <x:c r="G391" s="20" t="n">
        <x:v>46003.93479946759</x:v>
      </x:c>
    </x:row>
    <x:row r="392">
      <x:c r="A392" s="18" t="str">
        <x:v>chuva</x:v>
      </x:c>
      <x:c r="B392" s="18" t="str">
        <x:v>oi</x:v>
      </x:c>
      <x:c r="C392" s="19" t="n">
        <x:f>IF(B392="",0,(LEN(B392)-LEN(SUBSTITUTE(B392," | ","")))/3+1)</x:f>
        <x:v>1</x:v>
      </x:c>
      <x:c r="D392" t="str">
        <x:v>c</x:v>
      </x:c>
      <x:c r="E392" t="str">
        <x:v>https://www.webonary.org/marubo/g06d3fb35-bfbc-45b8-ae13-814db53e9f02/</x:v>
      </x:c>
      <x:c r="F392" t="str">
        <x:v>gfb016693-a3ec-4bcf-891c-a2ce0d7b0133</x:v>
      </x:c>
      <x:c r="G392" s="20" t="n">
        <x:v>46003.93479946759</x:v>
      </x:c>
    </x:row>
    <x:row r="393">
      <x:c r="A393" s="18" t="str">
        <x:v>chuviscar</x:v>
      </x:c>
      <x:c r="B393" s="18" t="str">
        <x:v>oi ase ikí | oi poto ikí</x:v>
      </x:c>
      <x:c r="C393" s="19" t="n">
        <x:f>IF(B393="",0,(LEN(B393)-LEN(SUBSTITUTE(B393," | ","")))/3+1)</x:f>
        <x:v>2</x:v>
      </x:c>
      <x:c r="D393" t="str">
        <x:v>c</x:v>
      </x:c>
      <x:c r="E393" t="str">
        <x:v>https://www.webonary.org/marubo/ge536596c-3699-48ad-bdc9-9ffd5e62699e/</x:v>
      </x:c>
      <x:c r="F393" t="str">
        <x:v>g5b83505f-c414-4045-80dd-d32da8c0eeed</x:v>
      </x:c>
      <x:c r="G393" s="20" t="n">
        <x:v>46003.93479946759</x:v>
      </x:c>
    </x:row>
    <x:row r="394">
      <x:c r="A394" s="18" t="str">
        <x:v>cidra</x:v>
      </x:c>
      <x:c r="B394" s="18" t="str">
        <x:v>rimõ katxaka</x:v>
      </x:c>
      <x:c r="C394" s="19" t="n">
        <x:f>IF(B394="",0,(LEN(B394)-LEN(SUBSTITUTE(B394," | ","")))/3+1)</x:f>
        <x:v>1</x:v>
      </x:c>
      <x:c r="D394" t="str">
        <x:v>c</x:v>
      </x:c>
      <x:c r="E394" t="str">
        <x:v>https://www.webonary.org/marubo/g3122e7ee-f3bb-4d79-8424-a36917619f4f/</x:v>
      </x:c>
      <x:c r="F394" t="str">
        <x:v>gdb6eb01a-46c4-406f-a0d5-bd0f06ae7e91</x:v>
      </x:c>
      <x:c r="G394" s="20" t="n">
        <x:v>46003.93479946759</x:v>
      </x:c>
    </x:row>
    <x:row r="395">
      <x:c r="A395" s="18" t="str">
        <x:v>cigarra</x:v>
      </x:c>
      <x:c r="B395" s="18" t="str">
        <x:v>tseo | yene</x:v>
      </x:c>
      <x:c r="C395" s="19" t="n">
        <x:f>IF(B395="",0,(LEN(B395)-LEN(SUBSTITUTE(B395," | ","")))/3+1)</x:f>
        <x:v>2</x:v>
      </x:c>
      <x:c r="D395" t="str">
        <x:v>c</x:v>
      </x:c>
      <x:c r="E395" t="str">
        <x:v>https://www.webonary.org/marubo/g7bbb98b9-f143-45a1-bd46-d7b3b4bddbf3/</x:v>
      </x:c>
      <x:c r="F395" t="str">
        <x:v>gccbd5ade-57b8-48c6-8519-14046b4e71bd</x:v>
      </x:c>
      <x:c r="G395" s="20" t="n">
        <x:v>46003.93479946759</x:v>
      </x:c>
    </x:row>
    <x:row r="396">
      <x:c r="A396" s="18" t="str">
        <x:v>cílios</x:v>
      </x:c>
      <x:c r="B396" s="18" t="str">
        <x:v>vero keshni</x:v>
      </x:c>
      <x:c r="C396" s="19" t="n">
        <x:f>IF(B396="",0,(LEN(B396)-LEN(SUBSTITUTE(B396," | ","")))/3+1)</x:f>
        <x:v>1</x:v>
      </x:c>
      <x:c r="D396" t="str">
        <x:v>c</x:v>
      </x:c>
      <x:c r="E396" t="str">
        <x:v>https://www.webonary.org/marubo/gab6b487b-73b1-4a59-9d08-548d42cac76f/</x:v>
      </x:c>
      <x:c r="F396" t="str">
        <x:v>g50325cf8-0872-4628-967f-da051a4fa719</x:v>
      </x:c>
      <x:c r="G396" s="20" t="n">
        <x:v>46003.93479946759</x:v>
      </x:c>
    </x:row>
    <x:row r="397">
      <x:c r="A397" s="18" t="str">
        <x:v>cinza</x:v>
      </x:c>
      <x:c r="B397" s="18" t="str">
        <x:v>koroka</x:v>
      </x:c>
      <x:c r="C397" s="19" t="n">
        <x:f>IF(B397="",0,(LEN(B397)-LEN(SUBSTITUTE(B397," | ","")))/3+1)</x:f>
        <x:v>1</x:v>
      </x:c>
      <x:c r="D397" t="str">
        <x:v>c</x:v>
      </x:c>
      <x:c r="E397" t="str">
        <x:v>https://www.webonary.org/marubo/gea0d204c-ccc4-40e7-9995-5ca6161b080f/</x:v>
      </x:c>
      <x:c r="F397" t="str">
        <x:v>g026558c2-2581-4c15-92c4-d9ed934ecc01</x:v>
      </x:c>
      <x:c r="G397" s="20" t="n">
        <x:v>46003.93479946759</x:v>
      </x:c>
    </x:row>
    <x:row r="398">
      <x:c r="A398" s="18" t="str">
        <x:v>cipo titika (see what kind for ako)</x:v>
      </x:c>
      <x:c r="B398" s="18" t="str">
        <x:v>ayáshe</x:v>
      </x:c>
      <x:c r="C398" s="19" t="n">
        <x:f>IF(B398="",0,(LEN(B398)-LEN(SUBSTITUTE(B398," | ","")))/3+1)</x:f>
        <x:v>1</x:v>
      </x:c>
      <x:c r="D398" t="str">
        <x:v>c</x:v>
      </x:c>
      <x:c r="E398" t="str">
        <x:v>https://www.webonary.org/marubo/gbd1df3f3-02a8-40b6-8d98-3b343e0b3a67/</x:v>
      </x:c>
      <x:c r="F398" t="str">
        <x:v>g32c349c1-e93a-43f8-966d-87642231015e</x:v>
      </x:c>
      <x:c r="G398" s="20" t="n">
        <x:v>46003.93479946759</x:v>
      </x:c>
    </x:row>
    <x:row r="399">
      <x:c r="A399" s="18" t="str">
        <x:v>clã da onça</x:v>
      </x:c>
      <x:c r="B399" s="18" t="str">
        <x:v>inonawavo</x:v>
      </x:c>
      <x:c r="C399" s="19" t="n">
        <x:f>IF(B399="",0,(LEN(B399)-LEN(SUBSTITUTE(B399," | ","")))/3+1)</x:f>
        <x:v>1</x:v>
      </x:c>
      <x:c r="D399" t="str">
        <x:v>c</x:v>
      </x:c>
      <x:c r="E399" t="str">
        <x:v>https://www.webonary.org/marubo/g808d7326-0aeb-40b7-8fa9-87d160609aee/</x:v>
      </x:c>
      <x:c r="F399" t="str">
        <x:v>g629196ea-8efa-4a27-8821-d2449b4cc7b7</x:v>
      </x:c>
      <x:c r="G399" s="20" t="n">
        <x:v>46003.93479946759</x:v>
      </x:c>
    </x:row>
    <x:row r="400">
      <x:c r="A400" s="18" t="str">
        <x:v>claro</x:v>
      </x:c>
      <x:c r="B400" s="18" t="str">
        <x:v>nevãka</x:v>
      </x:c>
      <x:c r="C400" s="19" t="n">
        <x:f>IF(B400="",0,(LEN(B400)-LEN(SUBSTITUTE(B400," | ","")))/3+1)</x:f>
        <x:v>1</x:v>
      </x:c>
      <x:c r="D400" t="str">
        <x:v>c</x:v>
      </x:c>
      <x:c r="E400" t="str">
        <x:v>https://www.webonary.org/marubo/gd30111cc-e7ae-4ddc-abb0-16ad8970a9c9/</x:v>
      </x:c>
      <x:c r="F400" t="str">
        <x:v>ge34bab21-64d2-4b10-be64-101c6ebe4e6e</x:v>
      </x:c>
      <x:c r="G400" s="20" t="n">
        <x:v>46003.93479946759</x:v>
      </x:c>
    </x:row>
    <x:row r="401">
      <x:c r="A401" s="18" t="str">
        <x:v>clavícula</x:v>
      </x:c>
      <x:c r="B401" s="18" t="str">
        <x:v>shawã paiti</x:v>
      </x:c>
      <x:c r="C401" s="19" t="n">
        <x:f>IF(B401="",0,(LEN(B401)-LEN(SUBSTITUTE(B401," | ","")))/3+1)</x:f>
        <x:v>1</x:v>
      </x:c>
      <x:c r="D401" t="str">
        <x:v>c</x:v>
      </x:c>
      <x:c r="E401" t="str">
        <x:v>https://www.webonary.org/marubo/gb0bd655c-a31d-4eca-8b26-6531e46728ef/</x:v>
      </x:c>
      <x:c r="F401" t="str">
        <x:v>g3d4ceca3-b493-4a3e-9c19-a1fdea9e0581</x:v>
      </x:c>
      <x:c r="G401" s="20" t="n">
        <x:v>46003.93479946759</x:v>
      </x:c>
    </x:row>
    <x:row r="402">
      <x:c r="A402" s="18" t="str">
        <x:v>coandu</x:v>
      </x:c>
      <x:c r="B402" s="18" t="str">
        <x:v>isa</x:v>
      </x:c>
      <x:c r="C402" s="19" t="n">
        <x:f>IF(B402="",0,(LEN(B402)-LEN(SUBSTITUTE(B402," | ","")))/3+1)</x:f>
        <x:v>1</x:v>
      </x:c>
      <x:c r="D402" t="str">
        <x:v>c</x:v>
      </x:c>
      <x:c r="E402" t="str">
        <x:v>https://www.webonary.org/marubo/g0f9d1d86-bcc7-4069-86c9-3c7ffae4b30e/</x:v>
      </x:c>
      <x:c r="F402" t="str">
        <x:v>g9be99c90-0ea6-42e1-ad94-f7b5fa659793</x:v>
      </x:c>
      <x:c r="G402" s="20" t="n">
        <x:v>46003.93479946759</x:v>
      </x:c>
    </x:row>
    <x:row r="403">
      <x:c r="A403" s="18" t="str">
        <x:v>coati</x:v>
      </x:c>
      <x:c r="B403" s="18" t="str">
        <x:v>chichi | 1</x:v>
      </x:c>
      <x:c r="C403" s="19" t="n">
        <x:f>IF(B403="",0,(LEN(B403)-LEN(SUBSTITUTE(B403," | ","")))/3+1)</x:f>
        <x:v>2</x:v>
      </x:c>
      <x:c r="D403" t="str">
        <x:v>c</x:v>
      </x:c>
      <x:c r="E403" t="str">
        <x:v>https://www.webonary.org/marubo/g17ea03a8-4e08-4bd7-805c-b2c58b7e54ca/</x:v>
      </x:c>
      <x:c r="F403" t="str">
        <x:v>g31716020-f2ac-44be-8ad2-28a1d0b027b2</x:v>
      </x:c>
      <x:c r="G403" s="20" t="n">
        <x:v>46003.93479946759</x:v>
      </x:c>
    </x:row>
    <x:row r="404">
      <x:c r="A404" s="18" t="str">
        <x:v>cobiçar</x:v>
      </x:c>
      <x:c r="B404" s="18" t="str">
        <x:v>kẽv aká</x:v>
      </x:c>
      <x:c r="C404" s="19" t="n">
        <x:f>IF(B404="",0,(LEN(B404)-LEN(SUBSTITUTE(B404," | ","")))/3+1)</x:f>
        <x:v>1</x:v>
      </x:c>
      <x:c r="D404" t="str">
        <x:v>c</x:v>
      </x:c>
      <x:c r="E404" t="str">
        <x:v>https://www.webonary.org/marubo/g1f706521-e02a-4d5e-8549-ce360322cb0a/</x:v>
      </x:c>
      <x:c r="F404" t="str">
        <x:v>g4e6ed64f-474c-48af-a829-d19838e4eaa9</x:v>
      </x:c>
      <x:c r="G404" s="20" t="n">
        <x:v>46003.93479946759</x:v>
      </x:c>
    </x:row>
    <x:row r="405">
      <x:c r="A405" s="18" t="str">
        <x:v>cobio (fruta plantado)</x:v>
      </x:c>
      <x:c r="B405" s="18" t="str">
        <x:v>popó</x:v>
      </x:c>
      <x:c r="C405" s="19" t="n">
        <x:f>IF(B405="",0,(LEN(B405)-LEN(SUBSTITUTE(B405," | ","")))/3+1)</x:f>
        <x:v>1</x:v>
      </x:c>
      <x:c r="D405" t="str">
        <x:v>c</x:v>
      </x:c>
      <x:c r="E405" t="str">
        <x:v>https://www.webonary.org/marubo/g329d1e0f-4fdd-4f77-aab6-a341cc2a8173/</x:v>
      </x:c>
      <x:c r="F405" t="str">
        <x:v>g8e2934db-4087-468f-a96a-ac5d4eba87ce</x:v>
      </x:c>
      <x:c r="G405" s="20" t="n">
        <x:v>46003.93479946759</x:v>
      </x:c>
    </x:row>
    <x:row r="406">
      <x:c r="A406" s="18" t="str">
        <x:v>cobra</x:v>
      </x:c>
      <x:c r="B406" s="18" t="str">
        <x:v>txashoro | rono | ĩpá | mani rono</x:v>
      </x:c>
      <x:c r="C406" s="19" t="n">
        <x:f>IF(B406="",0,(LEN(B406)-LEN(SUBSTITUTE(B406," | ","")))/3+1)</x:f>
        <x:v>4</x:v>
      </x:c>
      <x:c r="D406" t="str">
        <x:v>c</x:v>
      </x:c>
      <x:c r="E406" t="str">
        <x:v>https://www.webonary.org/marubo/ge767f9a4-7230-432c-aabe-34dc61415fa2/</x:v>
      </x:c>
      <x:c r="F406" t="str">
        <x:v>g226091bd-2f21-4732-a3ef-47c37ef5d5ba</x:v>
      </x:c>
      <x:c r="G406" s="20" t="n">
        <x:v>46003.934806550926</x:v>
      </x:c>
    </x:row>
    <x:row r="407">
      <x:c r="A407" s="18" t="str">
        <x:v>cobra assassina (preta)</x:v>
      </x:c>
      <x:c r="B407" s="18" t="str">
        <x:v>yama rono</x:v>
      </x:c>
      <x:c r="C407" s="19" t="n">
        <x:f>IF(B407="",0,(LEN(B407)-LEN(SUBSTITUTE(B407," | ","")))/3+1)</x:f>
        <x:v>1</x:v>
      </x:c>
      <x:c r="D407" t="str">
        <x:v>c</x:v>
      </x:c>
      <x:c r="E407" t="str">
        <x:v>https://www.webonary.org/marubo/g08f0e4a4-2c46-4930-802c-e884bf42ca22/</x:v>
      </x:c>
      <x:c r="F407" t="str">
        <x:v>gbfd77c0d-0f3b-4869-983c-b9c0013d761a</x:v>
      </x:c>
      <x:c r="G407" s="20" t="n">
        <x:v>46003.934806550926</x:v>
      </x:c>
    </x:row>
    <x:row r="408">
      <x:c r="A408" s="18" t="str">
        <x:v>cobra coral</x:v>
      </x:c>
      <x:c r="B408" s="18" t="str">
        <x:v>shawã rono</x:v>
      </x:c>
      <x:c r="C408" s="19" t="n">
        <x:f>IF(B408="",0,(LEN(B408)-LEN(SUBSTITUTE(B408," | ","")))/3+1)</x:f>
        <x:v>1</x:v>
      </x:c>
      <x:c r="D408" t="str">
        <x:v>c</x:v>
      </x:c>
      <x:c r="E408" t="str">
        <x:v>https://www.webonary.org/marubo/gbd1858e0-9c5f-40ba-9587-1333e94fb334/</x:v>
      </x:c>
      <x:c r="F408" t="str">
        <x:v>g7200ec13-fcd2-471a-bde6-41c3468fa49b</x:v>
      </x:c>
      <x:c r="G408" s="20" t="n">
        <x:v>46003.934806550926</x:v>
      </x:c>
    </x:row>
    <x:row r="409">
      <x:c r="A409" s="18" t="str">
        <x:v>cobra da arvore</x:v>
      </x:c>
      <x:c r="B409" s="18" t="str">
        <x:v>kaya rono</x:v>
      </x:c>
      <x:c r="C409" s="19" t="n">
        <x:f>IF(B409="",0,(LEN(B409)-LEN(SUBSTITUTE(B409," | ","")))/3+1)</x:f>
        <x:v>1</x:v>
      </x:c>
      <x:c r="D409" t="str">
        <x:v>c</x:v>
      </x:c>
      <x:c r="E409" t="str">
        <x:v>https://www.webonary.org/marubo/g4d03cc6d-b8f1-4738-a21c-26355a96746a/</x:v>
      </x:c>
      <x:c r="F409" t="str">
        <x:v>ga569e76b-f263-4b4a-8112-d4756ef9b2c6</x:v>
      </x:c>
      <x:c r="G409" s="20" t="n">
        <x:v>46003.934806550926</x:v>
      </x:c>
    </x:row>
    <x:row r="410">
      <x:c r="A410" s="18" t="str">
        <x:v>cobrir</x:v>
      </x:c>
      <x:c r="B410" s="18" t="str">
        <x:v>rakoa | iwa</x:v>
      </x:c>
      <x:c r="C410" s="19" t="n">
        <x:f>IF(B410="",0,(LEN(B410)-LEN(SUBSTITUTE(B410," | ","")))/3+1)</x:f>
        <x:v>2</x:v>
      </x:c>
      <x:c r="D410" t="str">
        <x:v>c</x:v>
      </x:c>
      <x:c r="E410" t="str">
        <x:v>https://www.webonary.org/marubo/g97c85b17-13a2-44b0-af27-33db21704467/</x:v>
      </x:c>
      <x:c r="F410" t="str">
        <x:v>g86a54af5-be4b-41aa-b197-bb1ff7d1b9f9</x:v>
      </x:c>
      <x:c r="G410" s="20" t="n">
        <x:v>46003.934806550926</x:v>
      </x:c>
    </x:row>
    <x:row r="411">
      <x:c r="A411" s="18" t="str">
        <x:v>coçar</x:v>
      </x:c>
      <x:c r="B411" s="18" t="str">
        <x:v>torésh ikí | oá aká</x:v>
      </x:c>
      <x:c r="C411" s="19" t="n">
        <x:f>IF(B411="",0,(LEN(B411)-LEN(SUBSTITUTE(B411," | ","")))/3+1)</x:f>
        <x:v>2</x:v>
      </x:c>
      <x:c r="D411" t="str">
        <x:v>c</x:v>
      </x:c>
      <x:c r="E411" t="str">
        <x:v>https://www.webonary.org/marubo/ge90fc2aa-d7c5-4914-9d80-b93ffc5369d1/</x:v>
      </x:c>
      <x:c r="F411" t="str">
        <x:v>g3d751f13-0797-43a9-b336-2b678e59ccb8</x:v>
      </x:c>
      <x:c r="G411" s="20" t="n">
        <x:v>46003.934806550926</x:v>
      </x:c>
    </x:row>
    <x:row r="412">
      <x:c r="A412" s="18" t="str">
        <x:v>coçar o ouvido com cotonete (ou grama)</x:v>
      </x:c>
      <x:c r="B412" s="18" t="str">
        <x:v>paviróa</x:v>
      </x:c>
      <x:c r="C412" s="19" t="n">
        <x:f>IF(B412="",0,(LEN(B412)-LEN(SUBSTITUTE(B412," | ","")))/3+1)</x:f>
        <x:v>1</x:v>
      </x:c>
      <x:c r="D412" t="str">
        <x:v>c</x:v>
      </x:c>
      <x:c r="E412" t="str">
        <x:v>https://www.webonary.org/marubo/g48dadd12-7c6a-440d-b2e6-e4dcd9bae7cc/</x:v>
      </x:c>
      <x:c r="F412" t="str">
        <x:v>gee996d4b-500f-4854-be08-d17f035e1b24</x:v>
      </x:c>
      <x:c r="G412" s="20" t="n">
        <x:v>46003.934806550926</x:v>
      </x:c>
    </x:row>
    <x:row r="413">
      <x:c r="A413" s="18" t="str">
        <x:v>côco</x:v>
      </x:c>
      <x:c r="B413" s="18" t="str">
        <x:v>koko</x:v>
      </x:c>
      <x:c r="C413" s="19" t="n">
        <x:f>IF(B413="",0,(LEN(B413)-LEN(SUBSTITUTE(B413," | ","")))/3+1)</x:f>
        <x:v>1</x:v>
      </x:c>
      <x:c r="D413" t="str">
        <x:v>c</x:v>
      </x:c>
      <x:c r="E413" t="str">
        <x:v>https://www.webonary.org/marubo/g53b2cde1-2931-4ee7-a30c-f3d9c29b94a8/</x:v>
      </x:c>
      <x:c r="F413" t="str">
        <x:v>g045742ae-5309-4931-8a80-2ea856c81c34</x:v>
      </x:c>
      <x:c r="G413" s="20" t="n">
        <x:v>46003.934806550926</x:v>
      </x:c>
    </x:row>
    <x:row r="414">
      <x:c r="A414" s="18" t="str">
        <x:v>cogumelo</x:v>
      </x:c>
      <x:c r="B414" s="18" t="str">
        <x:v>kono</x:v>
      </x:c>
      <x:c r="C414" s="19" t="n">
        <x:f>IF(B414="",0,(LEN(B414)-LEN(SUBSTITUTE(B414," | ","")))/3+1)</x:f>
        <x:v>1</x:v>
      </x:c>
      <x:c r="D414" t="str">
        <x:v>c</x:v>
      </x:c>
      <x:c r="E414" t="str">
        <x:v>https://www.webonary.org/marubo/gee68fd83-6712-40de-8a37-e6db876c52dd/</x:v>
      </x:c>
      <x:c r="F414" t="str">
        <x:v>g4ba5a336-897f-4c97-9755-82ddd35f012d</x:v>
      </x:c>
      <x:c r="G414" s="20" t="n">
        <x:v>46003.934806550926</x:v>
      </x:c>
    </x:row>
    <x:row r="415">
      <x:c r="A415" s="18" t="str">
        <x:v>coisa</x:v>
      </x:c>
      <x:c r="B415" s="18" t="str">
        <x:v>tsoare</x:v>
      </x:c>
      <x:c r="C415" s="19" t="n">
        <x:f>IF(B415="",0,(LEN(B415)-LEN(SUBSTITUTE(B415," | ","")))/3+1)</x:f>
        <x:v>1</x:v>
      </x:c>
      <x:c r="D415" t="str">
        <x:v>c</x:v>
      </x:c>
      <x:c r="E415" t="str">
        <x:v>https://www.webonary.org/marubo/g077ac504-c166-44e5-84e5-338adb4b95ca/</x:v>
      </x:c>
      <x:c r="F415" t="str">
        <x:v>gad3c8542-367b-4d44-8173-91e799f45360</x:v>
      </x:c>
      <x:c r="G415" s="20" t="n">
        <x:v>46003.934806550926</x:v>
      </x:c>
    </x:row>
    <x:row r="416">
      <x:c r="A416" s="18" t="str">
        <x:v>coisas materias</x:v>
      </x:c>
      <x:c r="B416" s="18" t="str">
        <x:v>awe | 2</x:v>
      </x:c>
      <x:c r="C416" s="19" t="n">
        <x:f>IF(B416="",0,(LEN(B416)-LEN(SUBSTITUTE(B416," | ","")))/3+1)</x:f>
        <x:v>2</x:v>
      </x:c>
      <x:c r="D416" t="str">
        <x:v>c</x:v>
      </x:c>
      <x:c r="E416" t="str">
        <x:v>https://www.webonary.org/marubo/g8846aba5-4064-4171-a462-aa55025edd3e/</x:v>
      </x:c>
      <x:c r="F416" t="str">
        <x:v>g0de6a22f-29bd-434e-8174-50653580492a</x:v>
      </x:c>
      <x:c r="G416" s="20" t="n">
        <x:v>46003.934806550926</x:v>
      </x:c>
    </x:row>
    <x:row r="417">
      <x:c r="A417" s="18" t="str">
        <x:v>coisas passadas</x:v>
      </x:c>
      <x:c r="B417" s="18" t="str">
        <x:v>txipokiri</x:v>
      </x:c>
      <x:c r="C417" s="19" t="n">
        <x:f>IF(B417="",0,(LEN(B417)-LEN(SUBSTITUTE(B417," | ","")))/3+1)</x:f>
        <x:v>1</x:v>
      </x:c>
      <x:c r="D417" t="str">
        <x:v>c</x:v>
      </x:c>
      <x:c r="E417" t="str">
        <x:v>https://www.webonary.org/marubo/gf1f5eb58-c61d-48ec-b1a6-a05b229cf71d/</x:v>
      </x:c>
      <x:c r="F417" t="str">
        <x:v>g64623223-12fb-498c-879b-b22ab39ffc7e</x:v>
      </x:c>
      <x:c r="G417" s="20" t="n">
        <x:v>46003.934806550926</x:v>
      </x:c>
    </x:row>
    <x:row r="418">
      <x:c r="A418" s="18" t="str">
        <x:v>coisas redondas caindo</x:v>
      </x:c>
      <x:c r="B418" s="18" t="str">
        <x:v>reo kawã</x:v>
      </x:c>
      <x:c r="C418" s="19" t="n">
        <x:f>IF(B418="",0,(LEN(B418)-LEN(SUBSTITUTE(B418," | ","")))/3+1)</x:f>
        <x:v>1</x:v>
      </x:c>
      <x:c r="D418" t="str">
        <x:v>c</x:v>
      </x:c>
      <x:c r="E418" t="str">
        <x:v>https://www.webonary.org/marubo/ge6ca085e-8264-4abf-be23-dac2b5c2aba0/</x:v>
      </x:c>
      <x:c r="F418" t="str">
        <x:v>gc19d68cb-6fa5-457a-b127-5321092be6a4</x:v>
      </x:c>
      <x:c r="G418" s="20" t="n">
        <x:v>46003.934806550926</x:v>
      </x:c>
    </x:row>
    <x:row r="419">
      <x:c r="A419" s="18" t="str">
        <x:v>colar</x:v>
      </x:c>
      <x:c r="B419" s="18" t="str">
        <x:v>tewea | tsama</x:v>
      </x:c>
      <x:c r="C419" s="19" t="n">
        <x:f>IF(B419="",0,(LEN(B419)-LEN(SUBSTITUTE(B419," | ","")))/3+1)</x:f>
        <x:v>2</x:v>
      </x:c>
      <x:c r="D419" t="str">
        <x:v>c</x:v>
      </x:c>
      <x:c r="E419" t="str">
        <x:v>https://www.webonary.org/marubo/g7dfe6a56-1507-40be-95dd-349ee2e031a5/</x:v>
      </x:c>
      <x:c r="F419" t="str">
        <x:v>g306dd705-c760-46a4-b4d6-cbbdc59d5acb</x:v>
      </x:c>
      <x:c r="G419" s="20" t="n">
        <x:v>46003.934806550926</x:v>
      </x:c>
    </x:row>
    <x:row r="420">
      <x:c r="A420" s="18" t="str">
        <x:v>colher</x:v>
      </x:c>
      <x:c r="B420" s="18" t="str">
        <x:v>tsano | tova | 1 | mesha</x:v>
      </x:c>
      <x:c r="C420" s="19" t="n">
        <x:f>IF(B420="",0,(LEN(B420)-LEN(SUBSTITUTE(B420," | ","")))/3+1)</x:f>
        <x:v>4</x:v>
      </x:c>
      <x:c r="D420" t="str">
        <x:v>c</x:v>
      </x:c>
      <x:c r="E420" t="str">
        <x:v>https://www.webonary.org/marubo/ge1d9ad91-ae82-4eda-9d31-dfbb0a751e09/</x:v>
      </x:c>
      <x:c r="F420" t="str">
        <x:v>g0fbaaddf-c361-4dea-ba47-9af6c66d2c29</x:v>
      </x:c>
      <x:c r="G420" s="20" t="n">
        <x:v>46003.934806550926</x:v>
      </x:c>
    </x:row>
    <x:row r="421">
      <x:c r="A421" s="18" t="str">
        <x:v>colocado em cima do fogo</x:v>
      </x:c>
      <x:c r="B421" s="18" t="str">
        <x:v>txĩ pãĩ</x:v>
      </x:c>
      <x:c r="C421" s="19" t="n">
        <x:f>IF(B421="",0,(LEN(B421)-LEN(SUBSTITUTE(B421," | ","")))/3+1)</x:f>
        <x:v>1</x:v>
      </x:c>
      <x:c r="D421" t="str">
        <x:v>c</x:v>
      </x:c>
      <x:c r="E421" t="str">
        <x:v>https://www.webonary.org/marubo/g649ca9e3-8707-4ffb-855b-15ece506ee04/</x:v>
      </x:c>
      <x:c r="F421" t="str">
        <x:v>g2752864d-74c7-4e85-ab6b-69e891831c0b</x:v>
      </x:c>
      <x:c r="G421" s="20" t="n">
        <x:v>46003.934806550926</x:v>
      </x:c>
    </x:row>
    <x:row r="422">
      <x:c r="A422" s="18" t="str">
        <x:v>colocar</x:v>
      </x:c>
      <x:c r="B422" s="18" t="str">
        <x:v>rakáa | rakã</x:v>
      </x:c>
      <x:c r="C422" s="19" t="n">
        <x:f>IF(B422="",0,(LEN(B422)-LEN(SUBSTITUTE(B422," | ","")))/3+1)</x:f>
        <x:v>2</x:v>
      </x:c>
      <x:c r="D422" t="str">
        <x:v>c</x:v>
      </x:c>
      <x:c r="E422" t="str">
        <x:v>https://www.webonary.org/marubo/g35859404-b185-4a30-a236-9944763f6216/</x:v>
      </x:c>
      <x:c r="F422" t="str">
        <x:v>g14654f03-39e8-4dad-883c-495b14d9e66d</x:v>
      </x:c>
      <x:c r="G422" s="20" t="n">
        <x:v>46003.934806550926</x:v>
      </x:c>
    </x:row>
    <x:row r="423">
      <x:c r="A423" s="18" t="str">
        <x:v>colocar água no ouvido</x:v>
      </x:c>
      <x:c r="B423" s="18" t="str">
        <x:v>pakósha</x:v>
      </x:c>
      <x:c r="C423" s="19" t="n">
        <x:f>IF(B423="",0,(LEN(B423)-LEN(SUBSTITUTE(B423," | ","")))/3+1)</x:f>
        <x:v>1</x:v>
      </x:c>
      <x:c r="D423" t="str">
        <x:v>c</x:v>
      </x:c>
      <x:c r="E423" t="str">
        <x:v>https://www.webonary.org/marubo/g8b860c73-8e36-4630-b57e-d7fc47b81f61/</x:v>
      </x:c>
      <x:c r="F423" t="str">
        <x:v>g570dae0f-dcdd-4e91-a871-d70f8360146a</x:v>
      </x:c>
      <x:c r="G423" s="20" t="n">
        <x:v>46003.934806550926</x:v>
      </x:c>
    </x:row>
    <x:row r="424">
      <x:c r="A424" s="18" t="str">
        <x:v>colocar dentro</x:v>
      </x:c>
      <x:c r="B424" s="18" t="str">
        <x:v>nane | 2</x:v>
      </x:c>
      <x:c r="C424" s="19" t="n">
        <x:f>IF(B424="",0,(LEN(B424)-LEN(SUBSTITUTE(B424," | ","")))/3+1)</x:f>
        <x:v>2</x:v>
      </x:c>
      <x:c r="D424" t="str">
        <x:v>c</x:v>
      </x:c>
      <x:c r="E424" t="str">
        <x:v>https://www.webonary.org/marubo/gee1fb549-adbd-4672-a0c7-3df52ec67afe/</x:v>
      </x:c>
      <x:c r="F424" t="str">
        <x:v>g19281fa4-120a-45f1-97c4-e633d9e42f66</x:v>
      </x:c>
      <x:c r="G424" s="20" t="n">
        <x:v>46003.934806550926</x:v>
      </x:c>
    </x:row>
    <x:row r="425">
      <x:c r="A425" s="18" t="str">
        <x:v>colocar em cima</x:v>
      </x:c>
      <x:c r="B425" s="18" t="str">
        <x:v>natxor ikí</x:v>
      </x:c>
      <x:c r="C425" s="19" t="n">
        <x:f>IF(B425="",0,(LEN(B425)-LEN(SUBSTITUTE(B425," | ","")))/3+1)</x:f>
        <x:v>1</x:v>
      </x:c>
      <x:c r="D425" t="str">
        <x:v>c</x:v>
      </x:c>
      <x:c r="E425" t="str">
        <x:v>https://www.webonary.org/marubo/gc86e79c0-9043-488c-aec7-cf03cc134d62/</x:v>
      </x:c>
      <x:c r="F425" t="str">
        <x:v>g61f19509-b33e-437f-94dc-c3462197e83b</x:v>
      </x:c>
      <x:c r="G425" s="20" t="n">
        <x:v>46003.934806550926</x:v>
      </x:c>
    </x:row>
    <x:row r="426">
      <x:c r="A426" s="18" t="str">
        <x:v>colocar em fila</x:v>
      </x:c>
      <x:c r="B426" s="18" t="str">
        <x:v>veká</x:v>
      </x:c>
      <x:c r="C426" s="19" t="n">
        <x:f>IF(B426="",0,(LEN(B426)-LEN(SUBSTITUTE(B426," | ","")))/3+1)</x:f>
        <x:v>1</x:v>
      </x:c>
      <x:c r="D426" t="str">
        <x:v>c</x:v>
      </x:c>
      <x:c r="E426" t="str">
        <x:v>https://www.webonary.org/marubo/g4dcf7ccd-337b-4abb-b28a-9bb2dc75f0b3/</x:v>
      </x:c>
      <x:c r="F426" t="str">
        <x:v>gf9dafac1-8612-4caa-a292-e37b807bd464</x:v>
      </x:c>
      <x:c r="G426" s="20" t="n">
        <x:v>46003.934806550926</x:v>
      </x:c>
    </x:row>
    <x:row r="427">
      <x:c r="A427" s="18" t="str">
        <x:v>colocar na cabeça</x:v>
      </x:c>
      <x:c r="B427" s="18" t="str">
        <x:v>matsek ipá</x:v>
      </x:c>
      <x:c r="C427" s="19" t="n">
        <x:f>IF(B427="",0,(LEN(B427)-LEN(SUBSTITUTE(B427," | ","")))/3+1)</x:f>
        <x:v>1</x:v>
      </x:c>
      <x:c r="D427" t="str">
        <x:v>c</x:v>
      </x:c>
      <x:c r="E427" t="str">
        <x:v>https://www.webonary.org/marubo/g8ce3fbe9-19db-4336-a646-9a873d6d5f5c/</x:v>
      </x:c>
      <x:c r="F427" t="str">
        <x:v>ge452f28c-e704-4f74-b314-66b6235776ae</x:v>
      </x:c>
      <x:c r="G427" s="20" t="n">
        <x:v>46003.934806550926</x:v>
      </x:c>
    </x:row>
    <x:row r="428">
      <x:c r="A428" s="18" t="str">
        <x:v>colocar na sombra</x:v>
      </x:c>
      <x:c r="B428" s="18" t="str">
        <x:v>pãtea</x:v>
      </x:c>
      <x:c r="C428" s="19" t="n">
        <x:f>IF(B428="",0,(LEN(B428)-LEN(SUBSTITUTE(B428," | ","")))/3+1)</x:f>
        <x:v>1</x:v>
      </x:c>
      <x:c r="D428" t="str">
        <x:v>c</x:v>
      </x:c>
      <x:c r="E428" t="str">
        <x:v>https://www.webonary.org/marubo/gf8d92dc0-39f8-443d-9a19-eb7a29c4db80/</x:v>
      </x:c>
      <x:c r="F428" t="str">
        <x:v>g6a1bdca4-7a97-4403-9fac-945538125337</x:v>
      </x:c>
      <x:c r="G428" s="20" t="n">
        <x:v>46003.934806550926</x:v>
      </x:c>
    </x:row>
    <x:row r="429">
      <x:c r="A429" s="18" t="str">
        <x:v>colocar no chão</x:v>
      </x:c>
      <x:c r="B429" s="18" t="str">
        <x:v>toã aká</x:v>
      </x:c>
      <x:c r="C429" s="19" t="n">
        <x:f>IF(B429="",0,(LEN(B429)-LEN(SUBSTITUTE(B429," | ","")))/3+1)</x:f>
        <x:v>1</x:v>
      </x:c>
      <x:c r="D429" t="str">
        <x:v>c</x:v>
      </x:c>
      <x:c r="E429" t="str">
        <x:v>https://www.webonary.org/marubo/g186fad76-5740-4d9f-afcb-984f54a4721b/</x:v>
      </x:c>
      <x:c r="F429" t="str">
        <x:v>g8f758b09-c341-4320-bdc5-6d0d0ba9e240</x:v>
      </x:c>
      <x:c r="G429" s="20" t="n">
        <x:v>46003.934806550926</x:v>
      </x:c>
    </x:row>
    <x:row r="430">
      <x:c r="A430" s="18" t="str">
        <x:v>colocar no fogo</x:v>
      </x:c>
      <x:c r="B430" s="18" t="str">
        <x:v>paĩa</x:v>
      </x:c>
      <x:c r="C430" s="19" t="n">
        <x:f>IF(B430="",0,(LEN(B430)-LEN(SUBSTITUTE(B430," | ","")))/3+1)</x:f>
        <x:v>1</x:v>
      </x:c>
      <x:c r="D430" t="str">
        <x:v>c</x:v>
      </x:c>
      <x:c r="E430" t="str">
        <x:v>https://www.webonary.org/marubo/gcb8935d0-8d3a-4f76-b60d-62cc92e4892c/</x:v>
      </x:c>
      <x:c r="F430" t="str">
        <x:v>g6258ebc2-0c6a-40d4-aee0-e9579c9a1d94</x:v>
      </x:c>
      <x:c r="G430" s="20" t="n">
        <x:v>46003.934806550926</x:v>
      </x:c>
    </x:row>
    <x:row r="431">
      <x:c r="A431" s="18" t="str">
        <x:v>coluna</x:v>
      </x:c>
      <x:c r="B431" s="18" t="str">
        <x:v>kasho shao</x:v>
      </x:c>
      <x:c r="C431" s="19" t="n">
        <x:f>IF(B431="",0,(LEN(B431)-LEN(SUBSTITUTE(B431," | ","")))/3+1)</x:f>
        <x:v>1</x:v>
      </x:c>
      <x:c r="D431" t="str">
        <x:v>c</x:v>
      </x:c>
      <x:c r="E431" t="str">
        <x:v>https://www.webonary.org/marubo/ge83cebc0-bfd1-46fe-ada3-1c6c10feae63/</x:v>
      </x:c>
      <x:c r="F431" t="str">
        <x:v>g552b8630-89c4-4be2-9abc-e6b39a5d6de8</x:v>
      </x:c>
      <x:c r="G431" s="20" t="n">
        <x:v>46003.934806550926</x:v>
      </x:c>
    </x:row>
    <x:row r="432">
      <x:c r="A432" s="18" t="str">
        <x:v>COM</x:v>
      </x:c>
      <x:c r="B432" s="18" t="str">
        <x:v>-vé | -nĩ</x:v>
      </x:c>
      <x:c r="C432" s="19" t="n">
        <x:f>IF(B432="",0,(LEN(B432)-LEN(SUBSTITUTE(B432," | ","")))/3+1)</x:f>
        <x:v>2</x:v>
      </x:c>
      <x:c r="D432" t="str">
        <x:v>c</x:v>
      </x:c>
      <x:c r="E432" t="str">
        <x:v>https://www.webonary.org/marubo/gda4de24f-4b9c-47a2-9be7-34e6cc7c7e3f/</x:v>
      </x:c>
      <x:c r="F432" t="str">
        <x:v>g20c08f8d-bcc9-4978-b7f6-c4fa82e4956c</x:v>
      </x:c>
      <x:c r="G432" s="20" t="n">
        <x:v>46003.934806550926</x:v>
      </x:c>
    </x:row>
    <x:row r="433">
      <x:c r="A433" s="18" t="str">
        <x:v>com fome</x:v>
      </x:c>
      <x:c r="B433" s="18" t="str">
        <x:v>shopĩa</x:v>
      </x:c>
      <x:c r="C433" s="19" t="n">
        <x:f>IF(B433="",0,(LEN(B433)-LEN(SUBSTITUTE(B433," | ","")))/3+1)</x:f>
        <x:v>1</x:v>
      </x:c>
      <x:c r="D433" t="str">
        <x:v>c</x:v>
      </x:c>
      <x:c r="E433" t="str">
        <x:v>https://www.webonary.org/marubo/gd014be42-141a-4d4a-b083-023382b64495/</x:v>
      </x:c>
      <x:c r="F433" t="str">
        <x:v>gc9faf432-f12e-494b-9d60-508c542a8f9e</x:v>
      </x:c>
      <x:c r="G433" s="20" t="n">
        <x:v>46003.934806550926</x:v>
      </x:c>
    </x:row>
    <x:row r="434">
      <x:c r="A434" s="18" t="str">
        <x:v>com pressa</x:v>
      </x:c>
      <x:c r="B434" s="18" t="str">
        <x:v>wená</x:v>
      </x:c>
      <x:c r="C434" s="19" t="n">
        <x:f>IF(B434="",0,(LEN(B434)-LEN(SUBSTITUTE(B434," | ","")))/3+1)</x:f>
        <x:v>1</x:v>
      </x:c>
      <x:c r="D434" t="str">
        <x:v>c</x:v>
      </x:c>
      <x:c r="E434" t="str">
        <x:v>https://www.webonary.org/marubo/g9cbedcc3-5a0a-4c4d-86da-8e32ebf40a23/</x:v>
      </x:c>
      <x:c r="F434" t="str">
        <x:v>g0b71bbff-c4a0-4902-b71f-603f33563588</x:v>
      </x:c>
      <x:c r="G434" s="20" t="n">
        <x:v>46003.934806550926</x:v>
      </x:c>
    </x:row>
    <x:row r="435">
      <x:c r="A435" s="18" t="str">
        <x:v>começando a amadurecer</x:v>
      </x:c>
      <x:c r="B435" s="18" t="str">
        <x:v>vetone</x:v>
      </x:c>
      <x:c r="C435" s="19" t="n">
        <x:f>IF(B435="",0,(LEN(B435)-LEN(SUBSTITUTE(B435," | ","")))/3+1)</x:f>
        <x:v>1</x:v>
      </x:c>
      <x:c r="D435" t="str">
        <x:v>c</x:v>
      </x:c>
      <x:c r="E435" t="str">
        <x:v>https://www.webonary.org/marubo/g6d2e6786-1d6b-4a16-a8ac-3c55e0a9f848/</x:v>
      </x:c>
      <x:c r="F435" t="str">
        <x:v>gc25a4b7b-0205-46dc-a8d3-7e70ea3189dd</x:v>
      </x:c>
      <x:c r="G435" s="20" t="n">
        <x:v>46003.934806550926</x:v>
      </x:c>
    </x:row>
    <x:row r="436">
      <x:c r="A436" s="18" t="str">
        <x:v>começar</x:v>
      </x:c>
      <x:c r="B436" s="18" t="str">
        <x:v>txitá | 2</x:v>
      </x:c>
      <x:c r="C436" s="19" t="n">
        <x:f>IF(B436="",0,(LEN(B436)-LEN(SUBSTITUTE(B436," | ","")))/3+1)</x:f>
        <x:v>2</x:v>
      </x:c>
      <x:c r="D436" t="str">
        <x:v>c</x:v>
      </x:c>
      <x:c r="E436" t="str">
        <x:v>https://www.webonary.org/marubo/g4ffd00a3-1d34-4d52-95e3-f4a556c63622/</x:v>
      </x:c>
      <x:c r="F436" t="str">
        <x:v>g71bc8a06-5993-4dd4-a495-f32be9ad7229</x:v>
      </x:c>
      <x:c r="G436" s="20" t="n">
        <x:v>46003.934806550926</x:v>
      </x:c>
    </x:row>
    <x:row r="437">
      <x:c r="A437" s="18" t="str">
        <x:v>começar corte numa árvore</x:v>
      </x:c>
      <x:c r="B437" s="18" t="str">
        <x:v>nawea</x:v>
      </x:c>
      <x:c r="C437" s="19" t="n">
        <x:f>IF(B437="",0,(LEN(B437)-LEN(SUBSTITUTE(B437," | ","")))/3+1)</x:f>
        <x:v>1</x:v>
      </x:c>
      <x:c r="D437" t="str">
        <x:v>c</x:v>
      </x:c>
      <x:c r="E437" t="str">
        <x:v>https://www.webonary.org/marubo/g39e7022d-5f51-49b2-8c6c-7e5f9e0f0de1/</x:v>
      </x:c>
      <x:c r="F437" t="str">
        <x:v>g16f98de5-9680-4ce0-a94e-751c053acd49</x:v>
      </x:c>
      <x:c r="G437" s="20" t="n">
        <x:v>46003.934806550926</x:v>
      </x:c>
    </x:row>
    <x:row r="438">
      <x:c r="A438" s="18" t="str">
        <x:v>começo</x:v>
      </x:c>
      <x:c r="B438" s="18" t="str">
        <x:v>wenía</x:v>
      </x:c>
      <x:c r="C438" s="19" t="n">
        <x:f>IF(B438="",0,(LEN(B438)-LEN(SUBSTITUTE(B438," | ","")))/3+1)</x:f>
        <x:v>1</x:v>
      </x:c>
      <x:c r="D438" t="str">
        <x:v>c</x:v>
      </x:c>
      <x:c r="E438" t="str">
        <x:v>https://www.webonary.org/marubo/g84340709-a88c-4b57-ba0a-ad5c83b0cc9e/</x:v>
      </x:c>
      <x:c r="F438" t="str">
        <x:v>ged62821b-e527-4d7e-94aa-4cfc2d7e52f6</x:v>
      </x:c>
      <x:c r="G438" s="20" t="n">
        <x:v>46003.934806550926</x:v>
      </x:c>
    </x:row>
    <x:row r="439">
      <x:c r="A439" s="18" t="str">
        <x:v>começo de fervura</x:v>
      </x:c>
      <x:c r="B439" s="18" t="str">
        <x:v>chee iná</x:v>
      </x:c>
      <x:c r="C439" s="19" t="n">
        <x:f>IF(B439="",0,(LEN(B439)-LEN(SUBSTITUTE(B439," | ","")))/3+1)</x:f>
        <x:v>1</x:v>
      </x:c>
      <x:c r="D439" t="str">
        <x:v>c</x:v>
      </x:c>
      <x:c r="E439" t="str">
        <x:v>https://www.webonary.org/marubo/gc19d87cc-269a-4fc9-b172-bc61686f21c8/</x:v>
      </x:c>
      <x:c r="F439" t="str">
        <x:v>gb516a81a-eef3-497c-affa-6502217a8b2f</x:v>
      </x:c>
      <x:c r="G439" s="20" t="n">
        <x:v>46003.934806550926</x:v>
      </x:c>
    </x:row>
    <x:row r="440">
      <x:c r="A440" s="18" t="str">
        <x:v>comer</x:v>
      </x:c>
      <x:c r="B440" s="18" t="str">
        <x:v>piá | 1</x:v>
      </x:c>
      <x:c r="C440" s="19" t="n">
        <x:f>IF(B440="",0,(LEN(B440)-LEN(SUBSTITUTE(B440," | ","")))/3+1)</x:f>
        <x:v>2</x:v>
      </x:c>
      <x:c r="D440" t="str">
        <x:v>c</x:v>
      </x:c>
      <x:c r="E440" t="str">
        <x:v>https://www.webonary.org/marubo/gbbef4ab4-b112-4393-98eb-0b2376219873/</x:v>
      </x:c>
      <x:c r="F440" t="str">
        <x:v>gb271813d-5492-42ed-b353-2ad98b74cc0e</x:v>
      </x:c>
      <x:c r="G440" s="20" t="n">
        <x:v>46003.934806550926</x:v>
      </x:c>
    </x:row>
    <x:row r="441">
      <x:c r="A441" s="18" t="str">
        <x:v>comer com a mão</x:v>
      </x:c>
      <x:c r="B441" s="18" t="str">
        <x:v>aspe aká</x:v>
      </x:c>
      <x:c r="C441" s="19" t="n">
        <x:f>IF(B441="",0,(LEN(B441)-LEN(SUBSTITUTE(B441," | ","")))/3+1)</x:f>
        <x:v>1</x:v>
      </x:c>
      <x:c r="D441" t="str">
        <x:v>c</x:v>
      </x:c>
      <x:c r="E441" t="str">
        <x:v>https://www.webonary.org/marubo/g3ac38df9-3902-46d8-a8dc-2a172604bd94/</x:v>
      </x:c>
      <x:c r="F441" t="str">
        <x:v>ga3a337d2-a6d9-40e2-b535-2f5da7a5fe64</x:v>
      </x:c>
      <x:c r="G441" s="20" t="n">
        <x:v>46003.934806550926</x:v>
      </x:c>
    </x:row>
    <x:row r="442">
      <x:c r="A442" s="18" t="str">
        <x:v>comer toda comida</x:v>
      </x:c>
      <x:c r="B442" s="18" t="str">
        <x:v>mashkã</x:v>
      </x:c>
      <x:c r="C442" s="19" t="n">
        <x:f>IF(B442="",0,(LEN(B442)-LEN(SUBSTITUTE(B442," | ","")))/3+1)</x:f>
        <x:v>1</x:v>
      </x:c>
      <x:c r="D442" t="str">
        <x:v>c</x:v>
      </x:c>
      <x:c r="E442" t="str">
        <x:v>https://www.webonary.org/marubo/g49794d98-9eb0-4150-8d7d-d2531732633a/</x:v>
      </x:c>
      <x:c r="F442" t="str">
        <x:v>g39464905-4daa-4d2d-b786-bb066bc06cf1</x:v>
      </x:c>
      <x:c r="G442" s="20" t="n">
        <x:v>46003.934806550926</x:v>
      </x:c>
    </x:row>
    <x:row r="443">
      <x:c r="A443" s="18" t="str">
        <x:v>comeu</x:v>
      </x:c>
      <x:c r="B443" s="18" t="str">
        <x:v>mĩ aka</x:v>
      </x:c>
      <x:c r="C443" s="19" t="n">
        <x:f>IF(B443="",0,(LEN(B443)-LEN(SUBSTITUTE(B443," | ","")))/3+1)</x:f>
        <x:v>1</x:v>
      </x:c>
      <x:c r="D443" t="str">
        <x:v>c</x:v>
      </x:c>
      <x:c r="E443" t="str">
        <x:v>https://www.webonary.org/marubo/g6ac75dd4-b0c4-47f1-bc22-df7e701f46d6/</x:v>
      </x:c>
      <x:c r="F443" t="str">
        <x:v>gf1e6e5d8-7ea1-438e-bddb-0e6a2f2f654b</x:v>
      </x:c>
      <x:c r="G443" s="20" t="n">
        <x:v>46003.934806550926</x:v>
      </x:c>
    </x:row>
    <x:row r="444">
      <x:c r="A444" s="18" t="str">
        <x:v>comida</x:v>
      </x:c>
      <x:c r="B444" s="18" t="str">
        <x:v>piti | 1 | piá | 2</x:v>
      </x:c>
      <x:c r="C444" s="19" t="n">
        <x:f>IF(B444="",0,(LEN(B444)-LEN(SUBSTITUTE(B444," | ","")))/3+1)</x:f>
        <x:v>4</x:v>
      </x:c>
      <x:c r="D444" t="str">
        <x:v>c</x:v>
      </x:c>
      <x:c r="E444" t="str">
        <x:v>https://www.webonary.org/marubo/gc05bcf84-0657-40c2-bc36-4dad1c6ae965/</x:v>
      </x:c>
      <x:c r="F444" t="str">
        <x:v>gf1bfb112-4f86-4f90-83ac-30e9968c2956</x:v>
      </x:c>
      <x:c r="G444" s="20" t="n">
        <x:v>46003.934806550926</x:v>
      </x:c>
    </x:row>
    <x:row r="445">
      <x:c r="A445" s="18" t="str">
        <x:v>comida dura</x:v>
      </x:c>
      <x:c r="B445" s="18" t="str">
        <x:v>cheoka</x:v>
      </x:c>
      <x:c r="C445" s="19" t="n">
        <x:f>IF(B445="",0,(LEN(B445)-LEN(SUBSTITUTE(B445," | ","")))/3+1)</x:f>
        <x:v>1</x:v>
      </x:c>
      <x:c r="D445" t="str">
        <x:v>c</x:v>
      </x:c>
      <x:c r="E445" t="str">
        <x:v>https://www.webonary.org/marubo/g816a602d-d0d0-4732-9bc4-278eda7aa11c/</x:v>
      </x:c>
      <x:c r="F445" t="str">
        <x:v>g2598f09d-5a8f-41c1-9d48-f8361210c719</x:v>
      </x:c>
      <x:c r="G445" s="20" t="n">
        <x:v>46003.934806550926</x:v>
      </x:c>
    </x:row>
    <x:row r="446">
      <x:c r="A446" s="18" t="str">
        <x:v>como</x:v>
      </x:c>
      <x:c r="B446" s="18" t="str">
        <x:v>aweshõ</x:v>
      </x:c>
      <x:c r="C446" s="19" t="n">
        <x:f>IF(B446="",0,(LEN(B446)-LEN(SUBSTITUTE(B446," | ","")))/3+1)</x:f>
        <x:v>1</x:v>
      </x:c>
      <x:c r="D446" t="str">
        <x:v>c</x:v>
      </x:c>
      <x:c r="E446" t="str">
        <x:v>https://www.webonary.org/marubo/g6cd43d64-f8b4-4552-a0fa-2ea3496d195a/</x:v>
      </x:c>
      <x:c r="F446" t="str">
        <x:v>gfcf04219-36ee-4aaf-8117-2413f3a84711</x:v>
      </x:c>
      <x:c r="G446" s="20" t="n">
        <x:v>46003.934806550926</x:v>
      </x:c>
    </x:row>
    <x:row r="447">
      <x:c r="A447" s="18" t="str">
        <x:v>COMP</x:v>
      </x:c>
      <x:c r="B447" s="18" t="str">
        <x:v>-ké | -ke</x:v>
      </x:c>
      <x:c r="C447" s="19" t="n">
        <x:f>IF(B447="",0,(LEN(B447)-LEN(SUBSTITUTE(B447," | ","")))/3+1)</x:f>
        <x:v>2</x:v>
      </x:c>
      <x:c r="D447" t="str">
        <x:v>c</x:v>
      </x:c>
      <x:c r="E447" t="str">
        <x:v>https://www.webonary.org/marubo/g210910e1-67c9-4914-b7a9-1466b7f3e130/</x:v>
      </x:c>
      <x:c r="F447" t="str">
        <x:v>g842a38f1-503f-47f6-9b6e-6ee585d31023</x:v>
      </x:c>
      <x:c r="G447" s="20" t="n">
        <x:v>46003.934806550926</x:v>
      </x:c>
    </x:row>
    <x:row r="448">
      <x:c r="A448" s="18" t="str">
        <x:v>concertar</x:v>
      </x:c>
      <x:c r="B448" s="18" t="str">
        <x:v>roa aká</x:v>
      </x:c>
      <x:c r="C448" s="19" t="n">
        <x:f>IF(B448="",0,(LEN(B448)-LEN(SUBSTITUTE(B448," | ","")))/3+1)</x:f>
        <x:v>1</x:v>
      </x:c>
      <x:c r="D448" t="str">
        <x:v>c</x:v>
      </x:c>
      <x:c r="E448" t="str">
        <x:v>https://www.webonary.org/marubo/gaa17b017-43d8-496a-a6fb-4a0316a2a611/</x:v>
      </x:c>
      <x:c r="F448" t="str">
        <x:v>g51308e0f-d510-4815-a40c-af111aeae8af</x:v>
      </x:c>
      <x:c r="G448" s="20" t="n">
        <x:v>46003.934806550926</x:v>
      </x:c>
    </x:row>
    <x:row r="449">
      <x:c r="A449" s="18" t="str">
        <x:v>concordar</x:v>
      </x:c>
      <x:c r="B449" s="18" t="str">
        <x:v>aví ikí</x:v>
      </x:c>
      <x:c r="C449" s="19" t="n">
        <x:f>IF(B449="",0,(LEN(B449)-LEN(SUBSTITUTE(B449," | ","")))/3+1)</x:f>
        <x:v>1</x:v>
      </x:c>
      <x:c r="D449" t="str">
        <x:v>c</x:v>
      </x:c>
      <x:c r="E449" t="str">
        <x:v>https://www.webonary.org/marubo/ge81b44e4-2fc3-4c87-91f9-d5ca58fa0593/</x:v>
      </x:c>
      <x:c r="F449" t="str">
        <x:v>g6dd4fcb3-991e-4e86-b8e8-862253bcb076</x:v>
      </x:c>
      <x:c r="G449" s="20" t="n">
        <x:v>46003.934806550926</x:v>
      </x:c>
    </x:row>
    <x:row r="450">
      <x:c r="A450" s="18" t="str">
        <x:v>COND</x:v>
      </x:c>
      <x:c r="B450" s="18" t="str">
        <x:v>-ro</x:v>
      </x:c>
      <x:c r="C450" s="19" t="n">
        <x:f>IF(B450="",0,(LEN(B450)-LEN(SUBSTITUTE(B450," | ","")))/3+1)</x:f>
        <x:v>1</x:v>
      </x:c>
      <x:c r="D450" t="str">
        <x:v>c</x:v>
      </x:c>
      <x:c r="E450" t="str">
        <x:v>https://www.webonary.org/marubo/gdbaf82d2-eb41-41f6-b36d-bec36eb064db/</x:v>
      </x:c>
      <x:c r="F450" t="str">
        <x:v>g5675d954-5ae1-4be9-aea2-ba3e4d4542e0</x:v>
      </x:c>
      <x:c r="G450" s="20" t="n">
        <x:v>46003.934806550926</x:v>
      </x:c>
    </x:row>
    <x:row r="451">
      <x:c r="A451" s="18" t="str">
        <x:v>confiar</x:v>
      </x:c>
      <x:c r="B451" s="18" t="str">
        <x:v>txipoa | anõ aká</x:v>
      </x:c>
      <x:c r="C451" s="19" t="n">
        <x:f>IF(B451="",0,(LEN(B451)-LEN(SUBSTITUTE(B451," | ","")))/3+1)</x:f>
        <x:v>2</x:v>
      </x:c>
      <x:c r="D451" t="str">
        <x:v>c</x:v>
      </x:c>
      <x:c r="E451" t="str">
        <x:v>https://www.webonary.org/marubo/g655cb6e1-1f95-4d33-a34f-0b65eff0b788/</x:v>
      </x:c>
      <x:c r="F451" t="str">
        <x:v>g4bb109b9-a7b7-47de-b8f9-e653b2dc9503</x:v>
      </x:c>
      <x:c r="G451" s="20" t="n">
        <x:v>46003.934806550926</x:v>
      </x:c>
    </x:row>
    <x:row r="452">
      <x:c r="A452" s="18" t="str">
        <x:v>conhecer</x:v>
      </x:c>
      <x:c r="B452" s="18" t="str">
        <x:v>tana</x:v>
      </x:c>
      <x:c r="C452" s="19" t="n">
        <x:f>IF(B452="",0,(LEN(B452)-LEN(SUBSTITUTE(B452," | ","")))/3+1)</x:f>
        <x:v>1</x:v>
      </x:c>
      <x:c r="D452" t="str">
        <x:v>c</x:v>
      </x:c>
      <x:c r="E452" t="str">
        <x:v>https://www.webonary.org/marubo/gd58de8bb-7a9a-46ab-9e31-195ce607a43c/</x:v>
      </x:c>
      <x:c r="F452" t="str">
        <x:v>g948caf11-83d0-42b4-bb79-2343c04b97ec</x:v>
      </x:c>
      <x:c r="G452" s="20" t="n">
        <x:v>46003.934806550926</x:v>
      </x:c>
    </x:row>
    <x:row r="453">
      <x:c r="A453" s="18" t="str">
        <x:v>conhecimento</x:v>
      </x:c>
      <x:c r="B453" s="18" t="str">
        <x:v>yosí</x:v>
      </x:c>
      <x:c r="C453" s="19" t="n">
        <x:f>IF(B453="",0,(LEN(B453)-LEN(SUBSTITUTE(B453," | ","")))/3+1)</x:f>
        <x:v>1</x:v>
      </x:c>
      <x:c r="D453" t="str">
        <x:v>c</x:v>
      </x:c>
      <x:c r="E453" t="str">
        <x:v>https://www.webonary.org/marubo/g51fa4a29-ce72-47ef-8cc0-af9081ba6082/</x:v>
      </x:c>
      <x:c r="F453" t="str">
        <x:v>g85399eac-dd17-4522-aacc-85944ae1adfe</x:v>
      </x:c>
      <x:c r="G453" s="20" t="n">
        <x:v>46003.934806550926</x:v>
      </x:c>
    </x:row>
    <x:row r="454">
      <x:c r="A454" s="18" t="str">
        <x:v>conjunto de paus para tecer saia de algodão</x:v>
      </x:c>
      <x:c r="B454" s="18" t="str">
        <x:v>txiati</x:v>
      </x:c>
      <x:c r="C454" s="19" t="n">
        <x:f>IF(B454="",0,(LEN(B454)-LEN(SUBSTITUTE(B454," | ","")))/3+1)</x:f>
        <x:v>1</x:v>
      </x:c>
      <x:c r="D454" t="str">
        <x:v>c</x:v>
      </x:c>
      <x:c r="E454" t="str">
        <x:v>https://www.webonary.org/marubo/g6b990e40-2ad5-4116-9167-a6803df6d1e9/</x:v>
      </x:c>
      <x:c r="F454" t="str">
        <x:v>g69009ce7-1059-484d-92b6-484222764163</x:v>
      </x:c>
      <x:c r="G454" s="20" t="n">
        <x:v>46003.934806550926</x:v>
      </x:c>
    </x:row>
    <x:row r="455">
      <x:c r="A455" s="18" t="str">
        <x:v>conjunto para fazer cinto</x:v>
      </x:c>
      <x:c r="B455" s="18" t="str">
        <x:v>txiwíti ati</x:v>
      </x:c>
      <x:c r="C455" s="19" t="n">
        <x:f>IF(B455="",0,(LEN(B455)-LEN(SUBSTITUTE(B455," | ","")))/3+1)</x:f>
        <x:v>1</x:v>
      </x:c>
      <x:c r="D455" t="str">
        <x:v>c</x:v>
      </x:c>
      <x:c r="E455" t="str">
        <x:v>https://www.webonary.org/marubo/g25365ad4-71a3-4e03-99a8-2002522d41aa/</x:v>
      </x:c>
      <x:c r="F455" t="str">
        <x:v>g1bbddf12-6368-4e85-b03d-d0e357b2fdc8</x:v>
      </x:c>
      <x:c r="G455" s="20" t="n">
        <x:v>46003.934806550926</x:v>
      </x:c>
    </x:row>
    <x:row r="456">
      <x:c r="A456" s="18" t="str">
        <x:v>consertar goteira na palha</x:v>
      </x:c>
      <x:c r="B456" s="18" t="str">
        <x:v>peoa</x:v>
      </x:c>
      <x:c r="C456" s="19" t="n">
        <x:f>IF(B456="",0,(LEN(B456)-LEN(SUBSTITUTE(B456," | ","")))/3+1)</x:f>
        <x:v>1</x:v>
      </x:c>
      <x:c r="D456" t="str">
        <x:v>c</x:v>
      </x:c>
      <x:c r="E456" t="str">
        <x:v>https://www.webonary.org/marubo/ga7518627-0097-44ee-88d2-f1272199db57/</x:v>
      </x:c>
      <x:c r="F456" t="str">
        <x:v>gc94579db-4754-45bb-a134-7cd4dd9c059a</x:v>
      </x:c>
      <x:c r="G456" s="20" t="n">
        <x:v>46003.934813912034</x:v>
      </x:c>
    </x:row>
    <x:row r="457">
      <x:c r="A457" s="18" t="str">
        <x:v>constipação</x:v>
      </x:c>
      <x:c r="B457" s="18" t="str">
        <x:v>txetea</x:v>
      </x:c>
      <x:c r="C457" s="19" t="n">
        <x:f>IF(B457="",0,(LEN(B457)-LEN(SUBSTITUTE(B457," | ","")))/3+1)</x:f>
        <x:v>1</x:v>
      </x:c>
      <x:c r="D457" t="str">
        <x:v>c</x:v>
      </x:c>
      <x:c r="E457" t="str">
        <x:v>https://www.webonary.org/marubo/g6ac5fd69-50cc-4454-8e91-f2037b27e51f/</x:v>
      </x:c>
      <x:c r="F457" t="str">
        <x:v>g94d71172-3be6-45b4-8b40-e97566057fe9</x:v>
      </x:c>
      <x:c r="G457" s="20" t="n">
        <x:v>46003.934813912034</x:v>
      </x:c>
    </x:row>
    <x:row r="458">
      <x:c r="A458" s="18" t="str">
        <x:v>CONT</x:v>
      </x:c>
      <x:c r="B458" s="18" t="str">
        <x:v>-s</x:v>
      </x:c>
      <x:c r="C458" s="19" t="n">
        <x:f>IF(B458="",0,(LEN(B458)-LEN(SUBSTITUTE(B458," | ","")))/3+1)</x:f>
        <x:v>1</x:v>
      </x:c>
      <x:c r="D458" t="str">
        <x:v>c</x:v>
      </x:c>
      <x:c r="E458" t="str">
        <x:v>https://www.webonary.org/marubo/ga9bffcca-5a69-480b-9637-524770ec50f2/</x:v>
      </x:c>
      <x:c r="F458" t="str">
        <x:v>gea115256-c75a-4160-a0da-cb6c7740d2d8</x:v>
      </x:c>
      <x:c r="G458" s="20" t="n">
        <x:v>46003.934813912034</x:v>
      </x:c>
    </x:row>
    <x:row r="459">
      <x:c r="A459" s="18" t="str">
        <x:v>contar</x:v>
      </x:c>
      <x:c r="B459" s="18" t="str">
        <x:v>yoã | aká | 4</x:v>
      </x:c>
      <x:c r="C459" s="19" t="n">
        <x:f>IF(B459="",0,(LEN(B459)-LEN(SUBSTITUTE(B459," | ","")))/3+1)</x:f>
        <x:v>3</x:v>
      </x:c>
      <x:c r="D459" t="str">
        <x:v>c</x:v>
      </x:c>
      <x:c r="E459" t="str">
        <x:v>https://www.webonary.org/marubo/gd45d3fdb-be59-4596-9089-e3e3ac8ded7a/</x:v>
      </x:c>
      <x:c r="F459" t="str">
        <x:v>ga6f97ffd-aff5-4bda-b521-b1c6d2c87faa</x:v>
      </x:c>
      <x:c r="G459" s="20" t="n">
        <x:v>46003.934813912034</x:v>
      </x:c>
    </x:row>
    <x:row r="460">
      <x:c r="A460" s="18" t="str">
        <x:v>contracorrente</x:v>
      </x:c>
      <x:c r="B460" s="18" t="str">
        <x:v>waka chĩkishna</x:v>
      </x:c>
      <x:c r="C460" s="19" t="n">
        <x:f>IF(B460="",0,(LEN(B460)-LEN(SUBSTITUTE(B460," | ","")))/3+1)</x:f>
        <x:v>1</x:v>
      </x:c>
      <x:c r="D460" t="str">
        <x:v>c</x:v>
      </x:c>
      <x:c r="E460" t="str">
        <x:v>https://www.webonary.org/marubo/g4ec6d77f-ac1c-449a-bc34-578c1c886a32/</x:v>
      </x:c>
      <x:c r="F460" t="str">
        <x:v>gb41b98a7-7afe-4aae-bc31-91219a6898c9</x:v>
      </x:c>
      <x:c r="G460" s="20" t="n">
        <x:v>46003.934813912034</x:v>
      </x:c>
    </x:row>
    <x:row r="461">
      <x:c r="A461" s="18" t="str">
        <x:v>coração</x:v>
      </x:c>
      <x:c r="B461" s="18" t="str">
        <x:v>chinã | 1 | oĩti</x:v>
      </x:c>
      <x:c r="C461" s="19" t="n">
        <x:f>IF(B461="",0,(LEN(B461)-LEN(SUBSTITUTE(B461," | ","")))/3+1)</x:f>
        <x:v>3</x:v>
      </x:c>
      <x:c r="D461" t="str">
        <x:v>c</x:v>
      </x:c>
      <x:c r="E461" t="str">
        <x:v>https://www.webonary.org/marubo/g49f557bb-efc9-4e92-824a-da288cd5ddd8/</x:v>
      </x:c>
      <x:c r="F461" t="str">
        <x:v>g69a8e245-700f-46d3-9929-8e88ed83e23f</x:v>
      </x:c>
      <x:c r="G461" s="20" t="n">
        <x:v>46003.934813912034</x:v>
      </x:c>
    </x:row>
    <x:row r="462">
      <x:c r="A462" s="18" t="str">
        <x:v>coração mal</x:v>
      </x:c>
      <x:c r="B462" s="18" t="str">
        <x:v>chinã teíka</x:v>
      </x:c>
      <x:c r="C462" s="19" t="n">
        <x:f>IF(B462="",0,(LEN(B462)-LEN(SUBSTITUTE(B462," | ","")))/3+1)</x:f>
        <x:v>1</x:v>
      </x:c>
      <x:c r="D462" t="str">
        <x:v>c</x:v>
      </x:c>
      <x:c r="E462" t="str">
        <x:v>https://www.webonary.org/marubo/gd95a68ed-85fe-4ceb-ac8e-5bb2fbbd6f91/</x:v>
      </x:c>
      <x:c r="F462" t="str">
        <x:v>gd5bbf9ba-3f60-4d48-8ded-2dc65aa7d7e3</x:v>
      </x:c>
      <x:c r="G462" s="20" t="n">
        <x:v>46003.934813912034</x:v>
      </x:c>
    </x:row>
    <x:row r="463">
      <x:c r="A463" s="18" t="str">
        <x:v>corcova</x:v>
      </x:c>
      <x:c r="B463" s="18" t="str">
        <x:v>tene</x:v>
      </x:c>
      <x:c r="C463" s="19" t="n">
        <x:f>IF(B463="",0,(LEN(B463)-LEN(SUBSTITUTE(B463," | ","")))/3+1)</x:f>
        <x:v>1</x:v>
      </x:c>
      <x:c r="D463" t="str">
        <x:v>c</x:v>
      </x:c>
      <x:c r="E463" t="str">
        <x:v>https://www.webonary.org/marubo/gee196fc9-d2b3-4eee-b908-e6e874ae7ec4/</x:v>
      </x:c>
      <x:c r="F463" t="str">
        <x:v>g0cbede13-d7ba-478f-82d9-85ef0cf4e422</x:v>
      </x:c>
      <x:c r="G463" s="20" t="n">
        <x:v>46003.934813912034</x:v>
      </x:c>
    </x:row>
    <x:row r="464">
      <x:c r="A464" s="18" t="str">
        <x:v>corda</x:v>
      </x:c>
      <x:c r="B464" s="18" t="str">
        <x:v>mayá</x:v>
      </x:c>
      <x:c r="C464" s="19" t="n">
        <x:f>IF(B464="",0,(LEN(B464)-LEN(SUBSTITUTE(B464," | ","")))/3+1)</x:f>
        <x:v>1</x:v>
      </x:c>
      <x:c r="D464" t="str">
        <x:v>c</x:v>
      </x:c>
      <x:c r="E464" t="str">
        <x:v>https://www.webonary.org/marubo/g3fc28bb1-8602-47e2-9b31-61d7759bf87c/</x:v>
      </x:c>
      <x:c r="F464" t="str">
        <x:v>g0551ab03-9143-4ac5-875d-4b9dacd631ef</x:v>
      </x:c>
      <x:c r="G464" s="20" t="n">
        <x:v>46003.934813912034</x:v>
      </x:c>
    </x:row>
    <x:row r="465">
      <x:c r="A465" s="18" t="str">
        <x:v>cordão de aruá que descde da ponta da orelha</x:v>
      </x:c>
      <x:c r="B465" s="18" t="str">
        <x:v>paví</x:v>
      </x:c>
      <x:c r="C465" s="19" t="n">
        <x:f>IF(B465="",0,(LEN(B465)-LEN(SUBSTITUTE(B465," | ","")))/3+1)</x:f>
        <x:v>1</x:v>
      </x:c>
      <x:c r="D465" t="str">
        <x:v>c</x:v>
      </x:c>
      <x:c r="E465" t="str">
        <x:v>https://www.webonary.org/marubo/gc21a081b-ff24-45ef-92c1-2405f467d9bb/</x:v>
      </x:c>
      <x:c r="F465" t="str">
        <x:v>gcda60d2f-b533-4028-9a4b-d09990893231</x:v>
      </x:c>
      <x:c r="G465" s="20" t="n">
        <x:v>46003.934813912034</x:v>
      </x:c>
    </x:row>
    <x:row r="466">
      <x:c r="A466" s="18" t="str">
        <x:v>corredeiras</x:v>
      </x:c>
      <x:c r="B466" s="18" t="str">
        <x:v>waka põpõ ikí</x:v>
      </x:c>
      <x:c r="C466" s="19" t="n">
        <x:f>IF(B466="",0,(LEN(B466)-LEN(SUBSTITUTE(B466," | ","")))/3+1)</x:f>
        <x:v>1</x:v>
      </x:c>
      <x:c r="D466" t="str">
        <x:v>c</x:v>
      </x:c>
      <x:c r="E466" t="str">
        <x:v>https://www.webonary.org/marubo/gae305dcb-45c8-45ea-9110-f8e239db281c/</x:v>
      </x:c>
      <x:c r="F466" t="str">
        <x:v>g8bd15c93-198a-4611-bccc-7b9014d912be</x:v>
      </x:c>
      <x:c r="G466" s="20" t="n">
        <x:v>46003.934813912034</x:v>
      </x:c>
    </x:row>
    <x:row r="467">
      <x:c r="A467" s="18" t="str">
        <x:v>correnteza</x:v>
      </x:c>
      <x:c r="B467" s="18" t="str">
        <x:v>avá</x:v>
      </x:c>
      <x:c r="C467" s="19" t="n">
        <x:f>IF(B467="",0,(LEN(B467)-LEN(SUBSTITUTE(B467," | ","")))/3+1)</x:f>
        <x:v>1</x:v>
      </x:c>
      <x:c r="D467" t="str">
        <x:v>c</x:v>
      </x:c>
      <x:c r="E467" t="str">
        <x:v>https://www.webonary.org/marubo/gad9e81a1-75dd-48c1-9f68-6907f8f85b79/</x:v>
      </x:c>
      <x:c r="F467" t="str">
        <x:v>g66d46c00-1298-4cc3-aa3d-073268e311c5</x:v>
      </x:c>
      <x:c r="G467" s="20" t="n">
        <x:v>46003.934813912034</x:v>
      </x:c>
    </x:row>
    <x:row r="468">
      <x:c r="A468" s="18" t="str">
        <x:v>correr</x:v>
      </x:c>
      <x:c r="B468" s="18" t="str">
        <x:v>eréa</x:v>
      </x:c>
      <x:c r="C468" s="19" t="n">
        <x:f>IF(B468="",0,(LEN(B468)-LEN(SUBSTITUTE(B468," | ","")))/3+1)</x:f>
        <x:v>1</x:v>
      </x:c>
      <x:c r="D468" t="str">
        <x:v>c</x:v>
      </x:c>
      <x:c r="E468" t="str">
        <x:v>https://www.webonary.org/marubo/gb239fe62-561b-42d0-a9ae-4dfc53b3a098/</x:v>
      </x:c>
      <x:c r="F468" t="str">
        <x:v>gf23d70e8-eac1-4fc2-9b5d-8875eb81c9bd</x:v>
      </x:c>
      <x:c r="G468" s="20" t="n">
        <x:v>46003.934813912034</x:v>
      </x:c>
    </x:row>
    <x:row r="469">
      <x:c r="A469" s="18" t="str">
        <x:v>correr atrás</x:v>
      </x:c>
      <x:c r="B469" s="18" t="str">
        <x:v>txivã</x:v>
      </x:c>
      <x:c r="C469" s="19" t="n">
        <x:f>IF(B469="",0,(LEN(B469)-LEN(SUBSTITUTE(B469," | ","")))/3+1)</x:f>
        <x:v>1</x:v>
      </x:c>
      <x:c r="D469" t="str">
        <x:v>c</x:v>
      </x:c>
      <x:c r="E469" t="str">
        <x:v>https://www.webonary.org/marubo/gc5a6d40c-ca77-4b33-9125-ee22e970a305/</x:v>
      </x:c>
      <x:c r="F469" t="str">
        <x:v>gb357500e-8c36-4f77-8026-400df294a4f4</x:v>
      </x:c>
      <x:c r="G469" s="20" t="n">
        <x:v>46003.934813912034</x:v>
      </x:c>
    </x:row>
    <x:row r="470">
      <x:c r="A470" s="18" t="str">
        <x:v>cortador de unha</x:v>
      </x:c>
      <x:c r="B470" s="18" t="str">
        <x:v>mẽtsísi shateti</x:v>
      </x:c>
      <x:c r="C470" s="19" t="n">
        <x:f>IF(B470="",0,(LEN(B470)-LEN(SUBSTITUTE(B470," | ","")))/3+1)</x:f>
        <x:v>1</x:v>
      </x:c>
      <x:c r="D470" t="str">
        <x:v>c</x:v>
      </x:c>
      <x:c r="E470" t="str">
        <x:v>https://www.webonary.org/marubo/g1683092d-39cb-4d26-bc29-c438bd0cbbcd/</x:v>
      </x:c>
      <x:c r="F470" t="str">
        <x:v>ga7aab859-afcf-4dfe-9d8f-3d69dcc94a97</x:v>
      </x:c>
      <x:c r="G470" s="20" t="n">
        <x:v>46003.934813912034</x:v>
      </x:c>
    </x:row>
    <x:row r="471">
      <x:c r="A471" s="18" t="str">
        <x:v>cortar</x:v>
      </x:c>
      <x:c r="B471" s="18" t="str">
        <x:v>teke aká | rera | shatea</x:v>
      </x:c>
      <x:c r="C471" s="19" t="n">
        <x:f>IF(B471="",0,(LEN(B471)-LEN(SUBSTITUTE(B471," | ","")))/3+1)</x:f>
        <x:v>3</x:v>
      </x:c>
      <x:c r="D471" t="str">
        <x:v>c</x:v>
      </x:c>
      <x:c r="E471" t="str">
        <x:v>https://www.webonary.org/marubo/g706f053d-1548-49d3-bdb8-e9d8dd7f4b52/</x:v>
      </x:c>
      <x:c r="F471" t="str">
        <x:v>g4025ca14-80fb-4d18-b0cb-6571fa6bc793</x:v>
      </x:c>
      <x:c r="G471" s="20" t="n">
        <x:v>46003.934813912034</x:v>
      </x:c>
    </x:row>
    <x:row r="472">
      <x:c r="A472" s="18" t="str">
        <x:v>cortar aruá em pedaços</x:v>
      </x:c>
      <x:c r="B472" s="18" t="str">
        <x:v>tsosa | 1</x:v>
      </x:c>
      <x:c r="C472" s="19" t="n">
        <x:f>IF(B472="",0,(LEN(B472)-LEN(SUBSTITUTE(B472," | ","")))/3+1)</x:f>
        <x:v>2</x:v>
      </x:c>
      <x:c r="D472" t="str">
        <x:v>c</x:v>
      </x:c>
      <x:c r="E472" t="str">
        <x:v>https://www.webonary.org/marubo/g7d15c454-6d5b-491e-bd45-467398cf73b9/</x:v>
      </x:c>
      <x:c r="F472" t="str">
        <x:v>g9b118a8b-071a-4c5e-a416-c44016c76870</x:v>
      </x:c>
      <x:c r="G472" s="20" t="n">
        <x:v>46003.934813912034</x:v>
      </x:c>
    </x:row>
    <x:row r="473">
      <x:c r="A473" s="18" t="str">
        <x:v>cortar árvore para cair</x:v>
      </x:c>
      <x:c r="B473" s="18" t="str">
        <x:v>petsása</x:v>
      </x:c>
      <x:c r="C473" s="19" t="n">
        <x:f>IF(B473="",0,(LEN(B473)-LEN(SUBSTITUTE(B473," | ","")))/3+1)</x:f>
        <x:v>1</x:v>
      </x:c>
      <x:c r="D473" t="str">
        <x:v>c</x:v>
      </x:c>
      <x:c r="E473" t="str">
        <x:v>https://www.webonary.org/marubo/g149377a5-b318-4360-b5ba-15023adad965/</x:v>
      </x:c>
      <x:c r="F473" t="str">
        <x:v>ga584f72b-4719-4a77-bbb6-16760d483310</x:v>
      </x:c>
      <x:c r="G473" s="20" t="n">
        <x:v>46003.934813912034</x:v>
      </x:c>
    </x:row>
    <x:row r="474">
      <x:c r="A474" s="18" t="str">
        <x:v>cortar cabeça</x:v>
      </x:c>
      <x:c r="B474" s="18" t="str">
        <x:v>voshtea</x:v>
      </x:c>
      <x:c r="C474" s="19" t="n">
        <x:f>IF(B474="",0,(LEN(B474)-LEN(SUBSTITUTE(B474," | ","")))/3+1)</x:f>
        <x:v>1</x:v>
      </x:c>
      <x:c r="D474" t="str">
        <x:v>c</x:v>
      </x:c>
      <x:c r="E474" t="str">
        <x:v>https://www.webonary.org/marubo/g995b0bb7-77cf-4396-b7bf-48a3860de0ca/</x:v>
      </x:c>
      <x:c r="F474" t="str">
        <x:v>gc038d101-ff92-45a4-a96f-35bd9f7b1920</x:v>
      </x:c>
      <x:c r="G474" s="20" t="n">
        <x:v>46003.934813912034</x:v>
      </x:c>
    </x:row>
    <x:row r="475">
      <x:c r="A475" s="18" t="str">
        <x:v>cortar cabelo</x:v>
      </x:c>
      <x:c r="B475" s="18" t="str">
        <x:v>mashko aká</x:v>
      </x:c>
      <x:c r="C475" s="19" t="n">
        <x:f>IF(B475="",0,(LEN(B475)-LEN(SUBSTITUTE(B475," | ","")))/3+1)</x:f>
        <x:v>1</x:v>
      </x:c>
      <x:c r="D475" t="str">
        <x:v>c</x:v>
      </x:c>
      <x:c r="E475" t="str">
        <x:v>https://www.webonary.org/marubo/gd5285f47-c0ed-4264-931f-fb8e5ea20fa3/</x:v>
      </x:c>
      <x:c r="F475" t="str">
        <x:v>gf8354151-8e0f-4cb5-84c5-f535446f5590</x:v>
      </x:c>
      <x:c r="G475" s="20" t="n">
        <x:v>46003.934813912034</x:v>
      </x:c>
    </x:row>
    <x:row r="476">
      <x:c r="A476" s="18" t="str">
        <x:v>cortar galho duro</x:v>
      </x:c>
      <x:c r="B476" s="18" t="str">
        <x:v>merea</x:v>
      </x:c>
      <x:c r="C476" s="19" t="n">
        <x:f>IF(B476="",0,(LEN(B476)-LEN(SUBSTITUTE(B476," | ","")))/3+1)</x:f>
        <x:v>1</x:v>
      </x:c>
      <x:c r="D476" t="str">
        <x:v>c</x:v>
      </x:c>
      <x:c r="E476" t="str">
        <x:v>https://www.webonary.org/marubo/gd68f453c-12b2-4b5f-9a20-ff3787e7b6eb/</x:v>
      </x:c>
      <x:c r="F476" t="str">
        <x:v>g8d69103c-dc73-474e-9ee3-35e3fe29f583</x:v>
      </x:c>
      <x:c r="G476" s="20" t="n">
        <x:v>46003.934813912034</x:v>
      </x:c>
    </x:row>
    <x:row r="477">
      <x:c r="A477" s="18" t="str">
        <x:v>cortar o casco de quelônia</x:v>
      </x:c>
      <x:c r="B477" s="18" t="str">
        <x:v>paréa</x:v>
      </x:c>
      <x:c r="C477" s="19" t="n">
        <x:f>IF(B477="",0,(LEN(B477)-LEN(SUBSTITUTE(B477," | ","")))/3+1)</x:f>
        <x:v>1</x:v>
      </x:c>
      <x:c r="D477" t="str">
        <x:v>c</x:v>
      </x:c>
      <x:c r="E477" t="str">
        <x:v>https://www.webonary.org/marubo/ga84be760-b6b7-4eca-8eb6-44795b181081/</x:v>
      </x:c>
      <x:c r="F477" t="str">
        <x:v>g27f4122e-313c-4b49-b2f6-35e7a67adce8</x:v>
      </x:c>
      <x:c r="G477" s="20" t="n">
        <x:v>46003.934813912034</x:v>
      </x:c>
    </x:row>
    <x:row r="478">
      <x:c r="A478" s="18" t="str">
        <x:v>cortar palha da palmeira</x:v>
      </x:c>
      <x:c r="B478" s="18" t="str">
        <x:v>peréa</x:v>
      </x:c>
      <x:c r="C478" s="19" t="n">
        <x:f>IF(B478="",0,(LEN(B478)-LEN(SUBSTITUTE(B478," | ","")))/3+1)</x:f>
        <x:v>1</x:v>
      </x:c>
      <x:c r="D478" t="str">
        <x:v>c</x:v>
      </x:c>
      <x:c r="E478" t="str">
        <x:v>https://www.webonary.org/marubo/g99ea68c7-73e2-4f07-85a7-cbb1d85a1c99/</x:v>
      </x:c>
      <x:c r="F478" t="str">
        <x:v>gbaa62e61-8d1d-47f7-9539-18e28dff11d9</x:v>
      </x:c>
      <x:c r="G478" s="20" t="n">
        <x:v>46003.934813912034</x:v>
      </x:c>
    </x:row>
    <x:row r="479">
      <x:c r="A479" s="18" t="str">
        <x:v>cortar pela parte tanama</x:v>
      </x:c>
      <x:c r="B479" s="18" t="str">
        <x:v>yashá aká</x:v>
      </x:c>
      <x:c r="C479" s="19" t="n">
        <x:f>IF(B479="",0,(LEN(B479)-LEN(SUBSTITUTE(B479," | ","")))/3+1)</x:f>
        <x:v>1</x:v>
      </x:c>
      <x:c r="D479" t="str">
        <x:v>c</x:v>
      </x:c>
      <x:c r="E479" t="str">
        <x:v>https://www.webonary.org/marubo/g75b44cdf-302c-4fb3-90fd-319cd3c2df67/</x:v>
      </x:c>
      <x:c r="F479" t="str">
        <x:v>g8e0f1690-7417-48c7-aedd-506ab66c98c5</x:v>
      </x:c>
      <x:c r="G479" s="20" t="n">
        <x:v>46003.934813912034</x:v>
      </x:c>
    </x:row>
    <x:row r="480">
      <x:c r="A480" s="18" t="str">
        <x:v>cortar pela parte traseira</x:v>
      </x:c>
      <x:c r="B480" s="18" t="str">
        <x:v>txishá aká</x:v>
      </x:c>
      <x:c r="C480" s="19" t="n">
        <x:f>IF(B480="",0,(LEN(B480)-LEN(SUBSTITUTE(B480," | ","")))/3+1)</x:f>
        <x:v>1</x:v>
      </x:c>
      <x:c r="D480" t="str">
        <x:v>c</x:v>
      </x:c>
      <x:c r="E480" t="str">
        <x:v>https://www.webonary.org/marubo/ge3282648-4a93-472c-ac44-3be37c193c48/</x:v>
      </x:c>
      <x:c r="F480" t="str">
        <x:v>g5a2d16f9-46fd-4ed3-a7e6-7490db8a15db</x:v>
      </x:c>
      <x:c r="G480" s="20" t="n">
        <x:v>46003.934813912034</x:v>
      </x:c>
    </x:row>
    <x:row r="481">
      <x:c r="A481" s="18" t="str">
        <x:v>cortar pelo caminho</x:v>
      </x:c>
      <x:c r="B481" s="18" t="str">
        <x:v>voshtẽa</x:v>
      </x:c>
      <x:c r="C481" s="19" t="n">
        <x:f>IF(B481="",0,(LEN(B481)-LEN(SUBSTITUTE(B481," | ","")))/3+1)</x:f>
        <x:v>1</x:v>
      </x:c>
      <x:c r="D481" t="str">
        <x:v>c</x:v>
      </x:c>
      <x:c r="E481" t="str">
        <x:v>https://www.webonary.org/marubo/g626599ac-29d1-4993-889e-d301c32f9759/</x:v>
      </x:c>
      <x:c r="F481" t="str">
        <x:v>gca092f58-1da4-4b80-9169-e46f4b448afc</x:v>
      </x:c>
      <x:c r="G481" s="20" t="n">
        <x:v>46003.934813912034</x:v>
      </x:c>
    </x:row>
    <x:row r="482">
      <x:c r="A482" s="18" t="str">
        <x:v>cortar raiz de banana</x:v>
      </x:c>
      <x:c r="B482" s="18" t="str">
        <x:v>vero aká</x:v>
      </x:c>
      <x:c r="C482" s="19" t="n">
        <x:f>IF(B482="",0,(LEN(B482)-LEN(SUBSTITUTE(B482," | ","")))/3+1)</x:f>
        <x:v>1</x:v>
      </x:c>
      <x:c r="D482" t="str">
        <x:v>c</x:v>
      </x:c>
      <x:c r="E482" t="str">
        <x:v>https://www.webonary.org/marubo/gdb3c94d3-5011-499d-908e-c42118cc319d/</x:v>
      </x:c>
      <x:c r="F482" t="str">
        <x:v>g652bc7ab-6186-445b-ab8f-510173d57f89</x:v>
      </x:c>
      <x:c r="G482" s="20" t="n">
        <x:v>46003.934813912034</x:v>
      </x:c>
    </x:row>
    <x:row r="483">
      <x:c r="A483" s="18" t="str">
        <x:v>coruja</x:v>
      </x:c>
      <x:c r="B483" s="18" t="str">
        <x:v>popo | 1</x:v>
      </x:c>
      <x:c r="C483" s="19" t="n">
        <x:f>IF(B483="",0,(LEN(B483)-LEN(SUBSTITUTE(B483," | ","")))/3+1)</x:f>
        <x:v>2</x:v>
      </x:c>
      <x:c r="D483" t="str">
        <x:v>c</x:v>
      </x:c>
      <x:c r="E483" t="str">
        <x:v>https://www.webonary.org/marubo/gb6af6588-8ef3-4b18-bef1-60b4f763301e/</x:v>
      </x:c>
      <x:c r="F483" t="str">
        <x:v>g29fac952-083f-4cff-bae7-972348454c84</x:v>
      </x:c>
      <x:c r="G483" s="20" t="n">
        <x:v>46003.934813912034</x:v>
      </x:c>
    </x:row>
    <x:row r="484">
      <x:c r="A484" s="18" t="str">
        <x:v>costas</x:v>
      </x:c>
      <x:c r="B484" s="18" t="str">
        <x:v>petxiri</x:v>
      </x:c>
      <x:c r="C484" s="19" t="n">
        <x:f>IF(B484="",0,(LEN(B484)-LEN(SUBSTITUTE(B484," | ","")))/3+1)</x:f>
        <x:v>1</x:v>
      </x:c>
      <x:c r="D484" t="str">
        <x:v>c</x:v>
      </x:c>
      <x:c r="E484" t="str">
        <x:v>https://www.webonary.org/marubo/g69dde115-56bf-45e5-ac57-4f80e631f576/</x:v>
      </x:c>
      <x:c r="F484" t="str">
        <x:v>g3a448e98-9cc8-4c0d-999b-202c947128bd</x:v>
      </x:c>
      <x:c r="G484" s="20" t="n">
        <x:v>46003.934813912034</x:v>
      </x:c>
    </x:row>
    <x:row r="485">
      <x:c r="A485" s="18" t="str">
        <x:v>costela</x:v>
      </x:c>
      <x:c r="B485" s="18" t="str">
        <x:v>pichi</x:v>
      </x:c>
      <x:c r="C485" s="19" t="n">
        <x:f>IF(B485="",0,(LEN(B485)-LEN(SUBSTITUTE(B485," | ","")))/3+1)</x:f>
        <x:v>1</x:v>
      </x:c>
      <x:c r="D485" t="str">
        <x:v>c</x:v>
      </x:c>
      <x:c r="E485" t="str">
        <x:v>https://www.webonary.org/marubo/g615e1826-f87d-418a-b168-136363e972cb/</x:v>
      </x:c>
      <x:c r="F485" t="str">
        <x:v>gd23ca29c-3711-4474-9c6b-b67a69432c64</x:v>
      </x:c>
      <x:c r="G485" s="20" t="n">
        <x:v>46003.934813912034</x:v>
      </x:c>
    </x:row>
    <x:row r="486">
      <x:c r="A486" s="18" t="str">
        <x:v>costeletas</x:v>
      </x:c>
      <x:c r="B486" s="18" t="str">
        <x:v>vechpi rani</x:v>
      </x:c>
      <x:c r="C486" s="19" t="n">
        <x:f>IF(B486="",0,(LEN(B486)-LEN(SUBSTITUTE(B486," | ","")))/3+1)</x:f>
        <x:v>1</x:v>
      </x:c>
      <x:c r="D486" t="str">
        <x:v>c</x:v>
      </x:c>
      <x:c r="E486" t="str">
        <x:v>https://www.webonary.org/marubo/gd7ad6676-973d-43cf-8b26-a4a19fb0133a/</x:v>
      </x:c>
      <x:c r="F486" t="str">
        <x:v>g930c0bcd-0011-47bb-a682-ae80c73b3f61</x:v>
      </x:c>
      <x:c r="G486" s="20" t="n">
        <x:v>46003.934813912034</x:v>
      </x:c>
    </x:row>
    <x:row r="487">
      <x:c r="A487" s="18" t="str">
        <x:v>costurar</x:v>
      </x:c>
      <x:c r="B487" s="18" t="str">
        <x:v>tõs aká | noshea</x:v>
      </x:c>
      <x:c r="C487" s="19" t="n">
        <x:f>IF(B487="",0,(LEN(B487)-LEN(SUBSTITUTE(B487," | ","")))/3+1)</x:f>
        <x:v>2</x:v>
      </x:c>
      <x:c r="D487" t="str">
        <x:v>c</x:v>
      </x:c>
      <x:c r="E487" t="str">
        <x:v>https://www.webonary.org/marubo/g512d6d56-3b4e-4834-a66f-29891da2e427/</x:v>
      </x:c>
      <x:c r="F487" t="str">
        <x:v>gd0239896-f106-48d1-bd83-4468ff879ba5</x:v>
      </x:c>
      <x:c r="G487" s="20" t="n">
        <x:v>46003.934813912034</x:v>
      </x:c>
    </x:row>
    <x:row r="488">
      <x:c r="A488" s="18" t="str">
        <x:v>cotonete</x:v>
      </x:c>
      <x:c r="B488" s="18" t="str">
        <x:v>paviróti</x:v>
      </x:c>
      <x:c r="C488" s="19" t="n">
        <x:f>IF(B488="",0,(LEN(B488)-LEN(SUBSTITUTE(B488," | ","")))/3+1)</x:f>
        <x:v>1</x:v>
      </x:c>
      <x:c r="D488" t="str">
        <x:v>c</x:v>
      </x:c>
      <x:c r="E488" t="str">
        <x:v>https://www.webonary.org/marubo/g4da7b073-93db-4cdf-8c6f-1ff556ddbb36/</x:v>
      </x:c>
      <x:c r="F488" t="str">
        <x:v>g31c034c4-14de-4a48-87d1-32d6dfcc5a7b</x:v>
      </x:c>
      <x:c r="G488" s="20" t="n">
        <x:v>46003.934813912034</x:v>
      </x:c>
    </x:row>
    <x:row r="489">
      <x:c r="A489" s="18" t="str">
        <x:v>cotovelo</x:v>
      </x:c>
      <x:c r="B489" s="18" t="str">
        <x:v>txitáshe | metáshtxĩto</x:v>
      </x:c>
      <x:c r="C489" s="19" t="n">
        <x:f>IF(B489="",0,(LEN(B489)-LEN(SUBSTITUTE(B489," | ","")))/3+1)</x:f>
        <x:v>2</x:v>
      </x:c>
      <x:c r="D489" t="str">
        <x:v>c</x:v>
      </x:c>
      <x:c r="E489" t="str">
        <x:v>https://www.webonary.org/marubo/g03b09655-d7df-4884-9efc-add64a46d9cc/</x:v>
      </x:c>
      <x:c r="F489" t="str">
        <x:v>g160bb639-2a0b-486f-99ba-2513469d3041</x:v>
      </x:c>
      <x:c r="G489" s="20" t="n">
        <x:v>46003.934813912034</x:v>
      </x:c>
    </x:row>
    <x:row r="490">
      <x:c r="A490" s="18" t="str">
        <x:v>coxa</x:v>
      </x:c>
      <x:c r="B490" s="18" t="str">
        <x:v>kichi</x:v>
      </x:c>
      <x:c r="C490" s="19" t="n">
        <x:f>IF(B490="",0,(LEN(B490)-LEN(SUBSTITUTE(B490," | ","")))/3+1)</x:f>
        <x:v>1</x:v>
      </x:c>
      <x:c r="D490" t="str">
        <x:v>c</x:v>
      </x:c>
      <x:c r="E490" t="str">
        <x:v>https://www.webonary.org/marubo/g066a9872-0c0b-4de2-9f18-8df26ca6e239/</x:v>
      </x:c>
      <x:c r="F490" t="str">
        <x:v>g87984386-2015-49c7-a4cf-7d3d2f8b58a7</x:v>
      </x:c>
      <x:c r="G490" s="20" t="n">
        <x:v>46003.934813912034</x:v>
      </x:c>
    </x:row>
    <x:row r="491">
      <x:c r="A491" s="18" t="str">
        <x:v>cozido</x:v>
      </x:c>
      <x:c r="B491" s="18" t="str">
        <x:v>naiya</x:v>
      </x:c>
      <x:c r="C491" s="19" t="n">
        <x:f>IF(B491="",0,(LEN(B491)-LEN(SUBSTITUTE(B491," | ","")))/3+1)</x:f>
        <x:v>1</x:v>
      </x:c>
      <x:c r="D491" t="str">
        <x:v>c</x:v>
      </x:c>
      <x:c r="E491" t="str">
        <x:v>https://www.webonary.org/marubo/gab3ae5c4-e8a2-41b7-a284-6674e7aff70d/</x:v>
      </x:c>
      <x:c r="F491" t="str">
        <x:v>gbc7991aa-06da-4d4a-9c90-97b25457ca7c</x:v>
      </x:c>
      <x:c r="G491" s="20" t="n">
        <x:v>46003.934813912034</x:v>
      </x:c>
    </x:row>
    <x:row r="492">
      <x:c r="A492" s="18" t="str">
        <x:v>crescer</x:v>
      </x:c>
      <x:c r="B492" s="18" t="str">
        <x:v>kania | mashpá nía</x:v>
      </x:c>
      <x:c r="C492" s="19" t="n">
        <x:f>IF(B492="",0,(LEN(B492)-LEN(SUBSTITUTE(B492," | ","")))/3+1)</x:f>
        <x:v>2</x:v>
      </x:c>
      <x:c r="D492" t="str">
        <x:v>c</x:v>
      </x:c>
      <x:c r="E492" t="str">
        <x:v>https://www.webonary.org/marubo/gc4f935ea-9f09-41af-a5bb-b6a554181605/</x:v>
      </x:c>
      <x:c r="F492" t="str">
        <x:v>g96af3d24-1305-4309-a9cb-754472601fce</x:v>
      </x:c>
      <x:c r="G492" s="20" t="n">
        <x:v>46003.934813912034</x:v>
      </x:c>
    </x:row>
    <x:row r="493">
      <x:c r="A493" s="18" t="str">
        <x:v>criança</x:v>
      </x:c>
      <x:c r="B493" s="18" t="str">
        <x:v>vake</x:v>
      </x:c>
      <x:c r="C493" s="19" t="n">
        <x:f>IF(B493="",0,(LEN(B493)-LEN(SUBSTITUTE(B493," | ","")))/3+1)</x:f>
        <x:v>1</x:v>
      </x:c>
      <x:c r="D493" t="str">
        <x:v>c</x:v>
      </x:c>
      <x:c r="E493" t="str">
        <x:v>https://www.webonary.org/marubo/gb816fb52-eb82-45f9-ac7f-0a81f722a3cc/</x:v>
      </x:c>
      <x:c r="F493" t="str">
        <x:v>g576bb660-b4ec-45f4-98f5-8e68cd6b190a</x:v>
      </x:c>
      <x:c r="G493" s="20" t="n">
        <x:v>46003.934813912034</x:v>
      </x:c>
    </x:row>
    <x:row r="494">
      <x:c r="A494" s="18" t="str">
        <x:v>criança pequena</x:v>
      </x:c>
      <x:c r="B494" s="18" t="str">
        <x:v>mãcho</x:v>
      </x:c>
      <x:c r="C494" s="19" t="n">
        <x:f>IF(B494="",0,(LEN(B494)-LEN(SUBSTITUTE(B494," | ","")))/3+1)</x:f>
        <x:v>1</x:v>
      </x:c>
      <x:c r="D494" t="str">
        <x:v>c</x:v>
      </x:c>
      <x:c r="E494" t="str">
        <x:v>https://www.webonary.org/marubo/g0c040441-9a08-42e1-bc47-5dd87c419e35/</x:v>
      </x:c>
      <x:c r="F494" t="str">
        <x:v>gf64a6b14-567f-4fd3-9a65-91f99f4e950d</x:v>
      </x:c>
      <x:c r="G494" s="20" t="n">
        <x:v>46003.934813912034</x:v>
      </x:c>
    </x:row>
    <x:row r="495">
      <x:c r="A495" s="18" t="str">
        <x:v>criar</x:v>
      </x:c>
      <x:c r="B495" s="18" t="str">
        <x:v>kanimá</x:v>
      </x:c>
      <x:c r="C495" s="19" t="n">
        <x:f>IF(B495="",0,(LEN(B495)-LEN(SUBSTITUTE(B495," | ","")))/3+1)</x:f>
        <x:v>1</x:v>
      </x:c>
      <x:c r="D495" t="str">
        <x:v>c</x:v>
      </x:c>
      <x:c r="E495" t="str">
        <x:v>https://www.webonary.org/marubo/g765cb6a3-91c0-41d0-8aa3-fc49164d3b32/</x:v>
      </x:c>
      <x:c r="F495" t="str">
        <x:v>g7ddf4cc6-2eee-453f-9fdd-eb12f7b5ad20</x:v>
      </x:c>
      <x:c r="G495" s="20" t="n">
        <x:v>46003.934813912034</x:v>
      </x:c>
    </x:row>
    <x:row r="496">
      <x:c r="A496" s="18" t="str">
        <x:v>cru</x:v>
      </x:c>
      <x:c r="B496" s="18" t="str">
        <x:v>pasha | nayama</x:v>
      </x:c>
      <x:c r="C496" s="19" t="n">
        <x:f>IF(B496="",0,(LEN(B496)-LEN(SUBSTITUTE(B496," | ","")))/3+1)</x:f>
        <x:v>2</x:v>
      </x:c>
      <x:c r="D496" t="str">
        <x:v>c</x:v>
      </x:c>
      <x:c r="E496" t="str">
        <x:v>https://www.webonary.org/marubo/gc41dadba-9683-4f5a-9754-6d03cd4bd64b/</x:v>
      </x:c>
      <x:c r="F496" t="str">
        <x:v>g9b1b1bcd-ed5e-4446-afc7-9e91a7acdf24</x:v>
      </x:c>
      <x:c r="G496" s="20" t="n">
        <x:v>46003.934813912034</x:v>
      </x:c>
    </x:row>
    <x:row r="497">
      <x:c r="A497" s="18" t="str">
        <x:v>cruzar</x:v>
      </x:c>
      <x:c r="B497" s="18" t="str">
        <x:v>pokea</x:v>
      </x:c>
      <x:c r="C497" s="19" t="n">
        <x:f>IF(B497="",0,(LEN(B497)-LEN(SUBSTITUTE(B497," | ","")))/3+1)</x:f>
        <x:v>1</x:v>
      </x:c>
      <x:c r="D497" t="str">
        <x:v>c</x:v>
      </x:c>
      <x:c r="E497" t="str">
        <x:v>https://www.webonary.org/marubo/g91b55762-9fdf-4dd3-9dfe-4dcc847a7f42/</x:v>
      </x:c>
      <x:c r="F497" t="str">
        <x:v>g2f58113e-00f1-4405-901f-54241324568c</x:v>
      </x:c>
      <x:c r="G497" s="20" t="n">
        <x:v>46003.934813912034</x:v>
      </x:c>
    </x:row>
    <x:row r="498">
      <x:c r="A498" s="18" t="str">
        <x:v>cuidar</x:v>
      </x:c>
      <x:c r="B498" s="18" t="str">
        <x:v>vesoa | 1</x:v>
      </x:c>
      <x:c r="C498" s="19" t="n">
        <x:f>IF(B498="",0,(LEN(B498)-LEN(SUBSTITUTE(B498," | ","")))/3+1)</x:f>
        <x:v>2</x:v>
      </x:c>
      <x:c r="D498" t="str">
        <x:v>c</x:v>
      </x:c>
      <x:c r="E498" t="str">
        <x:v>https://www.webonary.org/marubo/gafae3b60-af40-48e2-9785-e7e84b11c0ac/</x:v>
      </x:c>
      <x:c r="F498" t="str">
        <x:v>g21b743c0-9e64-415e-95e7-f062e1087c02</x:v>
      </x:c>
      <x:c r="G498" s="20" t="n">
        <x:v>46003.934813912034</x:v>
      </x:c>
    </x:row>
    <x:row r="499">
      <x:c r="A499" s="18" t="str">
        <x:v>cujubim</x:v>
      </x:c>
      <x:c r="B499" s="18" t="str">
        <x:v>kosho | 1</x:v>
      </x:c>
      <x:c r="C499" s="19" t="n">
        <x:f>IF(B499="",0,(LEN(B499)-LEN(SUBSTITUTE(B499," | ","")))/3+1)</x:f>
        <x:v>2</x:v>
      </x:c>
      <x:c r="D499" t="str">
        <x:v>c</x:v>
      </x:c>
      <x:c r="E499" t="str">
        <x:v>https://www.webonary.org/marubo/ged8a99a3-e78e-44b9-8de7-dc026c7e0736/</x:v>
      </x:c>
      <x:c r="F499" t="str">
        <x:v>g148ff0b0-5ece-4250-aa5d-1b4e581a2d5e</x:v>
      </x:c>
      <x:c r="G499" s="20" t="n">
        <x:v>46003.934813912034</x:v>
      </x:c>
    </x:row>
    <x:row r="500">
      <x:c r="A500" s="18" t="str">
        <x:v>cunhado</x:v>
      </x:c>
      <x:c r="B500" s="18" t="str">
        <x:v>ketsa aa</x:v>
      </x:c>
      <x:c r="C500" s="19" t="n">
        <x:f>IF(B500="",0,(LEN(B500)-LEN(SUBSTITUTE(B500," | ","")))/3+1)</x:f>
        <x:v>1</x:v>
      </x:c>
      <x:c r="D500" t="str">
        <x:v>c</x:v>
      </x:c>
      <x:c r="E500" t="str">
        <x:v>https://www.webonary.org/marubo/gbdf172d7-d252-4c7e-9bde-9376e48aa6d0/</x:v>
      </x:c>
      <x:c r="F500" t="str">
        <x:v>g8df02a03-252c-4407-a607-1aba6a104960</x:v>
      </x:c>
      <x:c r="G500" s="20" t="n">
        <x:v>46003.934813912034</x:v>
      </x:c>
    </x:row>
    <x:row r="501">
      <x:c r="A501" s="18" t="str">
        <x:v>cupim</x:v>
      </x:c>
      <x:c r="B501" s="18" t="str">
        <x:v>nakáshe</x:v>
      </x:c>
      <x:c r="C501" s="19" t="n">
        <x:f>IF(B501="",0,(LEN(B501)-LEN(SUBSTITUTE(B501," | ","")))/3+1)</x:f>
        <x:v>1</x:v>
      </x:c>
      <x:c r="D501" t="str">
        <x:v>c</x:v>
      </x:c>
      <x:c r="E501" t="str">
        <x:v>https://www.webonary.org/marubo/gf0ea9f3c-a792-43eb-9f26-b398025d9d55/</x:v>
      </x:c>
      <x:c r="F501" t="str">
        <x:v>gc6e9b3c9-6a23-4c11-84d0-9f1006fe2555</x:v>
      </x:c>
      <x:c r="G501" s="20" t="n">
        <x:v>46003.934813912034</x:v>
      </x:c>
    </x:row>
    <x:row r="502">
      <x:c r="A502" s="18" t="str">
        <x:v>cupuaçu</x:v>
      </x:c>
      <x:c r="B502" s="18" t="str">
        <x:v>no</x:v>
      </x:c>
      <x:c r="C502" s="19" t="n">
        <x:f>IF(B502="",0,(LEN(B502)-LEN(SUBSTITUTE(B502," | ","")))/3+1)</x:f>
        <x:v>1</x:v>
      </x:c>
      <x:c r="D502" t="str">
        <x:v>c</x:v>
      </x:c>
      <x:c r="E502" t="str">
        <x:v>https://www.webonary.org/marubo/geeabec6c-a661-4647-8f69-d743436daeb5/</x:v>
      </x:c>
      <x:c r="F502" t="str">
        <x:v>g3e92c25a-055a-44ae-8f93-25e72966821a</x:v>
      </x:c>
      <x:c r="G502" s="20" t="n">
        <x:v>46003.934813912034</x:v>
      </x:c>
    </x:row>
    <x:row r="503">
      <x:c r="A503" s="18" t="str">
        <x:v>curare</x:v>
      </x:c>
      <x:c r="B503" s="18" t="str">
        <x:v>veneno para colocar em ponto de flecha</x:v>
      </x:c>
      <x:c r="C503" s="19" t="n">
        <x:f>IF(B503="",0,(LEN(B503)-LEN(SUBSTITUTE(B503," | ","")))/3+1)</x:f>
        <x:v>1</x:v>
      </x:c>
      <x:c r="D503" t="str">
        <x:v>c</x:v>
      </x:c>
      <x:c r="E503" t="str">
        <x:v>https://www.webonary.org/marubo/g66ee96b2-379c-4081-b968-62703baca008/</x:v>
      </x:c>
      <x:c r="F503" t="str">
        <x:v>g6042dd0a-37c5-4909-9260-a77eafb7ec72</x:v>
      </x:c>
      <x:c r="G503" s="20" t="n">
        <x:v>46003.934813912034</x:v>
      </x:c>
    </x:row>
    <x:row r="504">
      <x:c r="A504" s="18" t="str">
        <x:v>curativo</x:v>
      </x:c>
      <x:c r="B504" s="18" t="str">
        <x:v>tashnati</x:v>
      </x:c>
      <x:c r="C504" s="19" t="n">
        <x:f>IF(B504="",0,(LEN(B504)-LEN(SUBSTITUTE(B504," | ","")))/3+1)</x:f>
        <x:v>1</x:v>
      </x:c>
      <x:c r="D504" t="str">
        <x:v>c</x:v>
      </x:c>
      <x:c r="E504" t="str">
        <x:v>https://www.webonary.org/marubo/gfa1312df-85db-4326-820b-1916d312b33d/</x:v>
      </x:c>
      <x:c r="F504" t="str">
        <x:v>g5a3a4817-3ea5-4fc6-945a-831c5a28b66f</x:v>
      </x:c>
      <x:c r="G504" s="20" t="n">
        <x:v>46003.934813912034</x:v>
      </x:c>
    </x:row>
    <x:row r="505">
      <x:c r="A505" s="18" t="str">
        <x:v>curimatã</x:v>
      </x:c>
      <x:c r="B505" s="18" t="str">
        <x:v>voé</x:v>
      </x:c>
      <x:c r="C505" s="19" t="n">
        <x:f>IF(B505="",0,(LEN(B505)-LEN(SUBSTITUTE(B505," | ","")))/3+1)</x:f>
        <x:v>1</x:v>
      </x:c>
      <x:c r="D505" t="str">
        <x:v>c</x:v>
      </x:c>
      <x:c r="E505" t="str">
        <x:v>https://www.webonary.org/marubo/gca064ed4-f36e-400b-9a82-68e321ef3348/</x:v>
      </x:c>
      <x:c r="F505" t="str">
        <x:v>gc53d8b6d-034f-4edd-ab40-19432ffbb7e2</x:v>
      </x:c>
      <x:c r="G505" s="20" t="n">
        <x:v>46003.934813912034</x:v>
      </x:c>
    </x:row>
    <x:row r="506">
      <x:c r="A506" s="18" t="str">
        <x:v>curimatã pequeno</x:v>
      </x:c>
      <x:c r="B506" s="18" t="str">
        <x:v>voẽ rewéche</x:v>
      </x:c>
      <x:c r="C506" s="19" t="n">
        <x:f>IF(B506="",0,(LEN(B506)-LEN(SUBSTITUTE(B506," | ","")))/3+1)</x:f>
        <x:v>1</x:v>
      </x:c>
      <x:c r="D506" t="str">
        <x:v>c</x:v>
      </x:c>
      <x:c r="E506" t="str">
        <x:v>https://www.webonary.org/marubo/g03b04dab-3c43-4d94-ab78-880f8f5e858d/</x:v>
      </x:c>
      <x:c r="F506" t="str">
        <x:v>gebff7cee-8728-43a2-891b-de28feab0aa8</x:v>
      </x:c>
      <x:c r="G506" s="20" t="n">
        <x:v>46003.93482293982</x:v>
      </x:c>
    </x:row>
    <x:row r="507">
      <x:c r="A507" s="18" t="str">
        <x:v>curva do rio</x:v>
      </x:c>
      <x:c r="B507" s="18" t="str">
        <x:v>waka po</x:v>
      </x:c>
      <x:c r="C507" s="19" t="n">
        <x:f>IF(B507="",0,(LEN(B507)-LEN(SUBSTITUTE(B507," | ","")))/3+1)</x:f>
        <x:v>1</x:v>
      </x:c>
      <x:c r="D507" t="str">
        <x:v>c</x:v>
      </x:c>
      <x:c r="E507" t="str">
        <x:v>https://www.webonary.org/marubo/g418c5d80-e76b-4a88-8295-927446fa88b1/</x:v>
      </x:c>
      <x:c r="F507" t="str">
        <x:v>gc425729a-6171-40ff-8a45-f4c257944087</x:v>
      </x:c>
      <x:c r="G507" s="20" t="n">
        <x:v>46003.93482293982</x:v>
      </x:c>
    </x:row>
    <x:row r="508">
      <x:c r="A508" s="18" t="str">
        <x:v>cuspir</x:v>
      </x:c>
      <x:c r="B508" s="18" t="str">
        <x:v>toshpá aká</x:v>
      </x:c>
      <x:c r="C508" s="19" t="n">
        <x:f>IF(B508="",0,(LEN(B508)-LEN(SUBSTITUTE(B508," | ","")))/3+1)</x:f>
        <x:v>1</x:v>
      </x:c>
      <x:c r="D508" t="str">
        <x:v>c</x:v>
      </x:c>
      <x:c r="E508" t="str">
        <x:v>https://www.webonary.org/marubo/gd27ee9ed-e53d-4a1a-a719-cd821073a20f/</x:v>
      </x:c>
      <x:c r="F508" t="str">
        <x:v>g0bb8b9c2-ab92-4d66-bb07-6813c909d033</x:v>
      </x:c>
      <x:c r="G508" s="20" t="n">
        <x:v>46003.93482293982</x:v>
      </x:c>
    </x:row>
    <x:row r="509">
      <x:c r="A509" s="18" t="str">
        <x:v>cutia</x:v>
      </x:c>
      <x:c r="B509" s="18" t="str">
        <x:v>mari</x:v>
      </x:c>
      <x:c r="C509" s="19" t="n">
        <x:f>IF(B509="",0,(LEN(B509)-LEN(SUBSTITUTE(B509," | ","")))/3+1)</x:f>
        <x:v>1</x:v>
      </x:c>
      <x:c r="D509" t="str">
        <x:v>c</x:v>
      </x:c>
      <x:c r="E509" t="str">
        <x:v>https://www.webonary.org/marubo/gc1c82c43-c317-4bb3-a5cc-34b6836715d0/</x:v>
      </x:c>
      <x:c r="F509" t="str">
        <x:v>g50ce12e4-a21d-4a53-95e5-3179a4deded2</x:v>
      </x:c>
      <x:c r="G509" s="20" t="n">
        <x:v>46003.93482293982</x:v>
      </x:c>
    </x:row>
    <x:row r="510">
      <x:c r="A510" s="18" t="str">
        <x:v>cutucar na festa de Vina Atxia</x:v>
      </x:c>
      <x:c r="B510" s="18" t="str">
        <x:v>yatí aká</x:v>
      </x:c>
      <x:c r="C510" s="19" t="n">
        <x:f>IF(B510="",0,(LEN(B510)-LEN(SUBSTITUTE(B510," | ","")))/3+1)</x:f>
        <x:v>1</x:v>
      </x:c>
      <x:c r="D510" t="str">
        <x:v>c</x:v>
      </x:c>
      <x:c r="E510" t="str">
        <x:v>https://www.webonary.org/marubo/g873e721b-077e-4750-8cf0-d7ed4cfcb067/</x:v>
      </x:c>
      <x:c r="F510" t="str">
        <x:v>gc6a55265-5633-4806-87a4-b9f4cf3d1506</x:v>
      </x:c>
      <x:c r="G510" s="20" t="n">
        <x:v>46003.93482293982</x:v>
      </x:c>
    </x:row>
    <x:row r="511">
      <x:c r="A511" s="18" t="str">
        <x:v>dançar</x:v>
      </x:c>
      <x:c r="B511" s="18" t="str">
        <x:v>monoa</x:v>
      </x:c>
      <x:c r="C511" s="19" t="n">
        <x:f>IF(B511="",0,(LEN(B511)-LEN(SUBSTITUTE(B511," | ","")))/3+1)</x:f>
        <x:v>1</x:v>
      </x:c>
      <x:c r="D511" t="str">
        <x:v>d</x:v>
      </x:c>
      <x:c r="E511" t="str">
        <x:v>https://www.webonary.org/marubo/g7ab0bfde-cbfc-4b4d-b165-3c5936cbcd3d/</x:v>
      </x:c>
      <x:c r="F511" t="str">
        <x:v>gdb04d072-8986-4bd7-af58-a9a272ae80ab</x:v>
      </x:c>
      <x:c r="G511" s="20" t="n">
        <x:v>46003.93482293982</x:v>
      </x:c>
    </x:row>
    <x:row r="512">
      <x:c r="A512" s="18" t="str">
        <x:v>dar</x:v>
      </x:c>
      <x:c r="B512" s="18" t="str">
        <x:v>inã</x:v>
      </x:c>
      <x:c r="C512" s="19" t="n">
        <x:f>IF(B512="",0,(LEN(B512)-LEN(SUBSTITUTE(B512," | ","")))/3+1)</x:f>
        <x:v>1</x:v>
      </x:c>
      <x:c r="D512" t="str">
        <x:v>d</x:v>
      </x:c>
      <x:c r="E512" t="str">
        <x:v>https://www.webonary.org/marubo/gcaa98a32-ef93-4c51-926c-373802ad14b7/</x:v>
      </x:c>
      <x:c r="F512" t="str">
        <x:v>gd8bb6a40-efbb-4de9-b306-7eae76eb0163</x:v>
      </x:c>
      <x:c r="G512" s="20" t="n">
        <x:v>46003.93482293982</x:v>
      </x:c>
    </x:row>
    <x:row r="513">
      <x:c r="A513" s="18" t="str">
        <x:v>dar a língua</x:v>
      </x:c>
      <x:c r="B513" s="18" t="str">
        <x:v>ãsi ikí</x:v>
      </x:c>
      <x:c r="C513" s="19" t="n">
        <x:f>IF(B513="",0,(LEN(B513)-LEN(SUBSTITUTE(B513," | ","")))/3+1)</x:f>
        <x:v>1</x:v>
      </x:c>
      <x:c r="D513" t="str">
        <x:v>d</x:v>
      </x:c>
      <x:c r="E513" t="str">
        <x:v>https://www.webonary.org/marubo/g8a620291-308b-45c6-b072-3ceb8c211e0c/</x:v>
      </x:c>
      <x:c r="F513" t="str">
        <x:v>ge046c1a3-52bc-4e43-b095-2ed2188bfb30</x:v>
      </x:c>
      <x:c r="G513" s="20" t="n">
        <x:v>46003.93482293982</x:v>
      </x:c>
    </x:row>
    <x:row r="514">
      <x:c r="A514" s="18" t="str">
        <x:v>dar choque</x:v>
      </x:c>
      <x:c r="B514" s="18" t="str">
        <x:v>senã</x:v>
      </x:c>
      <x:c r="C514" s="19" t="n">
        <x:f>IF(B514="",0,(LEN(B514)-LEN(SUBSTITUTE(B514," | ","")))/3+1)</x:f>
        <x:v>1</x:v>
      </x:c>
      <x:c r="D514" t="str">
        <x:v>d</x:v>
      </x:c>
      <x:c r="E514" t="str">
        <x:v>https://www.webonary.org/marubo/g6ae86bd7-c73f-475d-972c-6f88d3ec8f8a/</x:v>
      </x:c>
      <x:c r="F514" t="str">
        <x:v>g82e07af9-d330-43dc-a2c3-ef06e3200123</x:v>
      </x:c>
      <x:c r="G514" s="20" t="n">
        <x:v>46003.93482293982</x:v>
      </x:c>
    </x:row>
    <x:row r="515">
      <x:c r="A515" s="18" t="str">
        <x:v>dar presente</x:v>
      </x:c>
      <x:c r="B515" s="18" t="str">
        <x:v>onis aká</x:v>
      </x:c>
      <x:c r="C515" s="19" t="n">
        <x:f>IF(B515="",0,(LEN(B515)-LEN(SUBSTITUTE(B515," | ","")))/3+1)</x:f>
        <x:v>1</x:v>
      </x:c>
      <x:c r="D515" t="str">
        <x:v>d</x:v>
      </x:c>
      <x:c r="E515" t="str">
        <x:v>https://www.webonary.org/marubo/g65785808-52a3-4b9a-ab39-9cd7e0a240b4/</x:v>
      </x:c>
      <x:c r="F515" t="str">
        <x:v>gf95d7697-c69d-48fa-8f2e-c35edd590641</x:v>
      </x:c>
      <x:c r="G515" s="20" t="n">
        <x:v>46003.93482293982</x:v>
      </x:c>
    </x:row>
    <x:row r="516">
      <x:c r="A516" s="18" t="str">
        <x:v>dar soco</x:v>
      </x:c>
      <x:c r="B516" s="18" t="str">
        <x:v>metash aká</x:v>
      </x:c>
      <x:c r="C516" s="19" t="n">
        <x:f>IF(B516="",0,(LEN(B516)-LEN(SUBSTITUTE(B516," | ","")))/3+1)</x:f>
        <x:v>1</x:v>
      </x:c>
      <x:c r="D516" t="str">
        <x:v>d</x:v>
      </x:c>
      <x:c r="E516" t="str">
        <x:v>https://www.webonary.org/marubo/ga721172e-87f1-402f-b765-0ac8c7ba3fb2/</x:v>
      </x:c>
      <x:c r="F516" t="str">
        <x:v>g48240d8c-20bd-4637-be77-02ee52c606aa</x:v>
      </x:c>
      <x:c r="G516" s="20" t="n">
        <x:v>46003.93482293982</x:v>
      </x:c>
    </x:row>
    <x:row r="517">
      <x:c r="A517" s="18" t="str">
        <x:v>dar soco no ouvido</x:v>
      </x:c>
      <x:c r="B517" s="18" t="str">
        <x:v>patxá aká</x:v>
      </x:c>
      <x:c r="C517" s="19" t="n">
        <x:f>IF(B517="",0,(LEN(B517)-LEN(SUBSTITUTE(B517," | ","")))/3+1)</x:f>
        <x:v>1</x:v>
      </x:c>
      <x:c r="D517" t="str">
        <x:v>d</x:v>
      </x:c>
      <x:c r="E517" t="str">
        <x:v>https://www.webonary.org/marubo/g376a9f0c-8683-4977-8725-a1a80a0701a1/</x:v>
      </x:c>
      <x:c r="F517" t="str">
        <x:v>g676d5587-ad67-400d-bd7c-3916a4604d4f</x:v>
      </x:c>
      <x:c r="G517" s="20" t="n">
        <x:v>46003.93482293982</x:v>
      </x:c>
    </x:row>
    <x:row r="518">
      <x:c r="A518" s="18" t="str">
        <x:v>dar varada nas costas</x:v>
      </x:c>
      <x:c r="B518" s="18" t="str">
        <x:v>perích aká</x:v>
      </x:c>
      <x:c r="C518" s="19" t="n">
        <x:f>IF(B518="",0,(LEN(B518)-LEN(SUBSTITUTE(B518," | ","")))/3+1)</x:f>
        <x:v>1</x:v>
      </x:c>
      <x:c r="D518" t="str">
        <x:v>d</x:v>
      </x:c>
      <x:c r="E518" t="str">
        <x:v>https://www.webonary.org/marubo/g660a8831-8527-499c-a24e-522c1d81565a/</x:v>
      </x:c>
      <x:c r="F518" t="str">
        <x:v>g2def67bf-be9e-4667-be20-131236a8150d</x:v>
      </x:c>
      <x:c r="G518" s="20" t="n">
        <x:v>46003.93482293982</x:v>
      </x:c>
    </x:row>
    <x:row r="519">
      <x:c r="A519" s="18" t="str">
        <x:v>de bruços</x:v>
      </x:c>
      <x:c r="B519" s="18" t="str">
        <x:v>ãpe ipá</x:v>
      </x:c>
      <x:c r="C519" s="19" t="n">
        <x:f>IF(B519="",0,(LEN(B519)-LEN(SUBSTITUTE(B519," | ","")))/3+1)</x:f>
        <x:v>1</x:v>
      </x:c>
      <x:c r="D519" t="str">
        <x:v>d</x:v>
      </x:c>
      <x:c r="E519" t="str">
        <x:v>https://www.webonary.org/marubo/g9bd2bb47-0921-445a-be9b-eb0b73941c0e/</x:v>
      </x:c>
      <x:c r="F519" t="str">
        <x:v>g35e03fd1-0d19-4119-bcfa-cd60a1637318</x:v>
      </x:c>
      <x:c r="G519" s="20" t="n">
        <x:v>46003.93482293982</x:v>
      </x:c>
    </x:row>
    <x:row r="520">
      <x:c r="A520" s="18" t="str">
        <x:v>de repente</x:v>
      </x:c>
      <x:c r="B520" s="18" t="str">
        <x:v>rateíse | rate</x:v>
      </x:c>
      <x:c r="C520" s="19" t="n">
        <x:f>IF(B520="",0,(LEN(B520)-LEN(SUBSTITUTE(B520," | ","")))/3+1)</x:f>
        <x:v>2</x:v>
      </x:c>
      <x:c r="D520" t="str">
        <x:v>d</x:v>
      </x:c>
      <x:c r="E520" t="str">
        <x:v>https://www.webonary.org/marubo/ge1183409-fe54-4250-b551-1aa5d793c88c/</x:v>
      </x:c>
      <x:c r="F520" t="str">
        <x:v>g0f86873c-9769-4c7c-b281-e71bf1d16dbb</x:v>
      </x:c>
      <x:c r="G520" s="20" t="n">
        <x:v>46003.93482293982</x:v>
      </x:c>
    </x:row>
    <x:row r="521">
      <x:c r="A521" s="18" t="str">
        <x:v>de volta</x:v>
      </x:c>
      <x:c r="B521" s="18" t="str">
        <x:v>arimẽse</x:v>
      </x:c>
      <x:c r="C521" s="19" t="n">
        <x:f>IF(B521="",0,(LEN(B521)-LEN(SUBSTITUTE(B521," | ","")))/3+1)</x:f>
        <x:v>1</x:v>
      </x:c>
      <x:c r="D521" t="str">
        <x:v>d</x:v>
      </x:c>
      <x:c r="E521" t="str">
        <x:v>https://www.webonary.org/marubo/gc1756f4b-62cf-4d90-ae6f-455678df138f/</x:v>
      </x:c>
      <x:c r="F521" t="str">
        <x:v>gcfb9f03c-93cf-41c4-ae8d-1b1c31362767</x:v>
      </x:c>
      <x:c r="G521" s="20" t="n">
        <x:v>46003.93482293982</x:v>
      </x:c>
    </x:row>
    <x:row r="522">
      <x:c r="A522" s="18" t="str">
        <x:v>debaixo da água</x:v>
      </x:c>
      <x:c r="B522" s="18" t="str">
        <x:v>ene oke</x:v>
      </x:c>
      <x:c r="C522" s="19" t="n">
        <x:f>IF(B522="",0,(LEN(B522)-LEN(SUBSTITUTE(B522," | ","")))/3+1)</x:f>
        <x:v>1</x:v>
      </x:c>
      <x:c r="D522" t="str">
        <x:v>d</x:v>
      </x:c>
      <x:c r="E522" t="str">
        <x:v>https://www.webonary.org/marubo/g6a826ad9-c4af-4ccd-88c0-13a03ab4eba8/</x:v>
      </x:c>
      <x:c r="F522" t="str">
        <x:v>gdf841fe6-2680-4c57-a294-0f22628c945b</x:v>
      </x:c>
      <x:c r="G522" s="20" t="n">
        <x:v>46003.93482293982</x:v>
      </x:c>
    </x:row>
    <x:row r="523">
      <x:c r="A523" s="18" t="str">
        <x:v>debaixo da coxa</x:v>
      </x:c>
      <x:c r="B523" s="18" t="str">
        <x:v>kichinaoshe</x:v>
      </x:c>
      <x:c r="C523" s="19" t="n">
        <x:f>IF(B523="",0,(LEN(B523)-LEN(SUBSTITUTE(B523," | ","")))/3+1)</x:f>
        <x:v>1</x:v>
      </x:c>
      <x:c r="D523" t="str">
        <x:v>d</x:v>
      </x:c>
      <x:c r="E523" t="str">
        <x:v>https://www.webonary.org/marubo/g6f3791a4-d040-4492-a1fd-dee7c2ec8e54/</x:v>
      </x:c>
      <x:c r="F523" t="str">
        <x:v>g363a7e39-abb6-4173-b371-0e64c3a90a8d</x:v>
      </x:c>
      <x:c r="G523" s="20" t="n">
        <x:v>46003.93482293982</x:v>
      </x:c>
    </x:row>
    <x:row r="524">
      <x:c r="A524" s="18" t="str">
        <x:v>debicar</x:v>
      </x:c>
      <x:c r="B524" s="18" t="str">
        <x:v>txatxia</x:v>
      </x:c>
      <x:c r="C524" s="19" t="n">
        <x:f>IF(B524="",0,(LEN(B524)-LEN(SUBSTITUTE(B524," | ","")))/3+1)</x:f>
        <x:v>1</x:v>
      </x:c>
      <x:c r="D524" t="str">
        <x:v>d</x:v>
      </x:c>
      <x:c r="E524" t="str">
        <x:v>https://www.webonary.org/marubo/g39f88ccf-477f-4db1-9cc6-b03b507dedc3/</x:v>
      </x:c>
      <x:c r="F524" t="str">
        <x:v>gc50f1591-5dfd-4d91-ac8f-d695bfef920d</x:v>
      </x:c>
      <x:c r="G524" s="20" t="n">
        <x:v>46003.93482293982</x:v>
      </x:c>
    </x:row>
    <x:row r="525">
      <x:c r="A525" s="18" t="str">
        <x:v>debulhar</x:v>
      </x:c>
      <x:c r="B525" s="18" t="str">
        <x:v>shemea</x:v>
      </x:c>
      <x:c r="C525" s="19" t="n">
        <x:f>IF(B525="",0,(LEN(B525)-LEN(SUBSTITUTE(B525," | ","")))/3+1)</x:f>
        <x:v>1</x:v>
      </x:c>
      <x:c r="D525" t="str">
        <x:v>d</x:v>
      </x:c>
      <x:c r="E525" t="str">
        <x:v>https://www.webonary.org/marubo/g882c5de4-688b-44d8-ac8d-6df6174f60d9/</x:v>
      </x:c>
      <x:c r="F525" t="str">
        <x:v>ge1875af5-ba97-4514-a595-4bf5c4c8981c</x:v>
      </x:c>
      <x:c r="G525" s="20" t="n">
        <x:v>46003.93482293982</x:v>
      </x:c>
    </x:row>
    <x:row r="526">
      <x:c r="A526" s="18" t="str">
        <x:v>decolar</x:v>
      </x:c>
      <x:c r="B526" s="18" t="str">
        <x:v>shará nia</x:v>
      </x:c>
      <x:c r="C526" s="19" t="n">
        <x:f>IF(B526="",0,(LEN(B526)-LEN(SUBSTITUTE(B526," | ","")))/3+1)</x:f>
        <x:v>1</x:v>
      </x:c>
      <x:c r="D526" t="str">
        <x:v>d</x:v>
      </x:c>
      <x:c r="E526" t="str">
        <x:v>https://www.webonary.org/marubo/g10bf7945-0526-447b-83b5-ab4017234c86/</x:v>
      </x:c>
      <x:c r="F526" t="str">
        <x:v>g7ad2b0c0-32fd-473f-95e6-d4a631fa859a</x:v>
      </x:c>
      <x:c r="G526" s="20" t="n">
        <x:v>46003.93482293982</x:v>
      </x:c>
    </x:row>
    <x:row r="527">
      <x:c r="A527" s="18" t="str">
        <x:v>defecar</x:v>
      </x:c>
      <x:c r="B527" s="18" t="str">
        <x:v>poia</x:v>
      </x:c>
      <x:c r="C527" s="19" t="n">
        <x:f>IF(B527="",0,(LEN(B527)-LEN(SUBSTITUTE(B527," | ","")))/3+1)</x:f>
        <x:v>1</x:v>
      </x:c>
      <x:c r="D527" t="str">
        <x:v>d</x:v>
      </x:c>
      <x:c r="E527" t="str">
        <x:v>https://www.webonary.org/marubo/ga3c5087b-85aa-4489-b192-85c9230c7d8b/</x:v>
      </x:c>
      <x:c r="F527" t="str">
        <x:v>g90871342-5749-4c28-9e15-2554b5054732</x:v>
      </x:c>
      <x:c r="G527" s="20" t="n">
        <x:v>46003.93482293982</x:v>
      </x:c>
    </x:row>
    <x:row r="528">
      <x:c r="A528" s="18" t="str">
        <x:v>deficiente</x:v>
      </x:c>
      <x:c r="B528" s="18" t="str">
        <x:v>txãto</x:v>
      </x:c>
      <x:c r="C528" s="19" t="n">
        <x:f>IF(B528="",0,(LEN(B528)-LEN(SUBSTITUTE(B528," | ","")))/3+1)</x:f>
        <x:v>1</x:v>
      </x:c>
      <x:c r="D528" t="str">
        <x:v>d</x:v>
      </x:c>
      <x:c r="E528" t="str">
        <x:v>https://www.webonary.org/marubo/gbe0df28f-448d-49fb-be8e-6b08a342c243/</x:v>
      </x:c>
      <x:c r="F528" t="str">
        <x:v>gb8298229-18dd-456f-b69a-b15327c9c378</x:v>
      </x:c>
      <x:c r="G528" s="20" t="n">
        <x:v>46003.93482293982</x:v>
      </x:c>
    </x:row>
    <x:row r="529">
      <x:c r="A529" s="18" t="str">
        <x:v>defumar borracha</x:v>
      </x:c>
      <x:c r="B529" s="18" t="str">
        <x:v>koro aká</x:v>
      </x:c>
      <x:c r="C529" s="19" t="n">
        <x:f>IF(B529="",0,(LEN(B529)-LEN(SUBSTITUTE(B529," | ","")))/3+1)</x:f>
        <x:v>1</x:v>
      </x:c>
      <x:c r="D529" t="str">
        <x:v>d</x:v>
      </x:c>
      <x:c r="E529" t="str">
        <x:v>https://www.webonary.org/marubo/gdf02c114-5ca9-4996-8b6b-fbbaf8bdeec3/</x:v>
      </x:c>
      <x:c r="F529" t="str">
        <x:v>g017108d8-d631-41f2-ba9b-6891827dbb81</x:v>
      </x:c>
      <x:c r="G529" s="20" t="n">
        <x:v>46003.93482293982</x:v>
      </x:c>
    </x:row>
    <x:row r="530">
      <x:c r="A530" s="18" t="str">
        <x:v>deixar</x:v>
      </x:c>
      <x:c r="B530" s="18" t="str">
        <x:v>enea</x:v>
      </x:c>
      <x:c r="C530" s="19" t="n">
        <x:f>IF(B530="",0,(LEN(B530)-LEN(SUBSTITUTE(B530," | ","")))/3+1)</x:f>
        <x:v>1</x:v>
      </x:c>
      <x:c r="D530" t="str">
        <x:v>d</x:v>
      </x:c>
      <x:c r="E530" t="str">
        <x:v>https://www.webonary.org/marubo/g98299b5a-3ca5-425a-940f-0e9c87612ec5/</x:v>
      </x:c>
      <x:c r="F530" t="str">
        <x:v>g0d6ca503-647b-4ccb-97ff-4325fbcc6370</x:v>
      </x:c>
      <x:c r="G530" s="20" t="n">
        <x:v>46003.93482293982</x:v>
      </x:c>
    </x:row>
    <x:row r="531">
      <x:c r="A531" s="18" t="str">
        <x:v>demorado</x:v>
      </x:c>
      <x:c r="B531" s="18" t="str">
        <x:v>inoka</x:v>
      </x:c>
      <x:c r="C531" s="19" t="n">
        <x:f>IF(B531="",0,(LEN(B531)-LEN(SUBSTITUTE(B531," | ","")))/3+1)</x:f>
        <x:v>1</x:v>
      </x:c>
      <x:c r="D531" t="str">
        <x:v>d</x:v>
      </x:c>
      <x:c r="E531" t="str">
        <x:v>https://www.webonary.org/marubo/gb1aaf0af-be48-40a0-9c2c-b80e9d37f45b/</x:v>
      </x:c>
      <x:c r="F531" t="str">
        <x:v>gc057e6fc-da4e-4823-9f52-701abfdb73f3</x:v>
      </x:c>
      <x:c r="G531" s="20" t="n">
        <x:v>46003.93482293982</x:v>
      </x:c>
    </x:row>
    <x:row r="532">
      <x:c r="A532" s="18" t="str">
        <x:v>dente</x:v>
      </x:c>
      <x:c r="B532" s="18" t="str">
        <x:v>sheta</x:v>
      </x:c>
      <x:c r="C532" s="19" t="n">
        <x:f>IF(B532="",0,(LEN(B532)-LEN(SUBSTITUTE(B532," | ","")))/3+1)</x:f>
        <x:v>1</x:v>
      </x:c>
      <x:c r="D532" t="str">
        <x:v>d</x:v>
      </x:c>
      <x:c r="E532" t="str">
        <x:v>https://www.webonary.org/marubo/gaee825dd-91d6-4082-a0f6-2ea21e7330ea/</x:v>
      </x:c>
      <x:c r="F532" t="str">
        <x:v>gbdd3a614-4b83-49c4-b835-925424f014ec</x:v>
      </x:c>
      <x:c r="G532" s="20" t="n">
        <x:v>46003.93482293982</x:v>
      </x:c>
    </x:row>
    <x:row r="533">
      <x:c r="A533" s="18" t="str">
        <x:v>dentes caninos</x:v>
      </x:c>
      <x:c r="B533" s="18" t="str">
        <x:v>vimi toshati</x:v>
      </x:c>
      <x:c r="C533" s="19" t="n">
        <x:f>IF(B533="",0,(LEN(B533)-LEN(SUBSTITUTE(B533," | ","")))/3+1)</x:f>
        <x:v>1</x:v>
      </x:c>
      <x:c r="D533" t="str">
        <x:v>d</x:v>
      </x:c>
      <x:c r="E533" t="str">
        <x:v>https://www.webonary.org/marubo/g21d7c20c-98f3-4850-b234-e6f4fe2f8c1f/</x:v>
      </x:c>
      <x:c r="F533" t="str">
        <x:v>g028ed507-059d-4b39-aae0-6d07e0afe66b</x:v>
      </x:c>
      <x:c r="G533" s="20" t="n">
        <x:v>46003.93482293982</x:v>
      </x:c>
    </x:row>
    <x:row r="534">
      <x:c r="A534" s="18" t="str">
        <x:v>dentro</x:v>
      </x:c>
      <x:c r="B534" s="18" t="str">
        <x:v>naki | 2</x:v>
      </x:c>
      <x:c r="C534" s="19" t="n">
        <x:f>IF(B534="",0,(LEN(B534)-LEN(SUBSTITUTE(B534," | ","")))/3+1)</x:f>
        <x:v>2</x:v>
      </x:c>
      <x:c r="D534" t="str">
        <x:v>d</x:v>
      </x:c>
      <x:c r="E534" t="str">
        <x:v>https://www.webonary.org/marubo/g4e6782ce-1898-44dd-8506-1428fecffd41/</x:v>
      </x:c>
      <x:c r="F534" t="str">
        <x:v>g38034c70-467b-4c6b-be46-57f419ec4443</x:v>
      </x:c>
      <x:c r="G534" s="20" t="n">
        <x:v>46003.93482293982</x:v>
      </x:c>
    </x:row>
    <x:row r="535">
      <x:c r="A535" s="18" t="str">
        <x:v>depois</x:v>
      </x:c>
      <x:c r="B535" s="18" t="str">
        <x:v>txipo</x:v>
      </x:c>
      <x:c r="C535" s="19" t="n">
        <x:f>IF(B535="",0,(LEN(B535)-LEN(SUBSTITUTE(B535," | ","")))/3+1)</x:f>
        <x:v>1</x:v>
      </x:c>
      <x:c r="D535" t="str">
        <x:v>d</x:v>
      </x:c>
      <x:c r="E535" t="str">
        <x:v>https://www.webonary.org/marubo/g9331d009-a4a9-48b9-b0dd-7cced1c9602e/</x:v>
      </x:c>
      <x:c r="F535" t="str">
        <x:v>g170c2dc3-1a88-4cc9-8e7c-3a5d443001dd</x:v>
      </x:c>
      <x:c r="G535" s="20" t="n">
        <x:v>46003.93482293982</x:v>
      </x:c>
    </x:row>
    <x:row r="536">
      <x:c r="A536" s="18" t="str">
        <x:v>derramar</x:v>
      </x:c>
      <x:c r="B536" s="18" t="str">
        <x:v>okóa | oka | 2</x:v>
      </x:c>
      <x:c r="C536" s="19" t="n">
        <x:f>IF(B536="",0,(LEN(B536)-LEN(SUBSTITUTE(B536," | ","")))/3+1)</x:f>
        <x:v>3</x:v>
      </x:c>
      <x:c r="D536" t="str">
        <x:v>d</x:v>
      </x:c>
      <x:c r="E536" t="str">
        <x:v>https://www.webonary.org/marubo/g64ec9c3e-f3e2-4b1c-8981-aac3b716bfa1/</x:v>
      </x:c>
      <x:c r="F536" t="str">
        <x:v>g12531173-afa4-4f3a-9149-6dd63d182b1b</x:v>
      </x:c>
      <x:c r="G536" s="20" t="n">
        <x:v>46003.93482293982</x:v>
      </x:c>
    </x:row>
    <x:row r="537">
      <x:c r="A537" s="18" t="str">
        <x:v>derrubar</x:v>
      </x:c>
      <x:c r="B537" s="18" t="str">
        <x:v>pakea | mepískoa</x:v>
      </x:c>
      <x:c r="C537" s="19" t="n">
        <x:f>IF(B537="",0,(LEN(B537)-LEN(SUBSTITUTE(B537," | ","")))/3+1)</x:f>
        <x:v>2</x:v>
      </x:c>
      <x:c r="D537" t="str">
        <x:v>d</x:v>
      </x:c>
      <x:c r="E537" t="str">
        <x:v>https://www.webonary.org/marubo/g6e672d42-c485-43e0-a528-b34949881d0c/</x:v>
      </x:c>
      <x:c r="F537" t="str">
        <x:v>gc131cb84-8833-4f1b-94a8-c65696876507</x:v>
      </x:c>
      <x:c r="G537" s="20" t="n">
        <x:v>46003.93482293982</x:v>
      </x:c>
    </x:row>
    <x:row r="538">
      <x:c r="A538" s="18" t="str">
        <x:v>DES</x:v>
      </x:c>
      <x:c r="B538" s="18" t="str">
        <x:v>-katsi</x:v>
      </x:c>
      <x:c r="C538" s="19" t="n">
        <x:f>IF(B538="",0,(LEN(B538)-LEN(SUBSTITUTE(B538," | ","")))/3+1)</x:f>
        <x:v>1</x:v>
      </x:c>
      <x:c r="D538" t="str">
        <x:v>d</x:v>
      </x:c>
      <x:c r="E538" t="str">
        <x:v>https://www.webonary.org/marubo/g538448ff-558c-4c82-84c4-664afccfca4b/</x:v>
      </x:c>
      <x:c r="F538" t="str">
        <x:v>gfe2a5ebb-4a43-47a0-8ded-4704702afde0</x:v>
      </x:c>
      <x:c r="G538" s="20" t="n">
        <x:v>46003.93482293982</x:v>
      </x:c>
    </x:row>
    <x:row r="539">
      <x:c r="A539" s="18" t="str">
        <x:v>desar fogo</x:v>
      </x:c>
      <x:c r="B539" s="18" t="str">
        <x:v>txii aká</x:v>
      </x:c>
      <x:c r="C539" s="19" t="n">
        <x:f>IF(B539="",0,(LEN(B539)-LEN(SUBSTITUTE(B539," | ","")))/3+1)</x:f>
        <x:v>1</x:v>
      </x:c>
      <x:c r="D539" t="str">
        <x:v>d</x:v>
      </x:c>
      <x:c r="E539" t="str">
        <x:v>https://www.webonary.org/marubo/g983c87e7-d0fd-4f46-a2af-64deeda41171/</x:v>
      </x:c>
      <x:c r="F539" t="str">
        <x:v>gd6f05cb7-2534-48ed-b682-7e097b1b3ef9</x:v>
      </x:c>
      <x:c r="G539" s="20" t="n">
        <x:v>46003.93482293982</x:v>
      </x:c>
    </x:row>
    <x:row r="540">
      <x:c r="A540" s="18" t="str">
        <x:v>desatar</x:v>
      </x:c>
      <x:c r="B540" s="18" t="str">
        <x:v>kocha | kochía</x:v>
      </x:c>
      <x:c r="C540" s="19" t="n">
        <x:f>IF(B540="",0,(LEN(B540)-LEN(SUBSTITUTE(B540," | ","")))/3+1)</x:f>
        <x:v>2</x:v>
      </x:c>
      <x:c r="D540" t="str">
        <x:v>d</x:v>
      </x:c>
      <x:c r="E540" t="str">
        <x:v>https://www.webonary.org/marubo/g55e5211c-30de-45b3-8d84-ce25d3631317/</x:v>
      </x:c>
      <x:c r="F540" t="str">
        <x:v>g1b6792b2-4ba2-4d6d-a615-9b88c4f87470</x:v>
      </x:c>
      <x:c r="G540" s="20" t="n">
        <x:v>46003.93482293982</x:v>
      </x:c>
    </x:row>
    <x:row r="541">
      <x:c r="A541" s="18" t="str">
        <x:v>descansar</x:v>
      </x:c>
      <x:c r="B541" s="18" t="str">
        <x:v>tenea</x:v>
      </x:c>
      <x:c r="C541" s="19" t="n">
        <x:f>IF(B541="",0,(LEN(B541)-LEN(SUBSTITUTE(B541," | ","")))/3+1)</x:f>
        <x:v>1</x:v>
      </x:c>
      <x:c r="D541" t="str">
        <x:v>d</x:v>
      </x:c>
      <x:c r="E541" t="str">
        <x:v>https://www.webonary.org/marubo/gfd0160eb-d6d4-4725-b90c-1827cb8d4b1b/</x:v>
      </x:c>
      <x:c r="F541" t="str">
        <x:v>ge9dac350-09e5-48cc-a8f5-b4a5b73ac6c1</x:v>
      </x:c>
      <x:c r="G541" s="20" t="n">
        <x:v>46003.93482293982</x:v>
      </x:c>
    </x:row>
    <x:row r="542">
      <x:c r="A542" s="18" t="str">
        <x:v>descascar</x:v>
      </x:c>
      <x:c r="B542" s="18" t="str">
        <x:v>shoka</x:v>
      </x:c>
      <x:c r="C542" s="19" t="n">
        <x:f>IF(B542="",0,(LEN(B542)-LEN(SUBSTITUTE(B542," | ","")))/3+1)</x:f>
        <x:v>1</x:v>
      </x:c>
      <x:c r="D542" t="str">
        <x:v>d</x:v>
      </x:c>
      <x:c r="E542" t="str">
        <x:v>https://www.webonary.org/marubo/gd792d6cb-d0b4-4db7-9418-5c9e208b7382/</x:v>
      </x:c>
      <x:c r="F542" t="str">
        <x:v>g3bd59f79-3db8-4996-ac5f-1436f230c1e6</x:v>
      </x:c>
      <x:c r="G542" s="20" t="n">
        <x:v>46003.93482293982</x:v>
      </x:c>
    </x:row>
    <x:row r="543">
      <x:c r="A543" s="18" t="str">
        <x:v>descendo a cabeça quando estar com sono</x:v>
      </x:c>
      <x:c r="B543" s="18" t="str">
        <x:v>veko aká</x:v>
      </x:c>
      <x:c r="C543" s="19" t="n">
        <x:f>IF(B543="",0,(LEN(B543)-LEN(SUBSTITUTE(B543," | ","")))/3+1)</x:f>
        <x:v>1</x:v>
      </x:c>
      <x:c r="D543" t="str">
        <x:v>d</x:v>
      </x:c>
      <x:c r="E543" t="str">
        <x:v>https://www.webonary.org/marubo/g3815f3ff-47e6-4801-ae2a-9d428640a580/</x:v>
      </x:c>
      <x:c r="F543" t="str">
        <x:v>g13b9c099-5b02-489e-9053-b824848213d9</x:v>
      </x:c>
      <x:c r="G543" s="20" t="n">
        <x:v>46003.93482293982</x:v>
      </x:c>
    </x:row>
    <x:row r="544">
      <x:c r="A544" s="18" t="str">
        <x:v>descer</x:v>
      </x:c>
      <x:c r="B544" s="18" t="str">
        <x:v>votse ipá | nipa</x:v>
      </x:c>
      <x:c r="C544" s="19" t="n">
        <x:f>IF(B544="",0,(LEN(B544)-LEN(SUBSTITUTE(B544," | ","")))/3+1)</x:f>
        <x:v>2</x:v>
      </x:c>
      <x:c r="D544" t="str">
        <x:v>d</x:v>
      </x:c>
      <x:c r="E544" t="str">
        <x:v>https://www.webonary.org/marubo/g990bda94-ebef-4468-92a9-85f13c17a3fa/</x:v>
      </x:c>
      <x:c r="F544" t="str">
        <x:v>g1992f5cc-ddb7-406b-bc6d-326def867c60</x:v>
      </x:c>
      <x:c r="G544" s="20" t="n">
        <x:v>46003.93482293982</x:v>
      </x:c>
    </x:row>
    <x:row r="545">
      <x:c r="A545" s="18" t="str">
        <x:v>desejar</x:v>
      </x:c>
      <x:c r="B545" s="18" t="str">
        <x:v>kẽẽa</x:v>
      </x:c>
      <x:c r="C545" s="19" t="n">
        <x:f>IF(B545="",0,(LEN(B545)-LEN(SUBSTITUTE(B545," | ","")))/3+1)</x:f>
        <x:v>1</x:v>
      </x:c>
      <x:c r="D545" t="str">
        <x:v>d</x:v>
      </x:c>
      <x:c r="E545" t="str">
        <x:v>https://www.webonary.org/marubo/g083c6ceb-1fbc-4d30-8759-7a4f7f607051/</x:v>
      </x:c>
      <x:c r="F545" t="str">
        <x:v>g34748d5e-e632-4f2e-afca-b8414eb43cbd</x:v>
      </x:c>
      <x:c r="G545" s="20" t="n">
        <x:v>46003.93482293982</x:v>
      </x:c>
    </x:row>
    <x:row r="546">
      <x:c r="A546" s="18" t="str">
        <x:v>desenhar</x:v>
      </x:c>
      <x:c r="B546" s="18" t="str">
        <x:v>kene aká</x:v>
      </x:c>
      <x:c r="C546" s="19" t="n">
        <x:f>IF(B546="",0,(LEN(B546)-LEN(SUBSTITUTE(B546," | ","")))/3+1)</x:f>
        <x:v>1</x:v>
      </x:c>
      <x:c r="D546" t="str">
        <x:v>d</x:v>
      </x:c>
      <x:c r="E546" t="str">
        <x:v>https://www.webonary.org/marubo/g863eb249-f2fc-464c-a230-9556f347cb8c/</x:v>
      </x:c>
      <x:c r="F546" t="str">
        <x:v>gc1ac9b08-dfbe-4eca-a114-774e4df8ca51</x:v>
      </x:c>
      <x:c r="G546" s="20" t="n">
        <x:v>46003.93482293982</x:v>
      </x:c>
    </x:row>
    <x:row r="547">
      <x:c r="A547" s="18" t="str">
        <x:v>desenho feito na ponta de flecha</x:v>
      </x:c>
      <x:c r="B547" s="18" t="str">
        <x:v>txené</x:v>
      </x:c>
      <x:c r="C547" s="19" t="n">
        <x:f>IF(B547="",0,(LEN(B547)-LEN(SUBSTITUTE(B547," | ","")))/3+1)</x:f>
        <x:v>1</x:v>
      </x:c>
      <x:c r="D547" t="str">
        <x:v>d</x:v>
      </x:c>
      <x:c r="E547" t="str">
        <x:v>https://www.webonary.org/marubo/g222980c7-d867-469c-a96f-323999928581/</x:v>
      </x:c>
      <x:c r="F547" t="str">
        <x:v>gec6df1cf-6969-4e3b-bd6a-8b64060bbcd1</x:v>
      </x:c>
      <x:c r="G547" s="20" t="n">
        <x:v>46003.93482293982</x:v>
      </x:c>
    </x:row>
    <x:row r="548">
      <x:c r="A548" s="18" t="str">
        <x:v>desesperar</x:v>
      </x:c>
      <x:c r="B548" s="18" t="str">
        <x:v>notsi</x:v>
      </x:c>
      <x:c r="C548" s="19" t="n">
        <x:f>IF(B548="",0,(LEN(B548)-LEN(SUBSTITUTE(B548," | ","")))/3+1)</x:f>
        <x:v>1</x:v>
      </x:c>
      <x:c r="D548" t="str">
        <x:v>d</x:v>
      </x:c>
      <x:c r="E548" t="str">
        <x:v>https://www.webonary.org/marubo/g67674e53-dde5-43f5-928a-094f6832478d/</x:v>
      </x:c>
      <x:c r="F548" t="str">
        <x:v>g288798bf-ee82-4049-b9f7-a9deefe14ffa</x:v>
      </x:c>
      <x:c r="G548" s="20" t="n">
        <x:v>46003.93482293982</x:v>
      </x:c>
    </x:row>
    <x:row r="549">
      <x:c r="A549" s="18" t="str">
        <x:v>desligar</x:v>
      </x:c>
      <x:c r="B549" s="18" t="str">
        <x:v>namea</x:v>
      </x:c>
      <x:c r="C549" s="19" t="n">
        <x:f>IF(B549="",0,(LEN(B549)-LEN(SUBSTITUTE(B549," | ","")))/3+1)</x:f>
        <x:v>1</x:v>
      </x:c>
      <x:c r="D549" t="str">
        <x:v>d</x:v>
      </x:c>
      <x:c r="E549" t="str">
        <x:v>https://www.webonary.org/marubo/g5ef169f5-a21a-4388-a1ad-48b746fd91d3/</x:v>
      </x:c>
      <x:c r="F549" t="str">
        <x:v>g58d9cca0-4273-4248-a0c3-0e360ad9830c</x:v>
      </x:c>
      <x:c r="G549" s="20" t="n">
        <x:v>46003.93482293982</x:v>
      </x:c>
    </x:row>
    <x:row r="550">
      <x:c r="A550" s="18" t="str">
        <x:v>deslizar para baixo</x:v>
      </x:c>
      <x:c r="B550" s="18" t="str">
        <x:v>sirí ipá</x:v>
      </x:c>
      <x:c r="C550" s="19" t="n">
        <x:f>IF(B550="",0,(LEN(B550)-LEN(SUBSTITUTE(B550," | ","")))/3+1)</x:f>
        <x:v>1</x:v>
      </x:c>
      <x:c r="D550" t="str">
        <x:v>d</x:v>
      </x:c>
      <x:c r="E550" t="str">
        <x:v>https://www.webonary.org/marubo/gdefb8924-15d9-499e-853f-a9e3dd05b904/</x:v>
      </x:c>
      <x:c r="F550" t="str">
        <x:v>g1f70f1a2-d1dc-48ef-b8fb-bd2ef97957f8</x:v>
      </x:c>
      <x:c r="G550" s="20" t="n">
        <x:v>46003.93482293982</x:v>
      </x:c>
    </x:row>
    <x:row r="551">
      <x:c r="A551" s="18" t="str">
        <x:v>desmanchar</x:v>
      </x:c>
      <x:c r="B551" s="18" t="str">
        <x:v>txoyo aká</x:v>
      </x:c>
      <x:c r="C551" s="19" t="n">
        <x:f>IF(B551="",0,(LEN(B551)-LEN(SUBSTITUTE(B551," | ","")))/3+1)</x:f>
        <x:v>1</x:v>
      </x:c>
      <x:c r="D551" t="str">
        <x:v>d</x:v>
      </x:c>
      <x:c r="E551" t="str">
        <x:v>https://www.webonary.org/marubo/gb175a659-8ac7-4f25-8baf-0c589f46cf66/</x:v>
      </x:c>
      <x:c r="F551" t="str">
        <x:v>g7f08be9b-8d25-40a7-9868-1840fde446c5</x:v>
      </x:c>
      <x:c r="G551" s="20" t="n">
        <x:v>46003.93482293982</x:v>
      </x:c>
    </x:row>
    <x:row r="552">
      <x:c r="A552" s="18" t="str">
        <x:v>desobedecer</x:v>
      </x:c>
      <x:c r="B552" s="18" t="str">
        <x:v>tavamá</x:v>
      </x:c>
      <x:c r="C552" s="19" t="n">
        <x:f>IF(B552="",0,(LEN(B552)-LEN(SUBSTITUTE(B552," | ","")))/3+1)</x:f>
        <x:v>1</x:v>
      </x:c>
      <x:c r="D552" t="str">
        <x:v>d</x:v>
      </x:c>
      <x:c r="E552" t="str">
        <x:v>https://www.webonary.org/marubo/g7f58828a-f529-4dcd-8b87-625703b9a758/</x:v>
      </x:c>
      <x:c r="F552" t="str">
        <x:v>g721f52e9-c960-480a-852b-5f84588c87c5</x:v>
      </x:c>
      <x:c r="G552" s="20" t="n">
        <x:v>46003.93482293982</x:v>
      </x:c>
    </x:row>
    <x:row r="553">
      <x:c r="A553" s="18" t="str">
        <x:v>despedaçar</x:v>
      </x:c>
      <x:c r="B553" s="18" t="str">
        <x:v>eshtéa</x:v>
      </x:c>
      <x:c r="C553" s="19" t="n">
        <x:f>IF(B553="",0,(LEN(B553)-LEN(SUBSTITUTE(B553," | ","")))/3+1)</x:f>
        <x:v>1</x:v>
      </x:c>
      <x:c r="D553" t="str">
        <x:v>d</x:v>
      </x:c>
      <x:c r="E553" t="str">
        <x:v>https://www.webonary.org/marubo/gca259966-0161-43a0-9e13-b9a997581b34/</x:v>
      </x:c>
      <x:c r="F553" t="str">
        <x:v>gdd831747-1029-4466-9f59-6c137fc5711a</x:v>
      </x:c>
      <x:c r="G553" s="20" t="n">
        <x:v>46003.93482293982</x:v>
      </x:c>
    </x:row>
    <x:row r="554">
      <x:c r="A554" s="18" t="str">
        <x:v>despedaçar-se</x:v>
      </x:c>
      <x:c r="B554" s="18" t="str">
        <x:v>kashkéa</x:v>
      </x:c>
      <x:c r="C554" s="19" t="n">
        <x:f>IF(B554="",0,(LEN(B554)-LEN(SUBSTITUTE(B554," | ","")))/3+1)</x:f>
        <x:v>1</x:v>
      </x:c>
      <x:c r="D554" t="str">
        <x:v>d</x:v>
      </x:c>
      <x:c r="E554" t="str">
        <x:v>https://www.webonary.org/marubo/gf1b72d7b-b2bd-45da-a146-c3b9d7089c8e/</x:v>
      </x:c>
      <x:c r="F554" t="str">
        <x:v>g7af6fdb5-4366-412b-b2bc-081719515db7</x:v>
      </x:c>
      <x:c r="G554" s="20" t="n">
        <x:v>46003.93482293982</x:v>
      </x:c>
    </x:row>
    <x:row r="555">
      <x:c r="A555" s="18" t="str">
        <x:v>despejar</x:v>
      </x:c>
      <x:c r="B555" s="18" t="str">
        <x:v>ãsha aká | manea | kosha</x:v>
      </x:c>
      <x:c r="C555" s="19" t="n">
        <x:f>IF(B555="",0,(LEN(B555)-LEN(SUBSTITUTE(B555," | ","")))/3+1)</x:f>
        <x:v>3</x:v>
      </x:c>
      <x:c r="D555" t="str">
        <x:v>d</x:v>
      </x:c>
      <x:c r="E555" t="str">
        <x:v>https://www.webonary.org/marubo/gaa3562f3-1007-4a22-9a0e-32c5fad2096e/</x:v>
      </x:c>
      <x:c r="F555" t="str">
        <x:v>gfdc60595-0d8a-4aef-9810-b8d14316240e</x:v>
      </x:c>
      <x:c r="G555" s="20" t="n">
        <x:v>46003.93482293982</x:v>
      </x:c>
    </x:row>
    <x:row r="556">
      <x:c r="A556" s="18" t="str">
        <x:v>desrespeitar</x:v>
      </x:c>
      <x:c r="B556" s="18" t="str">
        <x:v>ati aká</x:v>
      </x:c>
      <x:c r="C556" s="19" t="n">
        <x:f>IF(B556="",0,(LEN(B556)-LEN(SUBSTITUTE(B556," | ","")))/3+1)</x:f>
        <x:v>1</x:v>
      </x:c>
      <x:c r="D556" t="str">
        <x:v>d</x:v>
      </x:c>
      <x:c r="E556" t="str">
        <x:v>https://www.webonary.org/marubo/g5308317b-edd7-4aec-b173-7ada3ad4bfa6/</x:v>
      </x:c>
      <x:c r="F556" t="str">
        <x:v>g741b8de8-e23a-424b-a748-e440dc21876a</x:v>
      </x:c>
      <x:c r="G556" s="20" t="n">
        <x:v>46003.934832210645</x:v>
      </x:c>
    </x:row>
    <x:row r="557">
      <x:c r="A557" s="18" t="str">
        <x:v>devegar</x:v>
      </x:c>
      <x:c r="B557" s="18" t="str">
        <x:v>tanáchta</x:v>
      </x:c>
      <x:c r="C557" s="19" t="n">
        <x:f>IF(B557="",0,(LEN(B557)-LEN(SUBSTITUTE(B557," | ","")))/3+1)</x:f>
        <x:v>1</x:v>
      </x:c>
      <x:c r="D557" t="str">
        <x:v>d</x:v>
      </x:c>
      <x:c r="E557" t="str">
        <x:v>https://www.webonary.org/marubo/g840f7f06-6786-4c30-baad-48419d8ba4c8/</x:v>
      </x:c>
      <x:c r="F557" t="str">
        <x:v>g957b0863-2f1d-4be3-ab0e-49c3c0b19f5e</x:v>
      </x:c>
      <x:c r="G557" s="20" t="n">
        <x:v>46003.934832210645</x:v>
      </x:c>
    </x:row>
    <x:row r="558">
      <x:c r="A558" s="18" t="str">
        <x:v>dia</x:v>
      </x:c>
      <x:c r="B558" s="18" t="str">
        <x:v>shavá</x:v>
      </x:c>
      <x:c r="C558" s="19" t="n">
        <x:f>IF(B558="",0,(LEN(B558)-LEN(SUBSTITUTE(B558," | ","")))/3+1)</x:f>
        <x:v>1</x:v>
      </x:c>
      <x:c r="D558" t="str">
        <x:v>d</x:v>
      </x:c>
      <x:c r="E558" t="str">
        <x:v>https://www.webonary.org/marubo/gffd3c4c9-bf8d-4794-b4aa-db58785d05b6/</x:v>
      </x:c>
      <x:c r="F558" t="str">
        <x:v>gb749c7de-8748-4dc2-89e7-cf77045ec7c4</x:v>
      </x:c>
      <x:c r="G558" s="20" t="n">
        <x:v>46003.934832210645</x:v>
      </x:c>
    </x:row>
    <x:row r="559">
      <x:c r="A559" s="18" t="str">
        <x:v>diagonal</x:v>
      </x:c>
      <x:c r="B559" s="18" t="str">
        <x:v>katai niá</x:v>
      </x:c>
      <x:c r="C559" s="19" t="n">
        <x:f>IF(B559="",0,(LEN(B559)-LEN(SUBSTITUTE(B559," | ","")))/3+1)</x:f>
        <x:v>1</x:v>
      </x:c>
      <x:c r="D559" t="str">
        <x:v>d</x:v>
      </x:c>
      <x:c r="E559" t="str">
        <x:v>https://www.webonary.org/marubo/ge0ca2fcc-b94a-418c-bfba-c6bee467540f/</x:v>
      </x:c>
      <x:c r="F559" t="str">
        <x:v>g0c5ac528-9d7e-4a47-9373-6497255374ce</x:v>
      </x:c>
      <x:c r="G559" s="20" t="n">
        <x:v>46003.934832210645</x:v>
      </x:c>
    </x:row>
    <x:row r="560">
      <x:c r="A560" s="18" t="str">
        <x:v>difícil</x:v>
      </x:c>
      <x:c r="B560" s="18" t="str">
        <x:v>yomãka</x:v>
      </x:c>
      <x:c r="C560" s="19" t="n">
        <x:f>IF(B560="",0,(LEN(B560)-LEN(SUBSTITUTE(B560," | ","")))/3+1)</x:f>
        <x:v>1</x:v>
      </x:c>
      <x:c r="D560" t="str">
        <x:v>d</x:v>
      </x:c>
      <x:c r="E560" t="str">
        <x:v>https://www.webonary.org/marubo/g05651e8c-1875-4fdb-8962-48530ccd3022/</x:v>
      </x:c>
      <x:c r="F560" t="str">
        <x:v>g8c2e3ccb-258f-4214-85d3-1f6e0827d6f9</x:v>
      </x:c>
      <x:c r="G560" s="20" t="n">
        <x:v>46003.934832210645</x:v>
      </x:c>
    </x:row>
    <x:row r="561">
      <x:c r="A561" s="18" t="str">
        <x:v>DIM</x:v>
      </x:c>
      <x:c r="B561" s="18" t="str">
        <x:v>-txa | -chta</x:v>
      </x:c>
      <x:c r="C561" s="19" t="n">
        <x:f>IF(B561="",0,(LEN(B561)-LEN(SUBSTITUTE(B561," | ","")))/3+1)</x:f>
        <x:v>2</x:v>
      </x:c>
      <x:c r="D561" t="str">
        <x:v>d</x:v>
      </x:c>
      <x:c r="E561" t="str">
        <x:v>https://www.webonary.org/marubo/g1200199e-f32b-4fbd-8e0e-d4af1b39c8fa/</x:v>
      </x:c>
      <x:c r="F561" t="str">
        <x:v>g1bc8b607-b02c-4937-b7a2-425885125479</x:v>
      </x:c>
      <x:c r="G561" s="20" t="n">
        <x:v>46003.934832210645</x:v>
      </x:c>
    </x:row>
    <x:row r="562">
      <x:c r="A562" s="18" t="str">
        <x:v>dinheiro</x:v>
      </x:c>
      <x:c r="B562" s="18" t="str">
        <x:v>kopímati</x:v>
      </x:c>
      <x:c r="C562" s="19" t="n">
        <x:f>IF(B562="",0,(LEN(B562)-LEN(SUBSTITUTE(B562," | ","")))/3+1)</x:f>
        <x:v>1</x:v>
      </x:c>
      <x:c r="D562" t="str">
        <x:v>d</x:v>
      </x:c>
      <x:c r="E562" t="str">
        <x:v>https://www.webonary.org/marubo/gb878e4be-99fc-42ec-be61-f0ab43a91ea5/</x:v>
      </x:c>
      <x:c r="F562" t="str">
        <x:v>g2bfbd9b3-482e-46bc-9589-59f31f07d1e5</x:v>
      </x:c>
      <x:c r="G562" s="20" t="n">
        <x:v>46003.934832210645</x:v>
      </x:c>
    </x:row>
    <x:row r="563">
      <x:c r="A563" s="18" t="str">
        <x:v>direcional</x:v>
      </x:c>
      <x:c r="B563" s="18" t="str">
        <x:v>kiri</x:v>
      </x:c>
      <x:c r="C563" s="19" t="n">
        <x:f>IF(B563="",0,(LEN(B563)-LEN(SUBSTITUTE(B563," | ","")))/3+1)</x:f>
        <x:v>1</x:v>
      </x:c>
      <x:c r="D563" t="str">
        <x:v>d</x:v>
      </x:c>
      <x:c r="E563" t="str">
        <x:v>https://www.webonary.org/marubo/g24b13d3f-040f-459d-ac38-fa0d2b19ca0b/</x:v>
      </x:c>
      <x:c r="F563" t="str">
        <x:v>g4c5dd1fa-93cf-4240-83c0-83d7b507046c</x:v>
      </x:c>
      <x:c r="G563" s="20" t="n">
        <x:v>46003.934832210645</x:v>
      </x:c>
    </x:row>
    <x:row r="564">
      <x:c r="A564" s="18" t="str">
        <x:v>direito</x:v>
      </x:c>
      <x:c r="B564" s="18" t="str">
        <x:v>mekiri</x:v>
      </x:c>
      <x:c r="C564" s="19" t="n">
        <x:f>IF(B564="",0,(LEN(B564)-LEN(SUBSTITUTE(B564," | ","")))/3+1)</x:f>
        <x:v>1</x:v>
      </x:c>
      <x:c r="D564" t="str">
        <x:v>d</x:v>
      </x:c>
      <x:c r="E564" t="str">
        <x:v>https://www.webonary.org/marubo/g6d162136-411e-433b-9ace-133db7a6fb25/</x:v>
      </x:c>
      <x:c r="F564" t="str">
        <x:v>g7b2a853b-73c3-4c26-bc90-39adf2e83288</x:v>
      </x:c>
      <x:c r="G564" s="20" t="n">
        <x:v>46003.934832210645</x:v>
      </x:c>
    </x:row>
    <x:row r="565">
      <x:c r="A565" s="18" t="str">
        <x:v>DIST</x:v>
      </x:c>
      <x:c r="B565" s="18" t="str">
        <x:v>-kená</x:v>
      </x:c>
      <x:c r="C565" s="19" t="n">
        <x:f>IF(B565="",0,(LEN(B565)-LEN(SUBSTITUTE(B565," | ","")))/3+1)</x:f>
        <x:v>1</x:v>
      </x:c>
      <x:c r="D565" t="str">
        <x:v>d</x:v>
      </x:c>
      <x:c r="E565" t="str">
        <x:v>https://www.webonary.org/marubo/g6c2087a3-59ed-474a-89ee-f87756ea6cfa/</x:v>
      </x:c>
      <x:c r="F565" t="str">
        <x:v>g94be3de1-bfca-4b3d-b670-04400ed6cdbb</x:v>
      </x:c>
      <x:c r="G565" s="20" t="n">
        <x:v>46003.934832210645</x:v>
      </x:c>
    </x:row>
    <x:row r="566">
      <x:c r="A566" s="18" t="str">
        <x:v>DISTAL</x:v>
      </x:c>
      <x:c r="B566" s="18" t="str">
        <x:v>o</x:v>
      </x:c>
      <x:c r="C566" s="19" t="n">
        <x:f>IF(B566="",0,(LEN(B566)-LEN(SUBSTITUTE(B566," | ","")))/3+1)</x:f>
        <x:v>1</x:v>
      </x:c>
      <x:c r="D566" t="str">
        <x:v>d</x:v>
      </x:c>
      <x:c r="E566" t="str">
        <x:v>https://www.webonary.org/marubo/gfb57a780-8a20-46a9-ad7f-c0a5c62eaa49/</x:v>
      </x:c>
      <x:c r="F566" t="str">
        <x:v>gbb40c821-420d-4e5c-9037-94373730bfbd</x:v>
      </x:c>
      <x:c r="G566" s="20" t="n">
        <x:v>46003.934832210645</x:v>
      </x:c>
    </x:row>
    <x:row r="567">
      <x:c r="A567" s="18" t="str">
        <x:v>DISTR</x:v>
      </x:c>
      <x:c r="B567" s="18" t="str">
        <x:v>-vakĩ</x:v>
      </x:c>
      <x:c r="C567" s="19" t="n">
        <x:f>IF(B567="",0,(LEN(B567)-LEN(SUBSTITUTE(B567," | ","")))/3+1)</x:f>
        <x:v>1</x:v>
      </x:c>
      <x:c r="D567" t="str">
        <x:v>d</x:v>
      </x:c>
      <x:c r="E567" t="str">
        <x:v>https://www.webonary.org/marubo/gd35ac3aa-7f01-4cd3-a265-98badf5d7300/</x:v>
      </x:c>
      <x:c r="F567" t="str">
        <x:v>g59bafb32-87cd-4079-97fa-a0733f16ae42</x:v>
      </x:c>
      <x:c r="G567" s="20" t="n">
        <x:v>46003.934832210645</x:v>
      </x:c>
    </x:row>
    <x:row r="568">
      <x:c r="A568" s="18" t="str">
        <x:v>distribuir</x:v>
      </x:c>
      <x:c r="B568" s="18" t="str">
        <x:v>oshkea</x:v>
      </x:c>
      <x:c r="C568" s="19" t="n">
        <x:f>IF(B568="",0,(LEN(B568)-LEN(SUBSTITUTE(B568," | ","")))/3+1)</x:f>
        <x:v>1</x:v>
      </x:c>
      <x:c r="D568" t="str">
        <x:v>d</x:v>
      </x:c>
      <x:c r="E568" t="str">
        <x:v>https://www.webonary.org/marubo/gbb8a484f-4f16-4ddc-a039-722e725b6b0c/</x:v>
      </x:c>
      <x:c r="F568" t="str">
        <x:v>geedbb985-b682-4192-8b8f-ed3d1c0b3203</x:v>
      </x:c>
      <x:c r="G568" s="20" t="n">
        <x:v>46003.934832210645</x:v>
      </x:c>
    </x:row>
    <x:row r="569">
      <x:c r="A569" s="18" t="str">
        <x:v>do lado</x:v>
      </x:c>
      <x:c r="B569" s="18" t="str">
        <x:v>pasó</x:v>
      </x:c>
      <x:c r="C569" s="19" t="n">
        <x:f>IF(B569="",0,(LEN(B569)-LEN(SUBSTITUTE(B569," | ","")))/3+1)</x:f>
        <x:v>1</x:v>
      </x:c>
      <x:c r="D569" t="str">
        <x:v>d</x:v>
      </x:c>
      <x:c r="E569" t="str">
        <x:v>https://www.webonary.org/marubo/g5efebc63-daf7-44ed-b31f-7f1c2874bec2/</x:v>
      </x:c>
      <x:c r="F569" t="str">
        <x:v>gdb1d8b80-9a65-46d8-a7b6-93d496906c1e</x:v>
      </x:c>
      <x:c r="G569" s="20" t="n">
        <x:v>46003.934832210645</x:v>
      </x:c>
    </x:row>
    <x:row r="570">
      <x:c r="A570" s="18" t="str">
        <x:v>dobradiça</x:v>
      </x:c>
      <x:c r="B570" s="18" t="str">
        <x:v>peshtóti</x:v>
      </x:c>
      <x:c r="C570" s="19" t="n">
        <x:f>IF(B570="",0,(LEN(B570)-LEN(SUBSTITUTE(B570," | ","")))/3+1)</x:f>
        <x:v>1</x:v>
      </x:c>
      <x:c r="D570" t="str">
        <x:v>d</x:v>
      </x:c>
      <x:c r="E570" t="str">
        <x:v>https://www.webonary.org/marubo/gc9b58c91-0bd0-4619-932c-1e4deae39863/</x:v>
      </x:c>
      <x:c r="F570" t="str">
        <x:v>g6d845447-9e6e-4304-a1e1-abf379688b62</x:v>
      </x:c>
      <x:c r="G570" s="20" t="n">
        <x:v>46003.934832210645</x:v>
      </x:c>
    </x:row>
    <x:row r="571">
      <x:c r="A571" s="18" t="str">
        <x:v>dobrar</x:v>
      </x:c>
      <x:c r="B571" s="18" t="str">
        <x:v>kashtóa</x:v>
      </x:c>
      <x:c r="C571" s="19" t="n">
        <x:f>IF(B571="",0,(LEN(B571)-LEN(SUBSTITUTE(B571," | ","")))/3+1)</x:f>
        <x:v>1</x:v>
      </x:c>
      <x:c r="D571" t="str">
        <x:v>d</x:v>
      </x:c>
      <x:c r="E571" t="str">
        <x:v>https://www.webonary.org/marubo/g091a523b-7f69-4329-9191-3cc3efb63a24/</x:v>
      </x:c>
      <x:c r="F571" t="str">
        <x:v>g64438d55-6a18-497c-ad09-dd9cd2bffa6e</x:v>
      </x:c>
      <x:c r="G571" s="20" t="n">
        <x:v>46003.934832210645</x:v>
      </x:c>
    </x:row>
    <x:row r="572">
      <x:c r="A572" s="18" t="str">
        <x:v>dobrar parte da folha de jarina</x:v>
      </x:c>
      <x:c r="B572" s="18" t="str">
        <x:v>tsosa | 1</x:v>
      </x:c>
      <x:c r="C572" s="19" t="n">
        <x:f>IF(B572="",0,(LEN(B572)-LEN(SUBSTITUTE(B572," | ","")))/3+1)</x:f>
        <x:v>2</x:v>
      </x:c>
      <x:c r="D572" t="str">
        <x:v>d</x:v>
      </x:c>
      <x:c r="E572" t="str">
        <x:v>https://www.webonary.org/marubo/g7d15c454-6d5b-491e-bd45-467398cf73b9/</x:v>
      </x:c>
      <x:c r="F572" t="str">
        <x:v>g8aae9657-ef95-4d7e-9fff-be87b5bd6473</x:v>
      </x:c>
      <x:c r="G572" s="20" t="n">
        <x:v>46003.934832210645</x:v>
      </x:c>
    </x:row>
    <x:row r="573">
      <x:c r="A573" s="18" t="str">
        <x:v>doce</x:v>
      </x:c>
      <x:c r="B573" s="18" t="str">
        <x:v>vataka</x:v>
      </x:c>
      <x:c r="C573" s="19" t="n">
        <x:f>IF(B573="",0,(LEN(B573)-LEN(SUBSTITUTE(B573," | ","")))/3+1)</x:f>
        <x:v>1</x:v>
      </x:c>
      <x:c r="D573" t="str">
        <x:v>d</x:v>
      </x:c>
      <x:c r="E573" t="str">
        <x:v>https://www.webonary.org/marubo/gaf54ad97-c49d-40d5-a61e-3f5a6e840939/</x:v>
      </x:c>
      <x:c r="F573" t="str">
        <x:v>g1d5a391e-fdb5-49ae-8c18-27df9d2b63c7</x:v>
      </x:c>
      <x:c r="G573" s="20" t="n">
        <x:v>46003.934832210645</x:v>
      </x:c>
    </x:row>
    <x:row r="574">
      <x:c r="A574" s="18" t="str">
        <x:v>doença</x:v>
      </x:c>
      <x:c r="B574" s="18" t="str">
        <x:v>isĩ | nene tana</x:v>
      </x:c>
      <x:c r="C574" s="19" t="n">
        <x:f>IF(B574="",0,(LEN(B574)-LEN(SUBSTITUTE(B574," | ","")))/3+1)</x:f>
        <x:v>2</x:v>
      </x:c>
      <x:c r="D574" t="str">
        <x:v>d</x:v>
      </x:c>
      <x:c r="E574" t="str">
        <x:v>https://www.webonary.org/marubo/g30273671-1bfe-467f-bad3-bd31f6bfaaea/</x:v>
      </x:c>
      <x:c r="F574" t="str">
        <x:v>g83a1602e-541e-45c1-a0b9-628f73c96d29</x:v>
      </x:c>
      <x:c r="G574" s="20" t="n">
        <x:v>46003.934832210645</x:v>
      </x:c>
    </x:row>
    <x:row r="575">
      <x:c r="A575" s="18" t="str">
        <x:v>doer</x:v>
      </x:c>
      <x:c r="B575" s="18" t="str">
        <x:v>tee ikí</x:v>
      </x:c>
      <x:c r="C575" s="19" t="n">
        <x:f>IF(B575="",0,(LEN(B575)-LEN(SUBSTITUTE(B575," | ","")))/3+1)</x:f>
        <x:v>1</x:v>
      </x:c>
      <x:c r="D575" t="str">
        <x:v>d</x:v>
      </x:c>
      <x:c r="E575" t="str">
        <x:v>https://www.webonary.org/marubo/g46404026-c4b1-446e-b8d4-813eb4acb35f/</x:v>
      </x:c>
      <x:c r="F575" t="str">
        <x:v>g4fefb215-76d8-4150-acc7-4246eef76d4e</x:v>
      </x:c>
      <x:c r="G575" s="20" t="n">
        <x:v>46003.934832210645</x:v>
      </x:c>
    </x:row>
    <x:row r="576">
      <x:c r="A576" s="18" t="str">
        <x:v>dois</x:v>
      </x:c>
      <x:c r="B576" s="18" t="str">
        <x:v>ravévakĩ</x:v>
      </x:c>
      <x:c r="C576" s="19" t="n">
        <x:f>IF(B576="",0,(LEN(B576)-LEN(SUBSTITUTE(B576," | ","")))/3+1)</x:f>
        <x:v>1</x:v>
      </x:c>
      <x:c r="D576" t="str">
        <x:v>d</x:v>
      </x:c>
      <x:c r="E576" t="str">
        <x:v>https://www.webonary.org/marubo/g38ce3d5a-f06e-42dc-92f5-e94d08f38898/</x:v>
      </x:c>
      <x:c r="F576" t="str">
        <x:v>g4286ea35-905d-488b-a382-caa8a9dda71e</x:v>
      </x:c>
      <x:c r="G576" s="20" t="n">
        <x:v>46003.934832210645</x:v>
      </x:c>
    </x:row>
    <x:row r="577">
      <x:c r="A577" s="18" t="str">
        <x:v>dois paus amarrado como A para moquear carne</x:v>
      </x:c>
      <x:c r="B577" s="18" t="str">
        <x:v>atxá tapo</x:v>
      </x:c>
      <x:c r="C577" s="19" t="n">
        <x:f>IF(B577="",0,(LEN(B577)-LEN(SUBSTITUTE(B577," | ","")))/3+1)</x:f>
        <x:v>1</x:v>
      </x:c>
      <x:c r="D577" t="str">
        <x:v>d</x:v>
      </x:c>
      <x:c r="E577" t="str">
        <x:v>https://www.webonary.org/marubo/gf630ebd1-878d-41dc-b78a-7e1d0bd056cd/</x:v>
      </x:c>
      <x:c r="F577" t="str">
        <x:v>g3db43dc4-0dda-4dfc-9028-1290133e781a</x:v>
      </x:c>
      <x:c r="G577" s="20" t="n">
        <x:v>46003.934832210645</x:v>
      </x:c>
    </x:row>
    <x:row r="578">
      <x:c r="A578" s="18" t="str">
        <x:v>dono</x:v>
      </x:c>
      <x:c r="B578" s="18" t="str">
        <x:v>ivo</x:v>
      </x:c>
      <x:c r="C578" s="19" t="n">
        <x:f>IF(B578="",0,(LEN(B578)-LEN(SUBSTITUTE(B578," | ","")))/3+1)</x:f>
        <x:v>1</x:v>
      </x:c>
      <x:c r="D578" t="str">
        <x:v>d</x:v>
      </x:c>
      <x:c r="E578" t="str">
        <x:v>https://www.webonary.org/marubo/ga65b040a-b5b5-442f-a6d8-b9b59d610696/</x:v>
      </x:c>
      <x:c r="F578" t="str">
        <x:v>gb856e6f6-7265-41c8-9c5f-23e235e3a3b5</x:v>
      </x:c>
      <x:c r="G578" s="20" t="n">
        <x:v>46003.934832210645</x:v>
      </x:c>
    </x:row>
    <x:row r="579">
      <x:c r="A579" s="18" t="str">
        <x:v>dor</x:v>
      </x:c>
      <x:c r="B579" s="18" t="str">
        <x:v>isĩ | nene tana</x:v>
      </x:c>
      <x:c r="C579" s="19" t="n">
        <x:f>IF(B579="",0,(LEN(B579)-LEN(SUBSTITUTE(B579," | ","")))/3+1)</x:f>
        <x:v>2</x:v>
      </x:c>
      <x:c r="D579" t="str">
        <x:v>d</x:v>
      </x:c>
      <x:c r="E579" t="str">
        <x:v>https://www.webonary.org/marubo/g30273671-1bfe-467f-bad3-bd31f6bfaaea/</x:v>
      </x:c>
      <x:c r="F579" t="str">
        <x:v>g647cc414-aba8-4352-96e3-35796019d9b2</x:v>
      </x:c>
      <x:c r="G579" s="20" t="n">
        <x:v>46003.934832210645</x:v>
      </x:c>
    </x:row>
    <x:row r="580">
      <x:c r="A580" s="18" t="str">
        <x:v>dor de cabeça</x:v>
      </x:c>
      <x:c r="B580" s="18" t="str">
        <x:v>mapõ tanã</x:v>
      </x:c>
      <x:c r="C580" s="19" t="n">
        <x:f>IF(B580="",0,(LEN(B580)-LEN(SUBSTITUTE(B580," | ","")))/3+1)</x:f>
        <x:v>1</x:v>
      </x:c>
      <x:c r="D580" t="str">
        <x:v>d</x:v>
      </x:c>
      <x:c r="E580" t="str">
        <x:v>https://www.webonary.org/marubo/g8fac346e-d5ff-448d-905c-24cf517769af/</x:v>
      </x:c>
      <x:c r="F580" t="str">
        <x:v>g2e567c87-fb97-4942-9a71-863633d17e2f</x:v>
      </x:c>
      <x:c r="G580" s="20" t="n">
        <x:v>46003.934832210645</x:v>
      </x:c>
    </x:row>
    <x:row r="581">
      <x:c r="A581" s="18" t="str">
        <x:v>dor de estomago</x:v>
      </x:c>
      <x:c r="B581" s="18" t="str">
        <x:v>takã tenã</x:v>
      </x:c>
      <x:c r="C581" s="19" t="n">
        <x:f>IF(B581="",0,(LEN(B581)-LEN(SUBSTITUTE(B581," | ","")))/3+1)</x:f>
        <x:v>1</x:v>
      </x:c>
      <x:c r="D581" t="str">
        <x:v>d</x:v>
      </x:c>
      <x:c r="E581" t="str">
        <x:v>https://www.webonary.org/marubo/gf1b8d4f6-3de8-4f65-b5a2-9d30c95bb040/</x:v>
      </x:c>
      <x:c r="F581" t="str">
        <x:v>g2a8ab01c-354a-46ab-9ad1-6fdb3683162f</x:v>
      </x:c>
      <x:c r="G581" s="20" t="n">
        <x:v>46003.934832210645</x:v>
      </x:c>
    </x:row>
    <x:row r="582">
      <x:c r="A582" s="18" t="str">
        <x:v>dormir</x:v>
      </x:c>
      <x:c r="B582" s="18" t="str">
        <x:v>osha</x:v>
      </x:c>
      <x:c r="C582" s="19" t="n">
        <x:f>IF(B582="",0,(LEN(B582)-LEN(SUBSTITUTE(B582," | ","")))/3+1)</x:f>
        <x:v>1</x:v>
      </x:c>
      <x:c r="D582" t="str">
        <x:v>d</x:v>
      </x:c>
      <x:c r="E582" t="str">
        <x:v>https://www.webonary.org/marubo/g49def256-b63d-4c91-9b57-f766b2265192/</x:v>
      </x:c>
      <x:c r="F582" t="str">
        <x:v>gd3a7b299-24b6-49f3-96cd-e11d3a2aa67e</x:v>
      </x:c>
      <x:c r="G582" s="20" t="n">
        <x:v>46003.934832210645</x:v>
      </x:c>
    </x:row>
    <x:row r="583">
      <x:c r="A583" s="18" t="str">
        <x:v>dormir junto</x:v>
      </x:c>
      <x:c r="B583" s="18" t="str">
        <x:v>ovõa</x:v>
      </x:c>
      <x:c r="C583" s="19" t="n">
        <x:f>IF(B583="",0,(LEN(B583)-LEN(SUBSTITUTE(B583," | ","")))/3+1)</x:f>
        <x:v>1</x:v>
      </x:c>
      <x:c r="D583" t="str">
        <x:v>d</x:v>
      </x:c>
      <x:c r="E583" t="str">
        <x:v>https://www.webonary.org/marubo/ga600c958-0c1f-4cbb-81a0-c91a2c2a1f17/</x:v>
      </x:c>
      <x:c r="F583" t="str">
        <x:v>gc713de93-85c2-44eb-9918-45981c2742dd</x:v>
      </x:c>
      <x:c r="G583" s="20" t="n">
        <x:v>46003.934832210645</x:v>
      </x:c>
    </x:row>
    <x:row r="584">
      <x:c r="A584" s="18" t="str">
        <x:v>duas pessoas que nascerem no mesmo dia</x:v>
      </x:c>
      <x:c r="B584" s="18" t="str">
        <x:v>avé kania</x:v>
      </x:c>
      <x:c r="C584" s="19" t="n">
        <x:f>IF(B584="",0,(LEN(B584)-LEN(SUBSTITUTE(B584," | ","")))/3+1)</x:f>
        <x:v>1</x:v>
      </x:c>
      <x:c r="D584" t="str">
        <x:v>d</x:v>
      </x:c>
      <x:c r="E584" t="str">
        <x:v>https://www.webonary.org/marubo/g2298c4cf-72a2-4105-bcea-57500507accf/</x:v>
      </x:c>
      <x:c r="F584" t="str">
        <x:v>gde15cec3-5b87-4672-a7b6-4eb03a67f9be</x:v>
      </x:c>
      <x:c r="G584" s="20" t="n">
        <x:v>46003.934832210645</x:v>
      </x:c>
    </x:row>
    <x:row r="585">
      <x:c r="A585" s="18" t="str">
        <x:v>duro</x:v>
      </x:c>
      <x:c r="B585" s="18" t="str">
        <x:v>kavimaka</x:v>
      </x:c>
      <x:c r="C585" s="19" t="n">
        <x:f>IF(B585="",0,(LEN(B585)-LEN(SUBSTITUTE(B585," | ","")))/3+1)</x:f>
        <x:v>1</x:v>
      </x:c>
      <x:c r="D585" t="str">
        <x:v>d</x:v>
      </x:c>
      <x:c r="E585" t="str">
        <x:v>https://www.webonary.org/marubo/g16fbabd7-9500-4929-9e0a-c726d765a76d/</x:v>
      </x:c>
      <x:c r="F585" t="str">
        <x:v>gb5faf9f9-c971-41ae-9ad5-4ed144ffba74</x:v>
      </x:c>
      <x:c r="G585" s="20" t="n">
        <x:v>46003.934832210645</x:v>
      </x:c>
    </x:row>
    <x:row r="586">
      <x:c r="A586" s="18" t="str">
        <x:v>e de dinheiro</x:v>
      </x:c>
      <x:c r="B586" s="18" t="str">
        <x:v>awetishõ</x:v>
      </x:c>
      <x:c r="C586" s="19" t="n">
        <x:f>IF(B586="",0,(LEN(B586)-LEN(SUBSTITUTE(B586," | ","")))/3+1)</x:f>
        <x:v>1</x:v>
      </x:c>
      <x:c r="D586" t="str">
        <x:v>e</x:v>
      </x:c>
      <x:c r="E586" t="str">
        <x:v>https://www.webonary.org/marubo/gdc56c156-a599-496b-b0a9-26cd56e4199f/</x:v>
      </x:c>
      <x:c r="F586" t="str">
        <x:v>g0906fba8-9949-4999-9a57-aa7f3f6d9288</x:v>
      </x:c>
      <x:c r="G586" s="20" t="n">
        <x:v>46003.934832210645</x:v>
      </x:c>
    </x:row>
    <x:row r="587">
      <x:c r="A587" s="18" t="str">
        <x:v>ele</x:v>
      </x:c>
      <x:c r="B587" s="18" t="str">
        <x:v>wa</x:v>
      </x:c>
      <x:c r="C587" s="19" t="n">
        <x:f>IF(B587="",0,(LEN(B587)-LEN(SUBSTITUTE(B587," | ","")))/3+1)</x:f>
        <x:v>1</x:v>
      </x:c>
      <x:c r="D587" t="str">
        <x:v>e</x:v>
      </x:c>
      <x:c r="E587" t="str">
        <x:v>https://www.webonary.org/marubo/g601be0bb-ebef-4608-9401-c7de5caf1056/</x:v>
      </x:c>
      <x:c r="F587" t="str">
        <x:v>g96b28670-fe77-4405-a222-3ffdcc47ca6b</x:v>
      </x:c>
      <x:c r="G587" s="20" t="n">
        <x:v>46003.934832210645</x:v>
      </x:c>
    </x:row>
    <x:row r="588">
      <x:c r="A588" s="18" t="str">
        <x:v>em cima</x:v>
      </x:c>
      <x:c r="B588" s="18" t="str">
        <x:v>matxi</x:v>
      </x:c>
      <x:c r="C588" s="19" t="n">
        <x:f>IF(B588="",0,(LEN(B588)-LEN(SUBSTITUTE(B588," | ","")))/3+1)</x:f>
        <x:v>1</x:v>
      </x:c>
      <x:c r="D588" t="str">
        <x:v>e</x:v>
      </x:c>
      <x:c r="E588" t="str">
        <x:v>https://www.webonary.org/marubo/g964f04a4-1245-4dc9-bd0e-8978ecc29572/</x:v>
      </x:c>
      <x:c r="F588" t="str">
        <x:v>g2b40e0a1-788d-4c65-bcab-d674173bf0a6</x:v>
      </x:c>
      <x:c r="G588" s="20" t="n">
        <x:v>46003.934832210645</x:v>
      </x:c>
    </x:row>
    <x:row r="589">
      <x:c r="A589" s="18" t="str">
        <x:v>em direção a</x:v>
      </x:c>
      <x:c r="B589" s="18" t="str">
        <x:v>-ri</x:v>
      </x:c>
      <x:c r="C589" s="19" t="n">
        <x:f>IF(B589="",0,(LEN(B589)-LEN(SUBSTITUTE(B589," | ","")))/3+1)</x:f>
        <x:v>1</x:v>
      </x:c>
      <x:c r="D589" t="str">
        <x:v>e</x:v>
      </x:c>
      <x:c r="E589" t="str">
        <x:v>https://www.webonary.org/marubo/ga1a5ec4d-3666-4758-9fb6-6b1217d74e71/</x:v>
      </x:c>
      <x:c r="F589" t="str">
        <x:v>gf1d02c7b-520b-475f-adb6-4ab5121d6324</x:v>
      </x:c>
      <x:c r="G589" s="20" t="n">
        <x:v>46003.934832210645</x:v>
      </x:c>
    </x:row>
    <x:row r="590">
      <x:c r="A590" s="18" t="str">
        <x:v>em frente</x:v>
      </x:c>
      <x:c r="B590" s="18" t="str">
        <x:v>vevo</x:v>
      </x:c>
      <x:c r="C590" s="19" t="n">
        <x:f>IF(B590="",0,(LEN(B590)-LEN(SUBSTITUTE(B590," | ","")))/3+1)</x:f>
        <x:v>1</x:v>
      </x:c>
      <x:c r="D590" t="str">
        <x:v>e</x:v>
      </x:c>
      <x:c r="E590" t="str">
        <x:v>https://www.webonary.org/marubo/gf1b7c98c-0eed-47c0-a211-0165e9714475/</x:v>
      </x:c>
      <x:c r="F590" t="str">
        <x:v>gbb361181-4c11-45c5-bc2c-255b3f5945e9</x:v>
      </x:c>
      <x:c r="G590" s="20" t="n">
        <x:v>46003.934832210645</x:v>
      </x:c>
    </x:row>
    <x:row r="591">
      <x:c r="A591" s="18" t="str">
        <x:v>embaixo</x:v>
      </x:c>
      <x:c r="B591" s="18" t="str">
        <x:v>teró</x:v>
      </x:c>
      <x:c r="C591" s="19" t="n">
        <x:f>IF(B591="",0,(LEN(B591)-LEN(SUBSTITUTE(B591," | ","")))/3+1)</x:f>
        <x:v>1</x:v>
      </x:c>
      <x:c r="D591" t="str">
        <x:v>e</x:v>
      </x:c>
      <x:c r="E591" t="str">
        <x:v>https://www.webonary.org/marubo/g6d1a79f2-5aa2-497c-8ab8-774fa9f075e8/</x:v>
      </x:c>
      <x:c r="F591" t="str">
        <x:v>gb61c87ce-e7c5-44c2-af1d-e3179464a04a</x:v>
      </x:c>
      <x:c r="G591" s="20" t="n">
        <x:v>46003.934832210645</x:v>
      </x:c>
    </x:row>
    <x:row r="592">
      <x:c r="A592" s="18" t="str">
        <x:v>embaúba</x:v>
      </x:c>
      <x:c r="B592" s="18" t="str">
        <x:v>võkó</x:v>
      </x:c>
      <x:c r="C592" s="19" t="n">
        <x:f>IF(B592="",0,(LEN(B592)-LEN(SUBSTITUTE(B592," | ","")))/3+1)</x:f>
        <x:v>1</x:v>
      </x:c>
      <x:c r="D592" t="str">
        <x:v>e</x:v>
      </x:c>
      <x:c r="E592" t="str">
        <x:v>https://www.webonary.org/marubo/gfe013ffa-5b40-4d16-b04e-4b4c2be0f80a/</x:v>
      </x:c>
      <x:c r="F592" t="str">
        <x:v>ge178c3c8-cb65-4c66-b95d-17ea0a4942be</x:v>
      </x:c>
      <x:c r="G592" s="20" t="n">
        <x:v>46003.934832210645</x:v>
      </x:c>
    </x:row>
    <x:row r="593">
      <x:c r="A593" s="18" t="str">
        <x:v>embrulhar</x:v>
      </x:c>
      <x:c r="B593" s="18" t="str">
        <x:v>rakoa</x:v>
      </x:c>
      <x:c r="C593" s="19" t="n">
        <x:f>IF(B593="",0,(LEN(B593)-LEN(SUBSTITUTE(B593," | ","")))/3+1)</x:f>
        <x:v>1</x:v>
      </x:c>
      <x:c r="D593" t="str">
        <x:v>e</x:v>
      </x:c>
      <x:c r="E593" t="str">
        <x:v>https://www.webonary.org/marubo/g97c85b17-13a2-44b0-af27-33db21704467/</x:v>
      </x:c>
      <x:c r="F593" t="str">
        <x:v>gc2a6fe07-50bf-4ae6-a0c6-0c9e298c515a</x:v>
      </x:c>
      <x:c r="G593" s="20" t="n">
        <x:v>46003.934832210645</x:v>
      </x:c>
    </x:row>
    <x:row r="594">
      <x:c r="A594" s="18" t="str">
        <x:v>embrulhar com folha para moquear</x:v>
      </x:c>
      <x:c r="B594" s="18" t="str">
        <x:v>oá aká</x:v>
      </x:c>
      <x:c r="C594" s="19" t="n">
        <x:f>IF(B594="",0,(LEN(B594)-LEN(SUBSTITUTE(B594," | ","")))/3+1)</x:f>
        <x:v>1</x:v>
      </x:c>
      <x:c r="D594" t="str">
        <x:v>e</x:v>
      </x:c>
      <x:c r="E594" t="str">
        <x:v>https://www.webonary.org/marubo/g35188511-dab4-4041-84c4-b164a68020ea/</x:v>
      </x:c>
      <x:c r="F594" t="str">
        <x:v>g03f3c4fd-4267-4e84-bc76-97421273a84c</x:v>
      </x:c>
      <x:c r="G594" s="20" t="n">
        <x:v>46003.934832210645</x:v>
      </x:c>
    </x:row>
    <x:row r="595">
      <x:c r="A595" s="18" t="str">
        <x:v>emburrar</x:v>
      </x:c>
      <x:c r="B595" s="18" t="str">
        <x:v>siná</x:v>
      </x:c>
      <x:c r="C595" s="19" t="n">
        <x:f>IF(B595="",0,(LEN(B595)-LEN(SUBSTITUTE(B595," | ","")))/3+1)</x:f>
        <x:v>1</x:v>
      </x:c>
      <x:c r="D595" t="str">
        <x:v>e</x:v>
      </x:c>
      <x:c r="E595" t="str">
        <x:v>https://www.webonary.org/marubo/gd84c24c9-9a0f-4024-9f43-c8bda53dc58e/</x:v>
      </x:c>
      <x:c r="F595" t="str">
        <x:v>g2e699165-72ce-44f4-a4a9-a1e88e2e80f2</x:v>
      </x:c>
      <x:c r="G595" s="20" t="n">
        <x:v>46003.934832210645</x:v>
      </x:c>
    </x:row>
    <x:row r="596">
      <x:c r="A596" s="18" t="str">
        <x:v>emendar</x:v>
      </x:c>
      <x:c r="B596" s="18" t="str">
        <x:v>txiria</x:v>
      </x:c>
      <x:c r="C596" s="19" t="n">
        <x:f>IF(B596="",0,(LEN(B596)-LEN(SUBSTITUTE(B596," | ","")))/3+1)</x:f>
        <x:v>1</x:v>
      </x:c>
      <x:c r="D596" t="str">
        <x:v>e</x:v>
      </x:c>
      <x:c r="E596" t="str">
        <x:v>https://www.webonary.org/marubo/g444cb646-bb07-4594-9895-3a8cedcfdd2b/</x:v>
      </x:c>
      <x:c r="F596" t="str">
        <x:v>g0ac63a0e-8311-4e5e-80d4-9aa099134eaf</x:v>
      </x:c>
      <x:c r="G596" s="20" t="n">
        <x:v>46003.934832210645</x:v>
      </x:c>
    </x:row>
    <x:row r="597">
      <x:c r="A597" s="18" t="str">
        <x:v>empedaçar aruá</x:v>
      </x:c>
      <x:c r="B597" s="18" t="str">
        <x:v>txaro aká</x:v>
      </x:c>
      <x:c r="C597" s="19" t="n">
        <x:f>IF(B597="",0,(LEN(B597)-LEN(SUBSTITUTE(B597," | ","")))/3+1)</x:f>
        <x:v>1</x:v>
      </x:c>
      <x:c r="D597" t="str">
        <x:v>e</x:v>
      </x:c>
      <x:c r="E597" t="str">
        <x:v>https://www.webonary.org/marubo/g4ed3492e-5b04-4d5c-b251-0ebaa42226e7/</x:v>
      </x:c>
      <x:c r="F597" t="str">
        <x:v>g7672ac04-6a58-49f4-99d8-dce7d782cdbc</x:v>
      </x:c>
      <x:c r="G597" s="20" t="n">
        <x:v>46003.934832210645</x:v>
      </x:c>
    </x:row>
    <x:row r="598">
      <x:c r="A598" s="18" t="str">
        <x:v>empilhar</x:v>
      </x:c>
      <x:c r="B598" s="18" t="str">
        <x:v>maso</x:v>
      </x:c>
      <x:c r="C598" s="19" t="n">
        <x:f>IF(B598="",0,(LEN(B598)-LEN(SUBSTITUTE(B598," | ","")))/3+1)</x:f>
        <x:v>1</x:v>
      </x:c>
      <x:c r="D598" t="str">
        <x:v>e</x:v>
      </x:c>
      <x:c r="E598" t="str">
        <x:v>https://www.webonary.org/marubo/gfdba6a50-e57b-4fe0-9839-f95231bad3a1/</x:v>
      </x:c>
      <x:c r="F598" t="str">
        <x:v>g22f4357e-cdb6-4d5f-bcd2-4ca169102847</x:v>
      </x:c>
      <x:c r="G598" s="20" t="n">
        <x:v>46003.934832210645</x:v>
      </x:c>
    </x:row>
    <x:row r="599">
      <x:c r="A599" s="18" t="str">
        <x:v>empolar</x:v>
      </x:c>
      <x:c r="B599" s="18" t="str">
        <x:v>meshmoa</x:v>
      </x:c>
      <x:c r="C599" s="19" t="n">
        <x:f>IF(B599="",0,(LEN(B599)-LEN(SUBSTITUTE(B599," | ","")))/3+1)</x:f>
        <x:v>1</x:v>
      </x:c>
      <x:c r="D599" t="str">
        <x:v>e</x:v>
      </x:c>
      <x:c r="E599" t="str">
        <x:v>https://www.webonary.org/marubo/g3633602b-31ae-49be-9cad-6f29b6f0a806/</x:v>
      </x:c>
      <x:c r="F599" t="str">
        <x:v>g2299e990-7ac9-49c5-a96c-d9b8239325d8</x:v>
      </x:c>
      <x:c r="G599" s="20" t="n">
        <x:v>46003.934832210645</x:v>
      </x:c>
    </x:row>
    <x:row r="600">
      <x:c r="A600" s="18" t="str">
        <x:v>emprestar</x:v>
      </x:c>
      <x:c r="B600" s="18" t="str">
        <x:v>kãwã</x:v>
      </x:c>
      <x:c r="C600" s="19" t="n">
        <x:f>IF(B600="",0,(LEN(B600)-LEN(SUBSTITUTE(B600," | ","")))/3+1)</x:f>
        <x:v>1</x:v>
      </x:c>
      <x:c r="D600" t="str">
        <x:v>e</x:v>
      </x:c>
      <x:c r="E600" t="str">
        <x:v>https://www.webonary.org/marubo/ged1d3b44-ce7b-4c1f-a573-1f207a4ec7d3/</x:v>
      </x:c>
      <x:c r="F600" t="str">
        <x:v>gdda912ae-9538-458d-b1c0-dd97cabde468</x:v>
      </x:c>
      <x:c r="G600" s="20" t="n">
        <x:v>46003.934832210645</x:v>
      </x:c>
    </x:row>
    <x:row r="601">
      <x:c r="A601" s="18" t="str">
        <x:v>empurrar</x:v>
      </x:c>
      <x:c r="B601" s="18" t="str">
        <x:v>sherevãĩ | shotõa</x:v>
      </x:c>
      <x:c r="C601" s="19" t="n">
        <x:f>IF(B601="",0,(LEN(B601)-LEN(SUBSTITUTE(B601," | ","")))/3+1)</x:f>
        <x:v>2</x:v>
      </x:c>
      <x:c r="D601" t="str">
        <x:v>e</x:v>
      </x:c>
      <x:c r="E601" t="str">
        <x:v>https://www.webonary.org/marubo/g7ef3ea27-dfa4-4134-bfc4-558fbfa57c34/</x:v>
      </x:c>
      <x:c r="F601" t="str">
        <x:v>g73e3999a-0762-42a0-bb2e-6fccab4b47b6</x:v>
      </x:c>
      <x:c r="G601" s="20" t="n">
        <x:v>46003.934832210645</x:v>
      </x:c>
    </x:row>
    <x:row r="602">
      <x:c r="A602" s="18" t="str">
        <x:v>encanto para queixada</x:v>
      </x:c>
      <x:c r="B602" s="18" t="str">
        <x:v>yawã roá | 1</x:v>
      </x:c>
      <x:c r="C602" s="19" t="n">
        <x:f>IF(B602="",0,(LEN(B602)-LEN(SUBSTITUTE(B602," | ","")))/3+1)</x:f>
        <x:v>2</x:v>
      </x:c>
      <x:c r="D602" t="str">
        <x:v>e</x:v>
      </x:c>
      <x:c r="E602" t="str">
        <x:v>https://www.webonary.org/marubo/g4857f253-3326-4d6e-882b-9f448c3050e1/</x:v>
      </x:c>
      <x:c r="F602" t="str">
        <x:v>g9616d12a-2bef-4093-b09a-ab9a6b527b51</x:v>
      </x:c>
      <x:c r="G602" s="20" t="n">
        <x:v>46003.934832210645</x:v>
      </x:c>
    </x:row>
    <x:row r="603">
      <x:c r="A603" s="18" t="str">
        <x:v>encontrar</x:v>
      </x:c>
      <x:c r="B603" s="18" t="str">
        <x:v>veya</x:v>
      </x:c>
      <x:c r="C603" s="19" t="n">
        <x:f>IF(B603="",0,(LEN(B603)-LEN(SUBSTITUTE(B603," | ","")))/3+1)</x:f>
        <x:v>1</x:v>
      </x:c>
      <x:c r="D603" t="str">
        <x:v>e</x:v>
      </x:c>
      <x:c r="E603" t="str">
        <x:v>https://www.webonary.org/marubo/g87f5e8ec-1fda-4e13-96cf-3e43d4f8932a/</x:v>
      </x:c>
      <x:c r="F603" t="str">
        <x:v>gdd5f7080-ea73-4515-b615-1e2c71d6f88b</x:v>
      </x:c>
      <x:c r="G603" s="20" t="n">
        <x:v>46003.934832210645</x:v>
      </x:c>
    </x:row>
    <x:row r="604">
      <x:c r="A604" s="18" t="str">
        <x:v>encordar misanga</x:v>
      </x:c>
      <x:c r="B604" s="18" t="str">
        <x:v>keõ</x:v>
      </x:c>
      <x:c r="C604" s="19" t="n">
        <x:f>IF(B604="",0,(LEN(B604)-LEN(SUBSTITUTE(B604," | ","")))/3+1)</x:f>
        <x:v>1</x:v>
      </x:c>
      <x:c r="D604" t="str">
        <x:v>e</x:v>
      </x:c>
      <x:c r="E604" t="str">
        <x:v>https://www.webonary.org/marubo/g71085323-b2e1-4418-9d2f-571f093440be/</x:v>
      </x:c>
      <x:c r="F604" t="str">
        <x:v>g0ba491ac-d91a-40c6-a102-0473b5b960b6</x:v>
      </x:c>
      <x:c r="G604" s="20" t="n">
        <x:v>46003.934832210645</x:v>
      </x:c>
    </x:row>
    <x:row r="605">
      <x:c r="A605" s="18" t="str">
        <x:v>encostar</x:v>
      </x:c>
      <x:c r="B605" s="18" t="str">
        <x:v>kepia | petsa aká</x:v>
      </x:c>
      <x:c r="C605" s="19" t="n">
        <x:f>IF(B605="",0,(LEN(B605)-LEN(SUBSTITUTE(B605," | ","")))/3+1)</x:f>
        <x:v>2</x:v>
      </x:c>
      <x:c r="D605" t="str">
        <x:v>e</x:v>
      </x:c>
      <x:c r="E605" t="str">
        <x:v>https://www.webonary.org/marubo/g9efc7815-80ca-4897-8910-7fed698558ba/</x:v>
      </x:c>
      <x:c r="F605" t="str">
        <x:v>ga7fdd550-36ff-4aea-bb6a-271031fc9075</x:v>
      </x:c>
      <x:c r="G605" s="20" t="n">
        <x:v>46003.934832210645</x:v>
      </x:c>
    </x:row>
    <x:row r="606">
      <x:c r="A606" s="18" t="str">
        <x:v>ENF</x:v>
      </x:c>
      <x:c r="B606" s="18" t="str">
        <x:v>-rívi | -rvi</x:v>
      </x:c>
      <x:c r="C606" s="19" t="n">
        <x:f>IF(B606="",0,(LEN(B606)-LEN(SUBSTITUTE(B606," | ","")))/3+1)</x:f>
        <x:v>2</x:v>
      </x:c>
      <x:c r="D606" t="str">
        <x:v>e</x:v>
      </x:c>
      <x:c r="E606" t="str">
        <x:v>https://www.webonary.org/marubo/gbab3e1e6-247f-42c1-a581-7ae90cf478f3/</x:v>
      </x:c>
      <x:c r="F606" t="str">
        <x:v>g61c05731-c777-4cbc-8016-edc1b1353774</x:v>
      </x:c>
      <x:c r="G606" s="20" t="n">
        <x:v>46003.93483931713</x:v>
      </x:c>
    </x:row>
    <x:row r="607">
      <x:c r="A607" s="18" t="str">
        <x:v>ENF2</x:v>
      </x:c>
      <x:c r="B607" s="18" t="str">
        <x:f>"=tsikĩ"</x:f>
        <x:v>=tsikĩ</x:v>
      </x:c>
      <x:c r="C607" s="19" t="n">
        <x:f>IF(B607="",0,(LEN(B607)-LEN(SUBSTITUTE(B607," | ","")))/3+1)</x:f>
        <x:v>1</x:v>
      </x:c>
      <x:c r="D607" t="str">
        <x:v>e</x:v>
      </x:c>
      <x:c r="E607" t="str">
        <x:v>https://www.webonary.org/marubo/g6561ed86-2f1c-41f1-b0e1-622c0487c304/</x:v>
      </x:c>
      <x:c r="F607" t="str">
        <x:v>g5d2abd90-5ef5-4424-a495-adec0851ce0e</x:v>
      </x:c>
      <x:c r="G607" s="20" t="n">
        <x:v>46003.93483931713</x:v>
      </x:c>
    </x:row>
    <x:row r="608">
      <x:c r="A608" s="18" t="str">
        <x:v>enfeitar</x:v>
      </x:c>
      <x:c r="B608" s="18" t="str">
        <x:v>yoí | 1</x:v>
      </x:c>
      <x:c r="C608" s="19" t="n">
        <x:f>IF(B608="",0,(LEN(B608)-LEN(SUBSTITUTE(B608," | ","")))/3+1)</x:f>
        <x:v>2</x:v>
      </x:c>
      <x:c r="D608" t="str">
        <x:v>e</x:v>
      </x:c>
      <x:c r="E608" t="str">
        <x:v>https://www.webonary.org/marubo/g174bbe83-d541-48a3-9284-fedf7ddf473c/</x:v>
      </x:c>
      <x:c r="F608" t="str">
        <x:v>gdaf54af6-b587-4412-a17d-bee8ecedaaf6</x:v>
      </x:c>
      <x:c r="G608" s="20" t="n">
        <x:v>46003.93483931713</x:v>
      </x:c>
    </x:row>
    <x:row r="609">
      <x:c r="A609" s="18" t="str">
        <x:v>enfeixar</x:v>
      </x:c>
      <x:c r="B609" s="18" t="str">
        <x:v>tashna</x:v>
      </x:c>
      <x:c r="C609" s="19" t="n">
        <x:f>IF(B609="",0,(LEN(B609)-LEN(SUBSTITUTE(B609," | ","")))/3+1)</x:f>
        <x:v>1</x:v>
      </x:c>
      <x:c r="D609" t="str">
        <x:v>e</x:v>
      </x:c>
      <x:c r="E609" t="str">
        <x:v>https://www.webonary.org/marubo/gf89e1bb0-00f7-4a24-90ed-220188ac7145/</x:v>
      </x:c>
      <x:c r="F609" t="str">
        <x:v>gbdfc695b-689c-480d-8f28-68ada1288a07</x:v>
      </x:c>
      <x:c r="G609" s="20" t="n">
        <x:v>46003.93483931713</x:v>
      </x:c>
    </x:row>
    <x:row r="610">
      <x:c r="A610" s="18" t="str">
        <x:v>enfiado</x:v>
      </x:c>
      <x:c r="B610" s="18" t="str">
        <x:v>osóa</x:v>
      </x:c>
      <x:c r="C610" s="19" t="n">
        <x:f>IF(B610="",0,(LEN(B610)-LEN(SUBSTITUTE(B610," | ","")))/3+1)</x:f>
        <x:v>1</x:v>
      </x:c>
      <x:c r="D610" t="str">
        <x:v>e</x:v>
      </x:c>
      <x:c r="E610" t="str">
        <x:v>https://www.webonary.org/marubo/g68873c49-ff14-47ff-be35-18156b4d1891/</x:v>
      </x:c>
      <x:c r="F610" t="str">
        <x:v>g92023cd8-aaee-4c22-9999-dbfa4531992f</x:v>
      </x:c>
      <x:c r="G610" s="20" t="n">
        <x:v>46003.93483931713</x:v>
      </x:c>
    </x:row>
    <x:row r="611">
      <x:c r="A611" s="18" t="str">
        <x:v>enfiar</x:v>
      </x:c>
      <x:c r="B611" s="18" t="str">
        <x:v>osõa | noá | narĩa</x:v>
      </x:c>
      <x:c r="C611" s="19" t="n">
        <x:f>IF(B611="",0,(LEN(B611)-LEN(SUBSTITUTE(B611," | ","")))/3+1)</x:f>
        <x:v>3</x:v>
      </x:c>
      <x:c r="D611" t="str">
        <x:v>e</x:v>
      </x:c>
      <x:c r="E611" t="str">
        <x:v>https://www.webonary.org/marubo/g5d0f1df1-52db-44bd-9e9c-58fac6f25460/</x:v>
      </x:c>
      <x:c r="F611" t="str">
        <x:v>g4c755770-399a-44b3-ad83-5e66a5fcb7d6</x:v>
      </x:c>
      <x:c r="G611" s="20" t="n">
        <x:v>46003.93483931713</x:v>
      </x:c>
    </x:row>
    <x:row r="612">
      <x:c r="A612" s="18" t="str">
        <x:v>enfiar algo debaixo do sovaco</x:v>
      </x:c>
      <x:c r="B612" s="18" t="str">
        <x:v>pióste aká</x:v>
      </x:c>
      <x:c r="C612" s="19" t="n">
        <x:f>IF(B612="",0,(LEN(B612)-LEN(SUBSTITUTE(B612," | ","")))/3+1)</x:f>
        <x:v>1</x:v>
      </x:c>
      <x:c r="D612" t="str">
        <x:v>e</x:v>
      </x:c>
      <x:c r="E612" t="str">
        <x:v>https://www.webonary.org/marubo/geda58b8e-43c6-4c7d-b9ba-a697d92518ff/</x:v>
      </x:c>
      <x:c r="F612" t="str">
        <x:v>g42162274-b25c-4488-989c-f0ea4fd2c2aa</x:v>
      </x:c>
      <x:c r="G612" s="20" t="n">
        <x:v>46003.93483931713</x:v>
      </x:c>
    </x:row>
    <x:row r="613">
      <x:c r="A613" s="18" t="str">
        <x:v>enfiar continha no ponto da linha</x:v>
      </x:c>
      <x:c r="B613" s="18" t="str">
        <x:v>paria</x:v>
      </x:c>
      <x:c r="C613" s="19" t="n">
        <x:f>IF(B613="",0,(LEN(B613)-LEN(SUBSTITUTE(B613," | ","")))/3+1)</x:f>
        <x:v>1</x:v>
      </x:c>
      <x:c r="D613" t="str">
        <x:v>e</x:v>
      </x:c>
      <x:c r="E613" t="str">
        <x:v>https://www.webonary.org/marubo/gfaaf6de7-ef21-4ab2-b63b-50040b56c15d/</x:v>
      </x:c>
      <x:c r="F613" t="str">
        <x:v>g8c7f95f4-aab3-4c57-95c6-3e2b4ed43f8d</x:v>
      </x:c>
      <x:c r="G613" s="20" t="n">
        <x:v>46003.93483931713</x:v>
      </x:c>
    </x:row>
    <x:row r="614">
      <x:c r="A614" s="18" t="str">
        <x:v>enfiar na palha da maloca</x:v>
      </x:c>
      <x:c r="B614" s="18" t="str">
        <x:v>peóste aká</x:v>
      </x:c>
      <x:c r="C614" s="19" t="n">
        <x:f>IF(B614="",0,(LEN(B614)-LEN(SUBSTITUTE(B614," | ","")))/3+1)</x:f>
        <x:v>1</x:v>
      </x:c>
      <x:c r="D614" t="str">
        <x:v>e</x:v>
      </x:c>
      <x:c r="E614" t="str">
        <x:v>https://www.webonary.org/marubo/g514167cd-b6af-4f4f-9041-3bdd06390a70/</x:v>
      </x:c>
      <x:c r="F614" t="str">
        <x:v>g9ba186dc-8a17-437b-8146-fb573aac4d90</x:v>
      </x:c>
      <x:c r="G614" s="20" t="n">
        <x:v>46003.93483931713</x:v>
      </x:c>
    </x:row>
    <x:row r="615">
      <x:c r="A615" s="18" t="str">
        <x:v>enganar</x:v>
      </x:c>
      <x:c r="B615" s="18" t="str">
        <x:v>parã</x:v>
      </x:c>
      <x:c r="C615" s="19" t="n">
        <x:f>IF(B615="",0,(LEN(B615)-LEN(SUBSTITUTE(B615," | ","")))/3+1)</x:f>
        <x:v>1</x:v>
      </x:c>
      <x:c r="D615" t="str">
        <x:v>e</x:v>
      </x:c>
      <x:c r="E615" t="str">
        <x:v>https://www.webonary.org/marubo/g1ef8e11d-3496-4b0d-a872-63a1db7c6cb6/</x:v>
      </x:c>
      <x:c r="F615" t="str">
        <x:v>g9df0c900-55df-43ac-a164-a4cfdace30d7</x:v>
      </x:c>
      <x:c r="G615" s="20" t="n">
        <x:v>46003.93483931713</x:v>
      </x:c>
    </x:row>
    <x:row r="616">
      <x:c r="A616" s="18" t="str">
        <x:v>engasgar</x:v>
      </x:c>
      <x:c r="B616" s="18" t="str">
        <x:v>asa aká | michkía</x:v>
      </x:c>
      <x:c r="C616" s="19" t="n">
        <x:f>IF(B616="",0,(LEN(B616)-LEN(SUBSTITUTE(B616," | ","")))/3+1)</x:f>
        <x:v>2</x:v>
      </x:c>
      <x:c r="D616" t="str">
        <x:v>e</x:v>
      </x:c>
      <x:c r="E616" t="str">
        <x:v>https://www.webonary.org/marubo/geea51d1d-fd93-4637-be46-c29dcb01dcf7/</x:v>
      </x:c>
      <x:c r="F616" t="str">
        <x:v>g9bbb62ed-83e1-475e-91b2-c9c7032813e6</x:v>
      </x:c>
      <x:c r="G616" s="20" t="n">
        <x:v>46003.93483931713</x:v>
      </x:c>
    </x:row>
    <x:row r="617">
      <x:c r="A617" s="18" t="str">
        <x:v>engolir</x:v>
      </x:c>
      <x:c r="B617" s="18" t="str">
        <x:v>shea</x:v>
      </x:c>
      <x:c r="C617" s="19" t="n">
        <x:f>IF(B617="",0,(LEN(B617)-LEN(SUBSTITUTE(B617," | ","")))/3+1)</x:f>
        <x:v>1</x:v>
      </x:c>
      <x:c r="D617" t="str">
        <x:v>e</x:v>
      </x:c>
      <x:c r="E617" t="str">
        <x:v>https://www.webonary.org/marubo/g5972df22-917d-4a03-9725-ed39b7cf028e/</x:v>
      </x:c>
      <x:c r="F617" t="str">
        <x:v>geb2e2e59-613f-4318-a463-e178ddbc84c3</x:v>
      </x:c>
      <x:c r="G617" s="20" t="n">
        <x:v>46003.93483931713</x:v>
      </x:c>
    </x:row>
    <x:row r="618">
      <x:c r="A618" s="18" t="str">
        <x:v>enjoar</x:v>
      </x:c>
      <x:c r="B618" s="18" t="str">
        <x:v>ãtsã</x:v>
      </x:c>
      <x:c r="C618" s="19" t="n">
        <x:f>IF(B618="",0,(LEN(B618)-LEN(SUBSTITUTE(B618," | ","")))/3+1)</x:f>
        <x:v>1</x:v>
      </x:c>
      <x:c r="D618" t="str">
        <x:v>e</x:v>
      </x:c>
      <x:c r="E618" t="str">
        <x:v>https://www.webonary.org/marubo/g5f3f2639-61d9-411f-8533-2153b196ae1b/</x:v>
      </x:c>
      <x:c r="F618" t="str">
        <x:v>gf857d93c-e3be-4149-81f4-8933ee8197b7</x:v>
      </x:c>
      <x:c r="G618" s="20" t="n">
        <x:v>46003.93483931713</x:v>
      </x:c>
    </x:row>
    <x:row r="619">
      <x:c r="A619" s="18" t="str">
        <x:v>enorme</x:v>
      </x:c>
      <x:c r="B619" s="18" t="str">
        <x:v>pichtama</x:v>
      </x:c>
      <x:c r="C619" s="19" t="n">
        <x:f>IF(B619="",0,(LEN(B619)-LEN(SUBSTITUTE(B619," | ","")))/3+1)</x:f>
        <x:v>1</x:v>
      </x:c>
      <x:c r="D619" t="str">
        <x:v>e</x:v>
      </x:c>
      <x:c r="E619" t="str">
        <x:v>https://www.webonary.org/marubo/g1b72ce5f-1bef-4a37-8965-9b931c8e3579/</x:v>
      </x:c>
      <x:c r="F619" t="str">
        <x:v>g0ec9fa78-6ecc-4130-a82e-1c0a83ea48fd</x:v>
      </x:c>
      <x:c r="G619" s="20" t="n">
        <x:v>46003.93483931713</x:v>
      </x:c>
    </x:row>
    <x:row r="620">
      <x:c r="A620" s="18" t="str">
        <x:v>enrolado</x:v>
      </x:c>
      <x:c r="B620" s="18" t="str">
        <x:v>toroa</x:v>
      </x:c>
      <x:c r="C620" s="19" t="n">
        <x:f>IF(B620="",0,(LEN(B620)-LEN(SUBSTITUTE(B620," | ","")))/3+1)</x:f>
        <x:v>1</x:v>
      </x:c>
      <x:c r="D620" t="str">
        <x:v>e</x:v>
      </x:c>
      <x:c r="E620" t="str">
        <x:v>https://www.webonary.org/marubo/g8a3d7171-cc20-4f01-b521-fc96ba18d471/</x:v>
      </x:c>
      <x:c r="F620" t="str">
        <x:v>gb9ca6647-3b32-4834-85ec-b16087339fe4</x:v>
      </x:c>
      <x:c r="G620" s="20" t="n">
        <x:v>46003.93483931713</x:v>
      </x:c>
    </x:row>
    <x:row r="621">
      <x:c r="A621" s="18" t="str">
        <x:v>enrolar</x:v>
      </x:c>
      <x:c r="B621" s="18" t="str">
        <x:v>torĩa | õpi</x:v>
      </x:c>
      <x:c r="C621" s="19" t="n">
        <x:f>IF(B621="",0,(LEN(B621)-LEN(SUBSTITUTE(B621," | ","")))/3+1)</x:f>
        <x:v>2</x:v>
      </x:c>
      <x:c r="D621" t="str">
        <x:v>e</x:v>
      </x:c>
      <x:c r="E621" t="str">
        <x:v>https://www.webonary.org/marubo/g3c34375b-4f92-4034-9e38-a3d2dd9148c4/</x:v>
      </x:c>
      <x:c r="F621" t="str">
        <x:v>ga58349a4-bc3f-473c-9925-3b9b7d9fb7aa</x:v>
      </x:c>
      <x:c r="G621" s="20" t="n">
        <x:v>46003.93483931713</x:v>
      </x:c>
    </x:row>
    <x:row r="622">
      <x:c r="A622" s="18" t="str">
        <x:v>enrolar saia</x:v>
      </x:c>
      <x:c r="B622" s="18" t="str">
        <x:v>poske aká</x:v>
      </x:c>
      <x:c r="C622" s="19" t="n">
        <x:f>IF(B622="",0,(LEN(B622)-LEN(SUBSTITUTE(B622," | ","")))/3+1)</x:f>
        <x:v>1</x:v>
      </x:c>
      <x:c r="D622" t="str">
        <x:v>e</x:v>
      </x:c>
      <x:c r="E622" t="str">
        <x:v>https://www.webonary.org/marubo/gccd9eeb6-a113-420c-a7de-6c2ff5f8a3ee/</x:v>
      </x:c>
      <x:c r="F622" t="str">
        <x:v>ge73494ab-b5b1-463f-aeb8-8fbe8cca399f</x:v>
      </x:c>
      <x:c r="G622" s="20" t="n">
        <x:v>46003.93483931713</x:v>
      </x:c>
    </x:row>
    <x:row r="623">
      <x:c r="A623" s="18" t="str">
        <x:v>ensinamentos das maneiras religiosas</x:v>
      </x:c>
      <x:c r="B623" s="18" t="str">
        <x:v>esé</x:v>
      </x:c>
      <x:c r="C623" s="19" t="n">
        <x:f>IF(B623="",0,(LEN(B623)-LEN(SUBSTITUTE(B623," | ","")))/3+1)</x:f>
        <x:v>1</x:v>
      </x:c>
      <x:c r="D623" t="str">
        <x:v>e</x:v>
      </x:c>
      <x:c r="E623" t="str">
        <x:v>https://www.webonary.org/marubo/g867b4d54-7b55-43c4-b44a-b896866d82da/</x:v>
      </x:c>
      <x:c r="F623" t="str">
        <x:v>gbe1e1b7f-6531-4fee-99b8-0a7bd903e216</x:v>
      </x:c>
      <x:c r="G623" s="20" t="n">
        <x:v>46003.93483931713</x:v>
      </x:c>
    </x:row>
    <x:row r="624">
      <x:c r="A624" s="18" t="str">
        <x:v>ensinar</x:v>
      </x:c>
      <x:c r="B624" s="18" t="str">
        <x:v>yosĩa</x:v>
      </x:c>
      <x:c r="C624" s="19" t="n">
        <x:f>IF(B624="",0,(LEN(B624)-LEN(SUBSTITUTE(B624," | ","")))/3+1)</x:f>
        <x:v>1</x:v>
      </x:c>
      <x:c r="D624" t="str">
        <x:v>e</x:v>
      </x:c>
      <x:c r="E624" t="str">
        <x:v>https://www.webonary.org/marubo/gea6620d1-e093-4c6b-9eb9-6785fadce1b9/</x:v>
      </x:c>
      <x:c r="F624" t="str">
        <x:v>g7e5b6b81-2c78-467e-acce-112de0ef9e6f</x:v>
      </x:c>
      <x:c r="G624" s="20" t="n">
        <x:v>46003.93483931713</x:v>
      </x:c>
    </x:row>
    <x:row r="625">
      <x:c r="A625" s="18" t="str">
        <x:v>enterrar</x:v>
      </x:c>
      <x:c r="B625" s="18" t="str">
        <x:v>onea</x:v>
      </x:c>
      <x:c r="C625" s="19" t="n">
        <x:f>IF(B625="",0,(LEN(B625)-LEN(SUBSTITUTE(B625," | ","")))/3+1)</x:f>
        <x:v>1</x:v>
      </x:c>
      <x:c r="D625" t="str">
        <x:v>e</x:v>
      </x:c>
      <x:c r="E625" t="str">
        <x:v>https://www.webonary.org/marubo/ge7e35682-407e-4569-8860-038f07190476/</x:v>
      </x:c>
      <x:c r="F625" t="str">
        <x:v>gfa349283-126f-4bc7-925f-28dac1d4245c</x:v>
      </x:c>
      <x:c r="G625" s="20" t="n">
        <x:v>46003.93483931713</x:v>
      </x:c>
    </x:row>
    <x:row r="626">
      <x:c r="A626" s="18" t="str">
        <x:v>entrada</x:v>
      </x:c>
      <x:c r="B626" s="18" t="str">
        <x:v>votóa</x:v>
      </x:c>
      <x:c r="C626" s="19" t="n">
        <x:f>IF(B626="",0,(LEN(B626)-LEN(SUBSTITUTE(B626," | ","")))/3+1)</x:f>
        <x:v>1</x:v>
      </x:c>
      <x:c r="D626" t="str">
        <x:v>e</x:v>
      </x:c>
      <x:c r="E626" t="str">
        <x:v>https://www.webonary.org/marubo/gc1414b7f-3d21-4876-a34b-79944aeb252d/</x:v>
      </x:c>
      <x:c r="F626" t="str">
        <x:v>gf98c4e8a-bd62-45eb-b89d-ccb1e191f2ea</x:v>
      </x:c>
      <x:c r="G626" s="20" t="n">
        <x:v>46003.93483931713</x:v>
      </x:c>
    </x:row>
    <x:row r="627">
      <x:c r="A627" s="18" t="str">
        <x:v>entrada da maloca</x:v>
      </x:c>
      <x:c r="B627" s="18" t="str">
        <x:v>kenã kiri</x:v>
      </x:c>
      <x:c r="C627" s="19" t="n">
        <x:f>IF(B627="",0,(LEN(B627)-LEN(SUBSTITUTE(B627," | ","")))/3+1)</x:f>
        <x:v>1</x:v>
      </x:c>
      <x:c r="D627" t="str">
        <x:v>e</x:v>
      </x:c>
      <x:c r="E627" t="str">
        <x:v>https://www.webonary.org/marubo/g62ec4e1b-9917-4ef8-a091-0efdc09c4176/</x:v>
      </x:c>
      <x:c r="F627" t="str">
        <x:v>g809661d8-c733-470c-bab4-b8f7424669fd</x:v>
      </x:c>
      <x:c r="G627" s="20" t="n">
        <x:v>46003.93483931713</x:v>
      </x:c>
    </x:row>
    <x:row r="628">
      <x:c r="A628" s="18" t="str">
        <x:v>entrar</x:v>
      </x:c>
      <x:c r="B628" s="18" t="str">
        <x:v>ikoa | erekóa</x:v>
      </x:c>
      <x:c r="C628" s="19" t="n">
        <x:f>IF(B628="",0,(LEN(B628)-LEN(SUBSTITUTE(B628," | ","")))/3+1)</x:f>
        <x:v>2</x:v>
      </x:c>
      <x:c r="D628" t="str">
        <x:v>e</x:v>
      </x:c>
      <x:c r="E628" t="str">
        <x:v>https://www.webonary.org/marubo/g56b69e32-0403-4a80-91be-2c83b07c8212/</x:v>
      </x:c>
      <x:c r="F628" t="str">
        <x:v>gb12871c9-7bda-41f2-ac77-7bae1d839005</x:v>
      </x:c>
      <x:c r="G628" s="20" t="n">
        <x:v>46003.93483931713</x:v>
      </x:c>
    </x:row>
    <x:row r="629">
      <x:c r="A629" s="18" t="str">
        <x:v>entrar (plurar)</x:v>
      </x:c>
      <x:c r="B629" s="18" t="str">
        <x:v>wea</x:v>
      </x:c>
      <x:c r="C629" s="19" t="n">
        <x:f>IF(B629="",0,(LEN(B629)-LEN(SUBSTITUTE(B629," | ","")))/3+1)</x:f>
        <x:v>1</x:v>
      </x:c>
      <x:c r="D629" t="str">
        <x:v>e</x:v>
      </x:c>
      <x:c r="E629" t="str">
        <x:v>https://www.webonary.org/marubo/g79be0e12-9314-4401-8e37-3d7404d393bc/</x:v>
      </x:c>
      <x:c r="F629" t="str">
        <x:v>g487af66d-fa93-4fa5-a347-6b00ad52fe2e</x:v>
      </x:c>
      <x:c r="G629" s="20" t="n">
        <x:v>46003.93483931713</x:v>
      </x:c>
    </x:row>
    <x:row r="630">
      <x:c r="A630" s="18" t="str">
        <x:v>entre (caminhos)</x:v>
      </x:c>
      <x:c r="B630" s="18" t="str">
        <x:v>tõn aká</x:v>
      </x:c>
      <x:c r="C630" s="19" t="n">
        <x:f>IF(B630="",0,(LEN(B630)-LEN(SUBSTITUTE(B630," | ","")))/3+1)</x:f>
        <x:v>1</x:v>
      </x:c>
      <x:c r="D630" t="str">
        <x:v>e</x:v>
      </x:c>
      <x:c r="E630" t="str">
        <x:v>https://www.webonary.org/marubo/ge57f50fa-462d-4170-9240-dd6be5061a82/</x:v>
      </x:c>
      <x:c r="F630" t="str">
        <x:v>g500179bb-5296-444c-b798-fef021ee2fd2</x:v>
      </x:c>
      <x:c r="G630" s="20" t="n">
        <x:v>46003.93483931713</x:v>
      </x:c>
    </x:row>
    <x:row r="631">
      <x:c r="A631" s="18" t="str">
        <x:v>entregando algúem</x:v>
      </x:c>
      <x:c r="B631" s="18" t="str">
        <x:v>kayá aká</x:v>
      </x:c>
      <x:c r="C631" s="19" t="n">
        <x:f>IF(B631="",0,(LEN(B631)-LEN(SUBSTITUTE(B631," | ","")))/3+1)</x:f>
        <x:v>1</x:v>
      </x:c>
      <x:c r="D631" t="str">
        <x:v>e</x:v>
      </x:c>
      <x:c r="E631" t="str">
        <x:v>https://www.webonary.org/marubo/g10578cb5-e082-49f6-8270-824d796d9291/</x:v>
      </x:c>
      <x:c r="F631" t="str">
        <x:v>g0acc83d1-8381-456b-b4c2-ae4f0da2a419</x:v>
      </x:c>
      <x:c r="G631" s="20" t="n">
        <x:v>46003.93483931713</x:v>
      </x:c>
    </x:row>
    <x:row r="632">
      <x:c r="A632" s="18" t="str">
        <x:v>entupido</x:v>
      </x:c>
      <x:c r="B632" s="18" t="str">
        <x:v>vestóa</x:v>
      </x:c>
      <x:c r="C632" s="19" t="n">
        <x:f>IF(B632="",0,(LEN(B632)-LEN(SUBSTITUTE(B632," | ","")))/3+1)</x:f>
        <x:v>1</x:v>
      </x:c>
      <x:c r="D632" t="str">
        <x:v>e</x:v>
      </x:c>
      <x:c r="E632" t="str">
        <x:v>https://www.webonary.org/marubo/g065f8705-3222-47dc-9f97-0e860a67af95/</x:v>
      </x:c>
      <x:c r="F632" t="str">
        <x:v>gb7d1538e-979a-49b3-805c-e402488e5616</x:v>
      </x:c>
      <x:c r="G632" s="20" t="n">
        <x:v>46003.93483931713</x:v>
      </x:c>
    </x:row>
    <x:row r="633">
      <x:c r="A633" s="18" t="str">
        <x:v>envenenar</x:v>
      </x:c>
      <x:c r="B633" s="18" t="str">
        <x:v>raõa</x:v>
      </x:c>
      <x:c r="C633" s="19" t="n">
        <x:f>IF(B633="",0,(LEN(B633)-LEN(SUBSTITUTE(B633," | ","")))/3+1)</x:f>
        <x:v>1</x:v>
      </x:c>
      <x:c r="D633" t="str">
        <x:v>e</x:v>
      </x:c>
      <x:c r="E633" t="str">
        <x:v>https://www.webonary.org/marubo/gdaf39324-ff1b-4b58-9578-ae0f3c5fa5f4/</x:v>
      </x:c>
      <x:c r="F633" t="str">
        <x:v>gd0f2ce36-0f5a-436e-bb2b-8b8c6a8977c7</x:v>
      </x:c>
      <x:c r="G633" s="20" t="n">
        <x:v>46003.93483931713</x:v>
      </x:c>
    </x:row>
    <x:row r="634">
      <x:c r="A634" s="18" t="str">
        <x:v>envira</x:v>
      </x:c>
      <x:c r="B634" s="18" t="str">
        <x:v>ichi</x:v>
      </x:c>
      <x:c r="C634" s="19" t="n">
        <x:f>IF(B634="",0,(LEN(B634)-LEN(SUBSTITUTE(B634," | ","")))/3+1)</x:f>
        <x:v>1</x:v>
      </x:c>
      <x:c r="D634" t="str">
        <x:v>e</x:v>
      </x:c>
      <x:c r="E634" t="str">
        <x:v>https://www.webonary.org/marubo/g8ec7c1ec-50e4-4acc-b9b0-a8b7b6133a96/</x:v>
      </x:c>
      <x:c r="F634" t="str">
        <x:v>gc0e24dbf-fc60-4092-9da6-614ca1acd251</x:v>
      </x:c>
      <x:c r="G634" s="20" t="n">
        <x:v>46003.93483931713</x:v>
      </x:c>
    </x:row>
    <x:row r="635">
      <x:c r="A635" s="18" t="str">
        <x:v>época</x:v>
      </x:c>
      <x:c r="B635" s="18" t="str">
        <x:v>txinĩ</x:v>
      </x:c>
      <x:c r="C635" s="19" t="n">
        <x:f>IF(B635="",0,(LEN(B635)-LEN(SUBSTITUTE(B635," | ","")))/3+1)</x:f>
        <x:v>1</x:v>
      </x:c>
      <x:c r="D635" t="str">
        <x:v>e</x:v>
      </x:c>
      <x:c r="E635" t="str">
        <x:v>https://www.webonary.org/marubo/gec15ad44-2f4c-43f4-9852-05f60185bbc0/</x:v>
      </x:c>
      <x:c r="F635" t="str">
        <x:v>g7f4a897c-0563-4537-9525-561fbe6d460d</x:v>
      </x:c>
      <x:c r="G635" s="20" t="n">
        <x:v>46003.93483931713</x:v>
      </x:c>
    </x:row>
    <x:row r="636">
      <x:c r="A636" s="18" t="str">
        <x:v>época de seca</x:v>
      </x:c>
      <x:c r="B636" s="18" t="str">
        <x:v>vari txinĩ</x:v>
      </x:c>
      <x:c r="C636" s="19" t="n">
        <x:f>IF(B636="",0,(LEN(B636)-LEN(SUBSTITUTE(B636," | ","")))/3+1)</x:f>
        <x:v>1</x:v>
      </x:c>
      <x:c r="D636" t="str">
        <x:v>e</x:v>
      </x:c>
      <x:c r="E636" t="str">
        <x:v>https://www.webonary.org/marubo/g7e557ba0-cfcc-4933-bf61-49f4c572a005/</x:v>
      </x:c>
      <x:c r="F636" t="str">
        <x:v>ga318dc5e-0314-430c-a5d6-bbdf8ccc9df2</x:v>
      </x:c>
      <x:c r="G636" s="20" t="n">
        <x:v>46003.93483931713</x:v>
      </x:c>
    </x:row>
    <x:row r="637">
      <x:c r="A637" s="18" t="str">
        <x:v>ERG</x:v>
      </x:c>
      <x:c r="B637" s="18" t="str">
        <x:v>-tõ | -̃ | 4</x:v>
      </x:c>
      <x:c r="C637" s="19" t="n">
        <x:f>IF(B637="",0,(LEN(B637)-LEN(SUBSTITUTE(B637," | ","")))/3+1)</x:f>
        <x:v>3</x:v>
      </x:c>
      <x:c r="D637" t="str">
        <x:v>e</x:v>
      </x:c>
      <x:c r="E637" t="str">
        <x:v>https://www.webonary.org/marubo/gddb2a94d-fc68-4601-9ba8-59edfca8296b/</x:v>
      </x:c>
      <x:c r="F637" t="str">
        <x:v>g856b3944-b8b9-4970-af79-6993a4221f53</x:v>
      </x:c>
      <x:c r="G637" s="20" t="n">
        <x:v>46003.93483931713</x:v>
      </x:c>
    </x:row>
    <x:row r="638">
      <x:c r="A638" s="18" t="str">
        <x:v>erguer</x:v>
      </x:c>
      <x:c r="B638" s="18" t="str">
        <x:v>sana</x:v>
      </x:c>
      <x:c r="C638" s="19" t="n">
        <x:f>IF(B638="",0,(LEN(B638)-LEN(SUBSTITUTE(B638," | ","")))/3+1)</x:f>
        <x:v>1</x:v>
      </x:c>
      <x:c r="D638" t="str">
        <x:v>e</x:v>
      </x:c>
      <x:c r="E638" t="str">
        <x:v>https://www.webonary.org/marubo/gfb6f692c-4eee-48ad-88dc-008e443fa069/</x:v>
      </x:c>
      <x:c r="F638" t="str">
        <x:v>gc1cad273-68ef-4c91-80f1-ede52c313b03</x:v>
      </x:c>
      <x:c r="G638" s="20" t="n">
        <x:v>46003.93483931713</x:v>
      </x:c>
    </x:row>
    <x:row r="639">
      <x:c r="A639" s="18" t="str">
        <x:v>errar</x:v>
      </x:c>
      <x:c r="B639" s="18" t="str">
        <x:v>kanéa</x:v>
      </x:c>
      <x:c r="C639" s="19" t="n">
        <x:f>IF(B639="",0,(LEN(B639)-LEN(SUBSTITUTE(B639," | ","")))/3+1)</x:f>
        <x:v>1</x:v>
      </x:c>
      <x:c r="D639" t="str">
        <x:v>e</x:v>
      </x:c>
      <x:c r="E639" t="str">
        <x:v>https://www.webonary.org/marubo/ga5ad1ca1-308b-4635-9db3-d19f83c57761/</x:v>
      </x:c>
      <x:c r="F639" t="str">
        <x:v>gfa91facc-dcd5-462a-8db6-a42a7bbfe164</x:v>
      </x:c>
      <x:c r="G639" s="20" t="n">
        <x:v>46003.93483931713</x:v>
      </x:c>
    </x:row>
    <x:row r="640">
      <x:c r="A640" s="18" t="str">
        <x:v>escada</x:v>
      </x:c>
      <x:c r="B640" s="18" t="str">
        <x:v>paiti | naréshka</x:v>
      </x:c>
      <x:c r="C640" s="19" t="n">
        <x:f>IF(B640="",0,(LEN(B640)-LEN(SUBSTITUTE(B640," | ","")))/3+1)</x:f>
        <x:v>2</x:v>
      </x:c>
      <x:c r="D640" t="str">
        <x:v>e</x:v>
      </x:c>
      <x:c r="E640" t="str">
        <x:v>https://www.webonary.org/marubo/gdab1b724-4dfb-48c0-96c3-0cdefb7bd758/</x:v>
      </x:c>
      <x:c r="F640" t="str">
        <x:v>gd344afdc-d8bf-49fc-b143-ba9a8349eae0</x:v>
      </x:c>
      <x:c r="G640" s="20" t="n">
        <x:v>46003.93483931713</x:v>
      </x:c>
    </x:row>
    <x:row r="641">
      <x:c r="A641" s="18" t="str">
        <x:v>escama</x:v>
      </x:c>
      <x:c r="B641" s="18" t="str">
        <x:v>pesa</x:v>
      </x:c>
      <x:c r="C641" s="19" t="n">
        <x:f>IF(B641="",0,(LEN(B641)-LEN(SUBSTITUTE(B641," | ","")))/3+1)</x:f>
        <x:v>1</x:v>
      </x:c>
      <x:c r="D641" t="str">
        <x:v>e</x:v>
      </x:c>
      <x:c r="E641" t="str">
        <x:v>https://www.webonary.org/marubo/g001553b2-5f29-4db0-af4e-1e741606ddff/</x:v>
      </x:c>
      <x:c r="F641" t="str">
        <x:v>gafac65e2-80c4-4ee5-abdf-d684ad8f8ac1</x:v>
      </x:c>
      <x:c r="G641" s="20" t="n">
        <x:v>46003.93483931713</x:v>
      </x:c>
    </x:row>
    <x:row r="642">
      <x:c r="A642" s="18" t="str">
        <x:v>escapulir</x:v>
      </x:c>
      <x:c r="B642" s="18" t="str">
        <x:v>ãsa aká</x:v>
      </x:c>
      <x:c r="C642" s="19" t="n">
        <x:f>IF(B642="",0,(LEN(B642)-LEN(SUBSTITUTE(B642," | ","")))/3+1)</x:f>
        <x:v>1</x:v>
      </x:c>
      <x:c r="D642" t="str">
        <x:v>e</x:v>
      </x:c>
      <x:c r="E642" t="str">
        <x:v>https://www.webonary.org/marubo/g11929381-bc13-43e9-8a04-ab475c48d6c6/</x:v>
      </x:c>
      <x:c r="F642" t="str">
        <x:v>ge9bbcdc0-de43-4ee1-a515-55e02ed00d25</x:v>
      </x:c>
      <x:c r="G642" s="20" t="n">
        <x:v>46003.93483931713</x:v>
      </x:c>
    </x:row>
    <x:row r="643">
      <x:c r="A643" s="18" t="str">
        <x:v>escasso</x:v>
      </x:c>
      <x:c r="B643" s="18" t="str">
        <x:v>tashaka</x:v>
      </x:c>
      <x:c r="C643" s="19" t="n">
        <x:f>IF(B643="",0,(LEN(B643)-LEN(SUBSTITUTE(B643," | ","")))/3+1)</x:f>
        <x:v>1</x:v>
      </x:c>
      <x:c r="D643" t="str">
        <x:v>e</x:v>
      </x:c>
      <x:c r="E643" t="str">
        <x:v>https://www.webonary.org/marubo/g117c3b7a-5e45-454d-b325-b40a6e050441/</x:v>
      </x:c>
      <x:c r="F643" t="str">
        <x:v>g4ecf8b32-6236-41ef-9e38-864441abfbe2</x:v>
      </x:c>
      <x:c r="G643" s="20" t="n">
        <x:v>46003.93483931713</x:v>
      </x:c>
    </x:row>
    <x:row r="644">
      <x:c r="A644" s="18" t="str">
        <x:v>escolher</x:v>
      </x:c>
      <x:c r="B644" s="18" t="str">
        <x:v>kavẽa</x:v>
      </x:c>
      <x:c r="C644" s="19" t="n">
        <x:f>IF(B644="",0,(LEN(B644)-LEN(SUBSTITUTE(B644," | ","")))/3+1)</x:f>
        <x:v>1</x:v>
      </x:c>
      <x:c r="D644" t="str">
        <x:v>e</x:v>
      </x:c>
      <x:c r="E644" t="str">
        <x:v>https://www.webonary.org/marubo/gc3c1a116-4bcb-4337-ac2c-91202942d1d3/</x:v>
      </x:c>
      <x:c r="F644" t="str">
        <x:v>gd47bcadc-1c21-4ff6-a43b-90cea01e9e0c</x:v>
      </x:c>
      <x:c r="G644" s="20" t="n">
        <x:v>46003.93483931713</x:v>
      </x:c>
    </x:row>
    <x:row r="645">
      <x:c r="A645" s="18" t="str">
        <x:v>esconder (algo)</x:v>
      </x:c>
      <x:c r="B645" s="18" t="str">
        <x:v>pãtea</x:v>
      </x:c>
      <x:c r="C645" s="19" t="n">
        <x:f>IF(B645="",0,(LEN(B645)-LEN(SUBSTITUTE(B645," | ","")))/3+1)</x:f>
        <x:v>1</x:v>
      </x:c>
      <x:c r="D645" t="str">
        <x:v>e</x:v>
      </x:c>
      <x:c r="E645" t="str">
        <x:v>https://www.webonary.org/marubo/gf8d92dc0-39f8-443d-9a19-eb7a29c4db80/</x:v>
      </x:c>
      <x:c r="F645" t="str">
        <x:v>g21cecf96-a676-4cca-93f0-960c148f447b</x:v>
      </x:c>
      <x:c r="G645" s="20" t="n">
        <x:v>46003.93483931713</x:v>
      </x:c>
    </x:row>
    <x:row r="646">
      <x:c r="A646" s="18" t="str">
        <x:v>escorpião</x:v>
      </x:c>
      <x:c r="B646" s="18" t="str">
        <x:v>nivo</x:v>
      </x:c>
      <x:c r="C646" s="19" t="n">
        <x:f>IF(B646="",0,(LEN(B646)-LEN(SUBSTITUTE(B646," | ","")))/3+1)</x:f>
        <x:v>1</x:v>
      </x:c>
      <x:c r="D646" t="str">
        <x:v>e</x:v>
      </x:c>
      <x:c r="E646" t="str">
        <x:v>https://www.webonary.org/marubo/g6f28acf5-cf67-4655-a381-701c5c505695/</x:v>
      </x:c>
      <x:c r="F646" t="str">
        <x:v>gb5341f59-2dbc-4c97-b0a8-1469ba272b0e</x:v>
      </x:c>
      <x:c r="G646" s="20" t="n">
        <x:v>46003.93483931713</x:v>
      </x:c>
    </x:row>
    <x:row r="647">
      <x:c r="A647" s="18" t="str">
        <x:v>escorregar</x:v>
      </x:c>
      <x:c r="B647" s="18" t="str">
        <x:v>tayá | txichkéa</x:v>
      </x:c>
      <x:c r="C647" s="19" t="n">
        <x:f>IF(B647="",0,(LEN(B647)-LEN(SUBSTITUTE(B647," | ","")))/3+1)</x:f>
        <x:v>2</x:v>
      </x:c>
      <x:c r="D647" t="str">
        <x:v>e</x:v>
      </x:c>
      <x:c r="E647" t="str">
        <x:v>https://www.webonary.org/marubo/g3efa097b-7776-4467-b21b-a0ea68ccacbc/</x:v>
      </x:c>
      <x:c r="F647" t="str">
        <x:v>g5e679f4b-5cf5-4c25-910e-8be24c503b45</x:v>
      </x:c>
      <x:c r="G647" s="20" t="n">
        <x:v>46003.93483931713</x:v>
      </x:c>
    </x:row>
    <x:row r="648">
      <x:c r="A648" s="18" t="str">
        <x:v>escorregar na traseira</x:v>
      </x:c>
      <x:c r="B648" s="18" t="str">
        <x:v>choi ikí</x:v>
      </x:c>
      <x:c r="C648" s="19" t="n">
        <x:f>IF(B648="",0,(LEN(B648)-LEN(SUBSTITUTE(B648," | ","")))/3+1)</x:f>
        <x:v>1</x:v>
      </x:c>
      <x:c r="D648" t="str">
        <x:v>e</x:v>
      </x:c>
      <x:c r="E648" t="str">
        <x:v>https://www.webonary.org/marubo/g82b7f64e-1d6f-42df-b245-8c1e6fb07c9a/</x:v>
      </x:c>
      <x:c r="F648" t="str">
        <x:v>g98398336-8b62-47c6-bff8-85803f2c5c76</x:v>
      </x:c>
      <x:c r="G648" s="20" t="n">
        <x:v>46003.93483931713</x:v>
      </x:c>
    </x:row>
    <x:row r="649">
      <x:c r="A649" s="18" t="str">
        <x:v>escorregar no peito no chão</x:v>
      </x:c>
      <x:c r="B649" s="18" t="str">
        <x:v>noyõ ikí</x:v>
      </x:c>
      <x:c r="C649" s="19" t="n">
        <x:f>IF(B649="",0,(LEN(B649)-LEN(SUBSTITUTE(B649," | ","")))/3+1)</x:f>
        <x:v>1</x:v>
      </x:c>
      <x:c r="D649" t="str">
        <x:v>e</x:v>
      </x:c>
      <x:c r="E649" t="str">
        <x:v>https://www.webonary.org/marubo/g20f46e01-12c7-4eab-b8c5-05c4199e45da/</x:v>
      </x:c>
      <x:c r="F649" t="str">
        <x:v>g320ef368-3930-4801-b9b6-5474fa3b7d14</x:v>
      </x:c>
      <x:c r="G649" s="20" t="n">
        <x:v>46003.93483931713</x:v>
      </x:c>
    </x:row>
    <x:row r="650">
      <x:c r="A650" s="18" t="str">
        <x:v>escova</x:v>
      </x:c>
      <x:c r="B650" s="18" t="str">
        <x:v>õpo nisati</x:v>
      </x:c>
      <x:c r="C650" s="19" t="n">
        <x:f>IF(B650="",0,(LEN(B650)-LEN(SUBSTITUTE(B650," | ","")))/3+1)</x:f>
        <x:v>1</x:v>
      </x:c>
      <x:c r="D650" t="str">
        <x:v>e</x:v>
      </x:c>
      <x:c r="E650" t="str">
        <x:v>https://www.webonary.org/marubo/g3f22d2de-f540-4d1e-b125-b7aad22de38e/</x:v>
      </x:c>
      <x:c r="F650" t="str">
        <x:v>g87d6da6f-842a-4bee-9bfb-cf7c3bdf4022</x:v>
      </x:c>
      <x:c r="G650" s="20" t="n">
        <x:v>46003.93483931713</x:v>
      </x:c>
    </x:row>
    <x:row r="651">
      <x:c r="A651" s="18" t="str">
        <x:v>escova de dente</x:v>
      </x:c>
      <x:c r="B651" s="18" t="str">
        <x:v>pachta tasho</x:v>
      </x:c>
      <x:c r="C651" s="19" t="n">
        <x:f>IF(B651="",0,(LEN(B651)-LEN(SUBSTITUTE(B651," | ","")))/3+1)</x:f>
        <x:v>1</x:v>
      </x:c>
      <x:c r="D651" t="str">
        <x:v>e</x:v>
      </x:c>
      <x:c r="E651" t="str">
        <x:v>https://www.webonary.org/marubo/g06035952-351c-41e1-a6f3-177e1d2a24b8/</x:v>
      </x:c>
      <x:c r="F651" t="str">
        <x:v>g2d89cbd7-8a0e-499a-8fa1-72196db80d12</x:v>
      </x:c>
      <x:c r="G651" s="20" t="n">
        <x:v>46003.93483931713</x:v>
      </x:c>
    </x:row>
    <x:row r="652">
      <x:c r="A652" s="18" t="str">
        <x:v>escudo</x:v>
      </x:c>
      <x:c r="B652" s="18" t="str">
        <x:v>vitxi</x:v>
      </x:c>
      <x:c r="C652" s="19" t="n">
        <x:f>IF(B652="",0,(LEN(B652)-LEN(SUBSTITUTE(B652," | ","")))/3+1)</x:f>
        <x:v>1</x:v>
      </x:c>
      <x:c r="D652" t="str">
        <x:v>e</x:v>
      </x:c>
      <x:c r="E652" t="str">
        <x:v>https://www.webonary.org/marubo/g98f7db7f-b7cb-4c79-9372-ae716cc38f1a/</x:v>
      </x:c>
      <x:c r="F652" t="str">
        <x:v>gaaec4b6e-cca4-451b-ba22-5371b3f75cfb</x:v>
      </x:c>
      <x:c r="G652" s="20" t="n">
        <x:v>46003.93483931713</x:v>
      </x:c>
    </x:row>
    <x:row r="653">
      <x:c r="A653" s="18" t="str">
        <x:v>escurecer</x:v>
      </x:c>
      <x:c r="B653" s="18" t="str">
        <x:v>yãta</x:v>
      </x:c>
      <x:c r="C653" s="19" t="n">
        <x:f>IF(B653="",0,(LEN(B653)-LEN(SUBSTITUTE(B653," | ","")))/3+1)</x:f>
        <x:v>1</x:v>
      </x:c>
      <x:c r="D653" t="str">
        <x:v>e</x:v>
      </x:c>
      <x:c r="E653" t="str">
        <x:v>https://www.webonary.org/marubo/gfe91ed03-fdba-4322-9e49-825c3a9bf76c/</x:v>
      </x:c>
      <x:c r="F653" t="str">
        <x:v>g01c5ed88-7573-4ba3-913f-138c2be3aba6</x:v>
      </x:c>
      <x:c r="G653" s="20" t="n">
        <x:v>46003.93483931713</x:v>
      </x:c>
    </x:row>
    <x:row r="654">
      <x:c r="A654" s="18" t="str">
        <x:v>escuridão</x:v>
      </x:c>
      <x:c r="B654" s="18" t="str">
        <x:v>vakíchi</x:v>
      </x:c>
      <x:c r="C654" s="19" t="n">
        <x:f>IF(B654="",0,(LEN(B654)-LEN(SUBSTITUTE(B654," | ","")))/3+1)</x:f>
        <x:v>1</x:v>
      </x:c>
      <x:c r="D654" t="str">
        <x:v>e</x:v>
      </x:c>
      <x:c r="E654" t="str">
        <x:v>https://www.webonary.org/marubo/g9ab2b190-856e-4cf2-9a36-a3832c1791b8/</x:v>
      </x:c>
      <x:c r="F654" t="str">
        <x:v>gd7dea954-aaa5-4a5e-b0d7-211ed75a8d7e</x:v>
      </x:c>
      <x:c r="G654" s="20" t="n">
        <x:v>46003.93483931713</x:v>
      </x:c>
    </x:row>
    <x:row r="655">
      <x:c r="A655" s="18" t="str">
        <x:v>escutar</x:v>
      </x:c>
      <x:c r="B655" s="18" t="str">
        <x:v>nĩkã</x:v>
      </x:c>
      <x:c r="C655" s="19" t="n">
        <x:f>IF(B655="",0,(LEN(B655)-LEN(SUBSTITUTE(B655," | ","")))/3+1)</x:f>
        <x:v>1</x:v>
      </x:c>
      <x:c r="D655" t="str">
        <x:v>e</x:v>
      </x:c>
      <x:c r="E655" t="str">
        <x:v>https://www.webonary.org/marubo/g0719b51b-b5e7-4ee0-80a7-dac132b9d790/</x:v>
      </x:c>
      <x:c r="F655" t="str">
        <x:v>gf8cede83-acff-4b79-a226-a9f603f79283</x:v>
      </x:c>
      <x:c r="G655" s="20" t="n">
        <x:v>46003.93483931713</x:v>
      </x:c>
    </x:row>
    <x:row r="656">
      <x:c r="A656" s="18" t="str">
        <x:v>esférico</x:v>
      </x:c>
      <x:c r="B656" s="18" t="str">
        <x:v>chomoka</x:v>
      </x:c>
      <x:c r="C656" s="19" t="n">
        <x:f>IF(B656="",0,(LEN(B656)-LEN(SUBSTITUTE(B656," | ","")))/3+1)</x:f>
        <x:v>1</x:v>
      </x:c>
      <x:c r="D656" t="str">
        <x:v>e</x:v>
      </x:c>
      <x:c r="E656" t="str">
        <x:v>https://www.webonary.org/marubo/g86af676a-e7bc-4210-ab4c-845480f677df/</x:v>
      </x:c>
      <x:c r="F656" t="str">
        <x:v>g43227ded-fe42-4cd4-98d5-2385190f3b7c</x:v>
      </x:c>
      <x:c r="G656" s="20" t="n">
        <x:v>46003.934846724536</x:v>
      </x:c>
    </x:row>
    <x:row r="657">
      <x:c r="A657" s="18" t="str">
        <x:v>esfregar</x:v>
      </x:c>
      <x:c r="B657" s="18" t="str">
        <x:v>chokĩa | pacha | 1</x:v>
      </x:c>
      <x:c r="C657" s="19" t="n">
        <x:f>IF(B657="",0,(LEN(B657)-LEN(SUBSTITUTE(B657," | ","")))/3+1)</x:f>
        <x:v>3</x:v>
      </x:c>
      <x:c r="D657" t="str">
        <x:v>e</x:v>
      </x:c>
      <x:c r="E657" t="str">
        <x:v>https://www.webonary.org/marubo/g8cf522b9-27ce-4d29-bc07-95686778c7c4/</x:v>
      </x:c>
      <x:c r="F657" t="str">
        <x:v>gdaf04811-ea6e-4eb0-8a12-97334cc054ec</x:v>
      </x:c>
      <x:c r="G657" s="20" t="n">
        <x:v>46003.934846724536</x:v>
      </x:c>
    </x:row>
    <x:row r="658">
      <x:c r="A658" s="18" t="str">
        <x:v>esfregar as costas em algo</x:v>
      </x:c>
      <x:c r="B658" s="18" t="str">
        <x:v>peshkía</x:v>
      </x:c>
      <x:c r="C658" s="19" t="n">
        <x:f>IF(B658="",0,(LEN(B658)-LEN(SUBSTITUTE(B658," | ","")))/3+1)</x:f>
        <x:v>1</x:v>
      </x:c>
      <x:c r="D658" t="str">
        <x:v>e</x:v>
      </x:c>
      <x:c r="E658" t="str">
        <x:v>https://www.webonary.org/marubo/g7ed48f6a-a95a-4de3-987f-db31bcd29cde/</x:v>
      </x:c>
      <x:c r="F658" t="str">
        <x:v>g0dbc72b9-31c9-4348-b210-e37e2753c33f</x:v>
      </x:c>
      <x:c r="G658" s="20" t="n">
        <x:v>46003.934846724536</x:v>
      </x:c>
    </x:row>
    <x:row r="659">
      <x:c r="A659" s="18" t="str">
        <x:v>esfregar pé</x:v>
      </x:c>
      <x:c r="B659" s="18" t="str">
        <x:v>taskia</x:v>
      </x:c>
      <x:c r="C659" s="19" t="n">
        <x:f>IF(B659="",0,(LEN(B659)-LEN(SUBSTITUTE(B659," | ","")))/3+1)</x:f>
        <x:v>1</x:v>
      </x:c>
      <x:c r="D659" t="str">
        <x:v>e</x:v>
      </x:c>
      <x:c r="E659" t="str">
        <x:v>https://www.webonary.org/marubo/gdabd340b-be02-495e-b72f-d8be5ffcd81b/</x:v>
      </x:c>
      <x:c r="F659" t="str">
        <x:v>g1b5a104b-4218-46d3-b2fd-6c13a78821f7</x:v>
      </x:c>
      <x:c r="G659" s="20" t="n">
        <x:v>46003.934846724536</x:v>
      </x:c>
    </x:row>
    <x:row r="660">
      <x:c r="A660" s="18" t="str">
        <x:v>esmalte (p unha)</x:v>
      </x:c>
      <x:c r="B660" s="18" t="str">
        <x:v>mẽtsísi õchĩti</x:v>
      </x:c>
      <x:c r="C660" s="19" t="n">
        <x:f>IF(B660="",0,(LEN(B660)-LEN(SUBSTITUTE(B660," | ","")))/3+1)</x:f>
        <x:v>1</x:v>
      </x:c>
      <x:c r="D660" t="str">
        <x:v>e</x:v>
      </x:c>
      <x:c r="E660" t="str">
        <x:v>https://www.webonary.org/marubo/geca552ee-2c03-43d6-a6ef-afab56d54276/</x:v>
      </x:c>
      <x:c r="F660" t="str">
        <x:v>g9e977801-8f8e-4958-8b49-5fa6b9242e19</x:v>
      </x:c>
      <x:c r="G660" s="20" t="n">
        <x:v>46003.934846724536</x:v>
      </x:c>
    </x:row>
    <x:row r="661">
      <x:c r="A661" s="18" t="str">
        <x:v>espaço entre</x:v>
      </x:c>
      <x:c r="B661" s="18" t="str">
        <x:v>kena shẽsha</x:v>
      </x:c>
      <x:c r="C661" s="19" t="n">
        <x:f>IF(B661="",0,(LEN(B661)-LEN(SUBSTITUTE(B661," | ","")))/3+1)</x:f>
        <x:v>1</x:v>
      </x:c>
      <x:c r="D661" t="str">
        <x:v>e</x:v>
      </x:c>
      <x:c r="E661" t="str">
        <x:v>https://www.webonary.org/marubo/g3d08a9c2-e6c7-4693-81db-5a60228f7c4c/</x:v>
      </x:c>
      <x:c r="F661" t="str">
        <x:v>g070af314-170d-4e20-a604-09fbce27baf4</x:v>
      </x:c>
      <x:c r="G661" s="20" t="n">
        <x:v>46003.934846724536</x:v>
      </x:c>
    </x:row>
    <x:row r="662">
      <x:c r="A662" s="18" t="str">
        <x:v>espaço no crânio de bebê não formado</x:v>
      </x:c>
      <x:c r="B662" s="18" t="str">
        <x:v>mãwã́</x:v>
      </x:c>
      <x:c r="C662" s="19" t="n">
        <x:f>IF(B662="",0,(LEN(B662)-LEN(SUBSTITUTE(B662," | ","")))/3+1)</x:f>
        <x:v>1</x:v>
      </x:c>
      <x:c r="D662" t="str">
        <x:v>e</x:v>
      </x:c>
      <x:c r="E662" t="str">
        <x:v>https://www.webonary.org/marubo/g03ab2d5a-35ed-4ac5-998d-e6cf46c45a1a/</x:v>
      </x:c>
      <x:c r="F662" t="str">
        <x:v>g80796d77-4c7a-4f88-a930-a7c97fd23641</x:v>
      </x:c>
      <x:c r="G662" s="20" t="n">
        <x:v>46003.934846724536</x:v>
      </x:c>
    </x:row>
    <x:row r="663">
      <x:c r="A663" s="18" t="str">
        <x:v>espalhado</x:v>
      </x:c>
      <x:c r="B663" s="18" t="str">
        <x:v>mĩtxia</x:v>
      </x:c>
      <x:c r="C663" s="19" t="n">
        <x:f>IF(B663="",0,(LEN(B663)-LEN(SUBSTITUTE(B663," | ","")))/3+1)</x:f>
        <x:v>1</x:v>
      </x:c>
      <x:c r="D663" t="str">
        <x:v>e</x:v>
      </x:c>
      <x:c r="E663" t="str">
        <x:v>https://www.webonary.org/marubo/gcf259e5d-f386-4d5f-bc72-444534d5f0c4/</x:v>
      </x:c>
      <x:c r="F663" t="str">
        <x:v>g7a9e4146-8b66-4e89-8a6e-d11041c16ebe</x:v>
      </x:c>
      <x:c r="G663" s="20" t="n">
        <x:v>46003.934846724536</x:v>
      </x:c>
    </x:row>
    <x:row r="664">
      <x:c r="A664" s="18" t="str">
        <x:v>espalhar</x:v>
      </x:c>
      <x:c r="B664" s="18" t="str">
        <x:v>toá | 2</x:v>
      </x:c>
      <x:c r="C664" s="19" t="n">
        <x:f>IF(B664="",0,(LEN(B664)-LEN(SUBSTITUTE(B664," | ","")))/3+1)</x:f>
        <x:v>2</x:v>
      </x:c>
      <x:c r="D664" t="str">
        <x:v>e</x:v>
      </x:c>
      <x:c r="E664" t="str">
        <x:v>https://www.webonary.org/marubo/g8523b7c3-be57-4770-9a30-5a7d45892361/</x:v>
      </x:c>
      <x:c r="F664" t="str">
        <x:v>ge7b233f9-ba6b-4c47-a0a0-68a46cef10de</x:v>
      </x:c>
      <x:c r="G664" s="20" t="n">
        <x:v>46003.934846724536</x:v>
      </x:c>
    </x:row>
    <x:row r="665">
      <x:c r="A665" s="18" t="str">
        <x:v>espantar</x:v>
      </x:c>
      <x:c r="B665" s="18" t="str">
        <x:v>ichã aká</x:v>
      </x:c>
      <x:c r="C665" s="19" t="n">
        <x:f>IF(B665="",0,(LEN(B665)-LEN(SUBSTITUTE(B665," | ","")))/3+1)</x:f>
        <x:v>1</x:v>
      </x:c>
      <x:c r="D665" t="str">
        <x:v>e</x:v>
      </x:c>
      <x:c r="E665" t="str">
        <x:v>https://www.webonary.org/marubo/ga80f29ff-981b-40ac-8bcd-b2d4099f447e/</x:v>
      </x:c>
      <x:c r="F665" t="str">
        <x:v>gd4c96d36-c2d9-42de-b941-903b35c7cbf4</x:v>
      </x:c>
      <x:c r="G665" s="20" t="n">
        <x:v>46003.934846724536</x:v>
      </x:c>
    </x:row>
    <x:row r="666">
      <x:c r="A666" s="18" t="str">
        <x:v>espécie de babaçu</x:v>
      </x:c>
      <x:c r="B666" s="18" t="str">
        <x:v>txikó</x:v>
      </x:c>
      <x:c r="C666" s="19" t="n">
        <x:f>IF(B666="",0,(LEN(B666)-LEN(SUBSTITUTE(B666," | ","")))/3+1)</x:f>
        <x:v>1</x:v>
      </x:c>
      <x:c r="D666" t="str">
        <x:v>e</x:v>
      </x:c>
      <x:c r="E666" t="str">
        <x:v>https://www.webonary.org/marubo/g3dfc1dac-0d11-4cee-94d9-9a334e3f3e7c/</x:v>
      </x:c>
      <x:c r="F666" t="str">
        <x:v>g3c59b606-ae8b-4695-95f9-a6b25c53ef17</x:v>
      </x:c>
      <x:c r="G666" s="20" t="n">
        <x:v>46003.934846724536</x:v>
      </x:c>
    </x:row>
    <x:row r="667">
      <x:c r="A667" s="18" t="str">
        <x:v>espécie de concha pequena</x:v>
      </x:c>
      <x:c r="B667" s="18" t="str">
        <x:v>txavóshe</x:v>
      </x:c>
      <x:c r="C667" s="19" t="n">
        <x:f>IF(B667="",0,(LEN(B667)-LEN(SUBSTITUTE(B667," | ","")))/3+1)</x:f>
        <x:v>1</x:v>
      </x:c>
      <x:c r="D667" t="str">
        <x:v>e</x:v>
      </x:c>
      <x:c r="E667" t="str">
        <x:v>https://www.webonary.org/marubo/ge1f2bb49-b29c-4e3f-9bcc-4f3a488ee5ab/</x:v>
      </x:c>
      <x:c r="F667" t="str">
        <x:v>gdb3a5a69-c214-41dc-98f8-5868d1bd0883</x:v>
      </x:c>
      <x:c r="G667" s="20" t="n">
        <x:v>46003.934846724536</x:v>
      </x:c>
    </x:row>
    <x:row r="668">
      <x:c r="A668" s="18" t="str">
        <x:v>espécie de cutia pequena</x:v>
      </x:c>
      <x:c r="B668" s="18" t="str">
        <x:v>tsãká | 1</x:v>
      </x:c>
      <x:c r="C668" s="19" t="n">
        <x:f>IF(B668="",0,(LEN(B668)-LEN(SUBSTITUTE(B668," | ","")))/3+1)</x:f>
        <x:v>2</x:v>
      </x:c>
      <x:c r="D668" t="str">
        <x:v>e</x:v>
      </x:c>
      <x:c r="E668" t="str">
        <x:v>https://www.webonary.org/marubo/g6527595b-909c-4d5a-93de-692070dae0eb/</x:v>
      </x:c>
      <x:c r="F668" t="str">
        <x:v>g15b71004-87f1-4cb0-998f-bca8acad2c95</x:v>
      </x:c>
      <x:c r="G668" s="20" t="n">
        <x:v>46003.934846724536</x:v>
      </x:c>
    </x:row>
    <x:row r="669">
      <x:c r="A669" s="18" t="str">
        <x:v>espécie de gavião</x:v>
      </x:c>
      <x:c r="B669" s="18" t="str">
        <x:v>vari teté</x:v>
      </x:c>
      <x:c r="C669" s="19" t="n">
        <x:f>IF(B669="",0,(LEN(B669)-LEN(SUBSTITUTE(B669," | ","")))/3+1)</x:f>
        <x:v>1</x:v>
      </x:c>
      <x:c r="D669" t="str">
        <x:v>e</x:v>
      </x:c>
      <x:c r="E669" t="str">
        <x:v>https://www.webonary.org/marubo/g43cc5c55-13db-4c69-a855-7050e7c294ea/</x:v>
      </x:c>
      <x:c r="F669" t="str">
        <x:v>g04ec443c-0cf0-4d67-ad46-cec5666297da</x:v>
      </x:c>
      <x:c r="G669" s="20" t="n">
        <x:v>46003.934846724536</x:v>
      </x:c>
    </x:row>
    <x:row r="670">
      <x:c r="A670" s="18" t="str">
        <x:v>espécie de mandioca</x:v>
      </x:c>
      <x:c r="B670" s="18" t="str">
        <x:v>vari nato</x:v>
      </x:c>
      <x:c r="C670" s="19" t="n">
        <x:f>IF(B670="",0,(LEN(B670)-LEN(SUBSTITUTE(B670," | ","")))/3+1)</x:f>
        <x:v>1</x:v>
      </x:c>
      <x:c r="D670" t="str">
        <x:v>e</x:v>
      </x:c>
      <x:c r="E670" t="str">
        <x:v>https://www.webonary.org/marubo/g726f77a1-0360-4c50-8b42-08073a5e3f5f/</x:v>
      </x:c>
      <x:c r="F670" t="str">
        <x:v>g7e31caeb-f961-47be-97eb-8522e685a1be</x:v>
      </x:c>
      <x:c r="G670" s="20" t="n">
        <x:v>46003.934846724536</x:v>
      </x:c>
    </x:row>
    <x:row r="671">
      <x:c r="A671" s="18" t="str">
        <x:v>espécie de passaro</x:v>
      </x:c>
      <x:c r="B671" s="18" t="str">
        <x:v>pina</x:v>
      </x:c>
      <x:c r="C671" s="19" t="n">
        <x:f>IF(B671="",0,(LEN(B671)-LEN(SUBSTITUTE(B671," | ","")))/3+1)</x:f>
        <x:v>1</x:v>
      </x:c>
      <x:c r="D671" t="str">
        <x:v>e</x:v>
      </x:c>
      <x:c r="E671" t="str">
        <x:v>https://www.webonary.org/marubo/gab2c9db6-4383-4f46-bb62-9ce0fe5c1e3a/</x:v>
      </x:c>
      <x:c r="F671" t="str">
        <x:v>gaef3aca8-a5b7-4386-be46-b76e4fb5cb68</x:v>
      </x:c>
      <x:c r="G671" s="20" t="n">
        <x:v>46003.934846724536</x:v>
      </x:c>
    </x:row>
    <x:row r="672">
      <x:c r="A672" s="18" t="str">
        <x:v>espécie de pássaro da noite</x:v>
      </x:c>
      <x:c r="B672" s="18" t="str">
        <x:v>veno</x:v>
      </x:c>
      <x:c r="C672" s="19" t="n">
        <x:f>IF(B672="",0,(LEN(B672)-LEN(SUBSTITUTE(B672," | ","")))/3+1)</x:f>
        <x:v>1</x:v>
      </x:c>
      <x:c r="D672" t="str">
        <x:v>e</x:v>
      </x:c>
      <x:c r="E672" t="str">
        <x:v>https://www.webonary.org/marubo/g10486f7f-2fb4-47af-8e5f-db8af3b5b2ec/</x:v>
      </x:c>
      <x:c r="F672" t="str">
        <x:v>g11656373-47ba-4217-802b-2c1b40fa06e6</x:v>
      </x:c>
      <x:c r="G672" s="20" t="n">
        <x:v>46003.934846724536</x:v>
      </x:c>
    </x:row>
    <x:row r="673">
      <x:c r="A673" s="18" t="str">
        <x:v>espécie de pássaro que tem tabu para não mexer</x:v>
      </x:c>
      <x:c r="B673" s="18" t="str">
        <x:v>vaĩ shawã</x:v>
      </x:c>
      <x:c r="C673" s="19" t="n">
        <x:f>IF(B673="",0,(LEN(B673)-LEN(SUBSTITUTE(B673," | ","")))/3+1)</x:f>
        <x:v>1</x:v>
      </x:c>
      <x:c r="D673" t="str">
        <x:v>e</x:v>
      </x:c>
      <x:c r="E673" t="str">
        <x:v>https://www.webonary.org/marubo/ga5bcb595-a9c8-456e-a390-607760bc35a9/</x:v>
      </x:c>
      <x:c r="F673" t="str">
        <x:v>g52c1da2a-9ae1-41a2-8b48-b9dbc02df951</x:v>
      </x:c>
      <x:c r="G673" s="20" t="n">
        <x:v>46003.934846724536</x:v>
      </x:c>
    </x:row>
    <x:row r="674">
      <x:c r="A674" s="18" t="str">
        <x:v>espécie de peixe</x:v>
      </x:c>
      <x:c r="B674" s="18" t="str">
        <x:v>vokõ tonõ | vasho</x:v>
      </x:c>
      <x:c r="C674" s="19" t="n">
        <x:f>IF(B674="",0,(LEN(B674)-LEN(SUBSTITUTE(B674," | ","")))/3+1)</x:f>
        <x:v>2</x:v>
      </x:c>
      <x:c r="D674" t="str">
        <x:v>e</x:v>
      </x:c>
      <x:c r="E674" t="str">
        <x:v>https://www.webonary.org/marubo/g3f7971de-91e9-452e-a8cf-0374be524c9d/</x:v>
      </x:c>
      <x:c r="F674" t="str">
        <x:v>g87ccb8c8-7671-4a1e-afad-ef5c81365ab5</x:v>
      </x:c>
      <x:c r="G674" s="20" t="n">
        <x:v>46003.934846724536</x:v>
      </x:c>
    </x:row>
    <x:row r="675">
      <x:c r="A675" s="18" t="str">
        <x:v>espécie de peixe no igarapé</x:v>
      </x:c>
      <x:c r="B675" s="18" t="str">
        <x:v>verochi</x:v>
      </x:c>
      <x:c r="C675" s="19" t="n">
        <x:f>IF(B675="",0,(LEN(B675)-LEN(SUBSTITUTE(B675," | ","")))/3+1)</x:f>
        <x:v>1</x:v>
      </x:c>
      <x:c r="D675" t="str">
        <x:v>e</x:v>
      </x:c>
      <x:c r="E675" t="str">
        <x:v>https://www.webonary.org/marubo/gd49b9116-5f89-4cc8-8477-56a085809f66/</x:v>
      </x:c>
      <x:c r="F675" t="str">
        <x:v>g72059716-8a84-4c56-bd3f-983d3271ec3e</x:v>
      </x:c>
      <x:c r="G675" s="20" t="n">
        <x:v>46003.934846724536</x:v>
      </x:c>
    </x:row>
    <x:row r="676">
      <x:c r="A676" s="18" t="str">
        <x:v>espécie de periquito</x:v>
      </x:c>
      <x:c r="B676" s="18" t="str">
        <x:v>pitso</x:v>
      </x:c>
      <x:c r="C676" s="19" t="n">
        <x:f>IF(B676="",0,(LEN(B676)-LEN(SUBSTITUTE(B676," | ","")))/3+1)</x:f>
        <x:v>1</x:v>
      </x:c>
      <x:c r="D676" t="str">
        <x:v>e</x:v>
      </x:c>
      <x:c r="E676" t="str">
        <x:v>https://www.webonary.org/marubo/g6f24d6fa-e826-4a0f-b465-3ea9cca2135b/</x:v>
      </x:c>
      <x:c r="F676" t="str">
        <x:v>g284fa75f-a5c3-436e-88d3-ea1bf1a65905</x:v>
      </x:c>
      <x:c r="G676" s="20" t="n">
        <x:v>46003.934846724536</x:v>
      </x:c>
    </x:row>
    <x:row r="677">
      <x:c r="A677" s="18" t="str">
        <x:v>espécie de sapo</x:v>
      </x:c>
      <x:c r="B677" s="18" t="str">
        <x:v>veshna</x:v>
      </x:c>
      <x:c r="C677" s="19" t="n">
        <x:f>IF(B677="",0,(LEN(B677)-LEN(SUBSTITUTE(B677," | ","")))/3+1)</x:f>
        <x:v>1</x:v>
      </x:c>
      <x:c r="D677" t="str">
        <x:v>e</x:v>
      </x:c>
      <x:c r="E677" t="str">
        <x:v>https://www.webonary.org/marubo/g1058e6e2-93c1-4704-8dd7-f21bcd036969/</x:v>
      </x:c>
      <x:c r="F677" t="str">
        <x:v>g04780320-2265-4c70-937e-d4d8a83c0e8b</x:v>
      </x:c>
      <x:c r="G677" s="20" t="n">
        <x:v>46003.934846724536</x:v>
      </x:c>
    </x:row>
    <x:row r="678">
      <x:c r="A678" s="18" t="str">
        <x:v>espécie de saúva comestível</x:v>
      </x:c>
      <x:c r="B678" s="18" t="str">
        <x:v>chichĩwã</x:v>
      </x:c>
      <x:c r="C678" s="19" t="n">
        <x:f>IF(B678="",0,(LEN(B678)-LEN(SUBSTITUTE(B678," | ","")))/3+1)</x:f>
        <x:v>1</x:v>
      </x:c>
      <x:c r="D678" t="str">
        <x:v>e</x:v>
      </x:c>
      <x:c r="E678" t="str">
        <x:v>https://www.webonary.org/marubo/gf2c501f7-7b67-4005-987d-2c6f2d6ca53b/</x:v>
      </x:c>
      <x:c r="F678" t="str">
        <x:v>g10396303-e513-45ff-b57b-661533b3714a</x:v>
      </x:c>
      <x:c r="G678" s="20" t="n">
        <x:v>46003.934846724536</x:v>
      </x:c>
    </x:row>
    <x:row r="679">
      <x:c r="A679" s="18" t="str">
        <x:v>especie de tartaruga</x:v>
      </x:c>
      <x:c r="B679" s="18" t="str">
        <x:v>nesho</x:v>
      </x:c>
      <x:c r="C679" s="19" t="n">
        <x:f>IF(B679="",0,(LEN(B679)-LEN(SUBSTITUTE(B679," | ","")))/3+1)</x:f>
        <x:v>1</x:v>
      </x:c>
      <x:c r="D679" t="str">
        <x:v>e</x:v>
      </x:c>
      <x:c r="E679" t="str">
        <x:v>https://www.webonary.org/marubo/gc299bd32-aeb8-40ad-890d-d093bbfad51f/</x:v>
      </x:c>
      <x:c r="F679" t="str">
        <x:v>gacf56826-175f-4e0e-8712-64996a33a5f9</x:v>
      </x:c>
      <x:c r="G679" s="20" t="n">
        <x:v>46003.934846724536</x:v>
      </x:c>
    </x:row>
    <x:row r="680">
      <x:c r="A680" s="18" t="str">
        <x:v>espectro</x:v>
      </x:c>
      <x:c r="B680" s="18" t="str">
        <x:v>yochĩ</x:v>
      </x:c>
      <x:c r="C680" s="19" t="n">
        <x:f>IF(B680="",0,(LEN(B680)-LEN(SUBSTITUTE(B680," | ","")))/3+1)</x:f>
        <x:v>1</x:v>
      </x:c>
      <x:c r="D680" t="str">
        <x:v>e</x:v>
      </x:c>
      <x:c r="E680" t="str">
        <x:v>https://www.webonary.org/marubo/g3084a2cd-2015-4ad4-955e-e2b91d1b2ba9/</x:v>
      </x:c>
      <x:c r="F680" t="str">
        <x:v>g042dfa2e-0c72-450e-b79d-2109768bb15f</x:v>
      </x:c>
      <x:c r="G680" s="20" t="n">
        <x:v>46003.934846724536</x:v>
      </x:c>
    </x:row>
    <x:row r="681">
      <x:c r="A681" s="18" t="str">
        <x:v>espelho</x:v>
      </x:c>
      <x:c r="B681" s="18" t="str">
        <x:v>veisti</x:v>
      </x:c>
      <x:c r="C681" s="19" t="n">
        <x:f>IF(B681="",0,(LEN(B681)-LEN(SUBSTITUTE(B681," | ","")))/3+1)</x:f>
        <x:v>1</x:v>
      </x:c>
      <x:c r="D681" t="str">
        <x:v>e</x:v>
      </x:c>
      <x:c r="E681" t="str">
        <x:v>https://www.webonary.org/marubo/g47d979d6-1533-4f01-b45b-837b874e675e/</x:v>
      </x:c>
      <x:c r="F681" t="str">
        <x:v>gb483c782-ba49-4841-92b9-db79d623fb3a</x:v>
      </x:c>
      <x:c r="G681" s="20" t="n">
        <x:v>46003.934846724536</x:v>
      </x:c>
    </x:row>
    <x:row r="682">
      <x:c r="A682" s="18" t="str">
        <x:v>espera para matar pessoas ou animais</x:v>
      </x:c>
      <x:c r="B682" s="18" t="str">
        <x:v>vepãti</x:v>
      </x:c>
      <x:c r="C682" s="19" t="n">
        <x:f>IF(B682="",0,(LEN(B682)-LEN(SUBSTITUTE(B682," | ","")))/3+1)</x:f>
        <x:v>1</x:v>
      </x:c>
      <x:c r="D682" t="str">
        <x:v>e</x:v>
      </x:c>
      <x:c r="E682" t="str">
        <x:v>https://www.webonary.org/marubo/g37533b06-8de0-4822-8ea7-bad0753a4479/</x:v>
      </x:c>
      <x:c r="F682" t="str">
        <x:v>g68cb974d-6769-475e-9908-8bdb3db152b1</x:v>
      </x:c>
      <x:c r="G682" s="20" t="n">
        <x:v>46003.934846724536</x:v>
      </x:c>
    </x:row>
    <x:row r="683">
      <x:c r="A683" s="18" t="str">
        <x:v>esperando a caça</x:v>
      </x:c>
      <x:c r="B683" s="18" t="str">
        <x:v>mewe sotã</x:v>
      </x:c>
      <x:c r="C683" s="19" t="n">
        <x:f>IF(B683="",0,(LEN(B683)-LEN(SUBSTITUTE(B683," | ","")))/3+1)</x:f>
        <x:v>1</x:v>
      </x:c>
      <x:c r="D683" t="str">
        <x:v>e</x:v>
      </x:c>
      <x:c r="E683" t="str">
        <x:v>https://www.webonary.org/marubo/g6ff5e2ee-93db-4866-b4e5-4ae717e6a4ea/</x:v>
      </x:c>
      <x:c r="F683" t="str">
        <x:v>g0964dced-324c-41de-82c4-42b91fe3dda9</x:v>
      </x:c>
      <x:c r="G683" s="20" t="n">
        <x:v>46003.934846724536</x:v>
      </x:c>
    </x:row>
    <x:row r="684">
      <x:c r="A684" s="18" t="str">
        <x:v>esperar</x:v>
      </x:c>
      <x:c r="B684" s="18" t="str">
        <x:v>vepãt aká</x:v>
      </x:c>
      <x:c r="C684" s="19" t="n">
        <x:f>IF(B684="",0,(LEN(B684)-LEN(SUBSTITUTE(B684," | ","")))/3+1)</x:f>
        <x:v>1</x:v>
      </x:c>
      <x:c r="D684" t="str">
        <x:v>e</x:v>
      </x:c>
      <x:c r="E684" t="str">
        <x:v>https://www.webonary.org/marubo/g094104be-f3e2-4742-bc58-5968bf0611d2/</x:v>
      </x:c>
      <x:c r="F684" t="str">
        <x:v>ge2a5d328-8eb6-4e96-bedc-bd3ba8e4c899</x:v>
      </x:c>
      <x:c r="G684" s="20" t="n">
        <x:v>46003.934846724536</x:v>
      </x:c>
    </x:row>
    <x:row r="685">
      <x:c r="A685" s="18" t="str">
        <x:v>espiar</x:v>
      </x:c>
      <x:c r="B685" s="18" t="str">
        <x:v>vechpia | patakoa</x:v>
      </x:c>
      <x:c r="C685" s="19" t="n">
        <x:f>IF(B685="",0,(LEN(B685)-LEN(SUBSTITUTE(B685," | ","")))/3+1)</x:f>
        <x:v>2</x:v>
      </x:c>
      <x:c r="D685" t="str">
        <x:v>e</x:v>
      </x:c>
      <x:c r="E685" t="str">
        <x:v>https://www.webonary.org/marubo/gb644d301-9a4d-44bb-ab28-196f7ee4c782/</x:v>
      </x:c>
      <x:c r="F685" t="str">
        <x:v>g46bcd94f-bc00-4102-a126-9e57433de8a8</x:v>
      </x:c>
      <x:c r="G685" s="20" t="n">
        <x:v>46003.934846724536</x:v>
      </x:c>
    </x:row>
    <x:row r="686">
      <x:c r="A686" s="18" t="str">
        <x:v>espiga de milho</x:v>
      </x:c>
      <x:c r="B686" s="18" t="str">
        <x:v>eshko</x:v>
      </x:c>
      <x:c r="C686" s="19" t="n">
        <x:f>IF(B686="",0,(LEN(B686)-LEN(SUBSTITUTE(B686," | ","")))/3+1)</x:f>
        <x:v>1</x:v>
      </x:c>
      <x:c r="D686" t="str">
        <x:v>e</x:v>
      </x:c>
      <x:c r="E686" t="str">
        <x:v>https://www.webonary.org/marubo/g051ab28b-99b7-41af-968a-4309baa25596/</x:v>
      </x:c>
      <x:c r="F686" t="str">
        <x:v>gc5554e21-b76e-4bf0-870f-52df4bb34037</x:v>
      </x:c>
      <x:c r="G686" s="20" t="n">
        <x:v>46003.934846724536</x:v>
      </x:c>
    </x:row>
    <x:row r="687">
      <x:c r="A687" s="18" t="str">
        <x:v>espingarda</x:v>
      </x:c>
      <x:c r="B687" s="18" t="str">
        <x:v>tipi</x:v>
      </x:c>
      <x:c r="C687" s="19" t="n">
        <x:f>IF(B687="",0,(LEN(B687)-LEN(SUBSTITUTE(B687," | ","")))/3+1)</x:f>
        <x:v>1</x:v>
      </x:c>
      <x:c r="D687" t="str">
        <x:v>e</x:v>
      </x:c>
      <x:c r="E687" t="str">
        <x:v>https://www.webonary.org/marubo/g3b5fa7a0-d98c-441d-8dbd-05a7fc3d0faa/</x:v>
      </x:c>
      <x:c r="F687" t="str">
        <x:v>g9b685463-b07b-4ca8-be7d-8cdd6a5e6928</x:v>
      </x:c>
      <x:c r="G687" s="20" t="n">
        <x:v>46003.934846724536</x:v>
      </x:c>
    </x:row>
    <x:row r="688">
      <x:c r="A688" s="18" t="str">
        <x:v>espinho</x:v>
      </x:c>
      <x:c r="B688" s="18" t="str">
        <x:v>mosha</x:v>
      </x:c>
      <x:c r="C688" s="19" t="n">
        <x:f>IF(B688="",0,(LEN(B688)-LEN(SUBSTITUTE(B688," | ","")))/3+1)</x:f>
        <x:v>1</x:v>
      </x:c>
      <x:c r="D688" t="str">
        <x:v>e</x:v>
      </x:c>
      <x:c r="E688" t="str">
        <x:v>https://www.webonary.org/marubo/g24392862-3f8f-44c7-8449-4686de8f8d2f/</x:v>
      </x:c>
      <x:c r="F688" t="str">
        <x:v>g8b2670d9-2349-49dd-8b8e-1c267a62cf8c</x:v>
      </x:c>
      <x:c r="G688" s="20" t="n">
        <x:v>46003.934846724536</x:v>
      </x:c>
    </x:row>
    <x:row r="689">
      <x:c r="A689" s="18" t="str">
        <x:v>espinhoso</x:v>
      </x:c>
      <x:c r="B689" s="18" t="str">
        <x:v>txamaka</x:v>
      </x:c>
      <x:c r="C689" s="19" t="n">
        <x:f>IF(B689="",0,(LEN(B689)-LEN(SUBSTITUTE(B689," | ","")))/3+1)</x:f>
        <x:v>1</x:v>
      </x:c>
      <x:c r="D689" t="str">
        <x:v>e</x:v>
      </x:c>
      <x:c r="E689" t="str">
        <x:v>https://www.webonary.org/marubo/ga15f52a0-5866-4018-961b-f2939c2f3c30/</x:v>
      </x:c>
      <x:c r="F689" t="str">
        <x:v>ga6f90d0e-208c-4755-92c3-f5de5863dc31</x:v>
      </x:c>
      <x:c r="G689" s="20" t="n">
        <x:v>46003.934846724536</x:v>
      </x:c>
    </x:row>
    <x:row r="690">
      <x:c r="A690" s="18" t="str">
        <x:v>espirito</x:v>
      </x:c>
      <x:c r="B690" s="18" t="str">
        <x:v>vaká</x:v>
      </x:c>
      <x:c r="C690" s="19" t="n">
        <x:f>IF(B690="",0,(LEN(B690)-LEN(SUBSTITUTE(B690," | ","")))/3+1)</x:f>
        <x:v>1</x:v>
      </x:c>
      <x:c r="D690" t="str">
        <x:v>e</x:v>
      </x:c>
      <x:c r="E690" t="str">
        <x:v>https://www.webonary.org/marubo/g3106b296-9f82-4e63-a850-feb3db3d6296/</x:v>
      </x:c>
      <x:c r="F690" t="str">
        <x:v>g2c8420a0-8b1f-4eec-b444-dfa389aa0c75</x:v>
      </x:c>
      <x:c r="G690" s="20" t="n">
        <x:v>46003.934846724536</x:v>
      </x:c>
    </x:row>
    <x:row r="691">
      <x:c r="A691" s="18" t="str">
        <x:v>espírito</x:v>
      </x:c>
      <x:c r="B691" s="18" t="str">
        <x:v>shãtákare | yové</x:v>
      </x:c>
      <x:c r="C691" s="19" t="n">
        <x:f>IF(B691="",0,(LEN(B691)-LEN(SUBSTITUTE(B691," | ","")))/3+1)</x:f>
        <x:v>2</x:v>
      </x:c>
      <x:c r="D691" t="str">
        <x:v>e</x:v>
      </x:c>
      <x:c r="E691" t="str">
        <x:v>https://www.webonary.org/marubo/gd92bbe76-f6a1-449f-b3e9-cf2f9bcf9de1/</x:v>
      </x:c>
      <x:c r="F691" t="str">
        <x:v>g61397ce9-57f5-4613-9f2e-f659f8c646b9</x:v>
      </x:c>
      <x:c r="G691" s="20" t="n">
        <x:v>46003.934846724536</x:v>
      </x:c>
    </x:row>
    <x:row r="692">
      <x:c r="A692" s="18" t="str">
        <x:v>espirito incorporando uma pessoa</x:v>
      </x:c>
      <x:c r="B692" s="18" t="str">
        <x:v>peshóte aká</x:v>
      </x:c>
      <x:c r="C692" s="19" t="n">
        <x:f>IF(B692="",0,(LEN(B692)-LEN(SUBSTITUTE(B692," | ","")))/3+1)</x:f>
        <x:v>1</x:v>
      </x:c>
      <x:c r="D692" t="str">
        <x:v>e</x:v>
      </x:c>
      <x:c r="E692" t="str">
        <x:v>https://www.webonary.org/marubo/g89ae8377-f70c-421a-954d-c2a08b256388/</x:v>
      </x:c>
      <x:c r="F692" t="str">
        <x:v>g29e7955c-dced-42dd-829a-eda8829a0a57</x:v>
      </x:c>
      <x:c r="G692" s="20" t="n">
        <x:v>46003.934846724536</x:v>
      </x:c>
    </x:row>
    <x:row r="693">
      <x:c r="A693" s="18" t="str">
        <x:v>espirrar</x:v>
      </x:c>
      <x:c r="B693" s="18" t="str">
        <x:v>achtĩ ikí</x:v>
      </x:c>
      <x:c r="C693" s="19" t="n">
        <x:f>IF(B693="",0,(LEN(B693)-LEN(SUBSTITUTE(B693," | ","")))/3+1)</x:f>
        <x:v>1</x:v>
      </x:c>
      <x:c r="D693" t="str">
        <x:v>e</x:v>
      </x:c>
      <x:c r="E693" t="str">
        <x:v>https://www.webonary.org/marubo/g9b301f5a-f60f-4dd9-b34e-cbaafc3cb47d/</x:v>
      </x:c>
      <x:c r="F693" t="str">
        <x:v>g73821e1e-9500-4480-8c84-017147dec15b</x:v>
      </x:c>
      <x:c r="G693" s="20" t="n">
        <x:v>46003.934846724536</x:v>
      </x:c>
    </x:row>
    <x:row r="694">
      <x:c r="A694" s="18" t="str">
        <x:v>espoleta</x:v>
      </x:c>
      <x:c r="B694" s="18" t="str">
        <x:v>paichti</x:v>
      </x:c>
      <x:c r="C694" s="19" t="n">
        <x:f>IF(B694="",0,(LEN(B694)-LEN(SUBSTITUTE(B694," | ","")))/3+1)</x:f>
        <x:v>1</x:v>
      </x:c>
      <x:c r="D694" t="str">
        <x:v>e</x:v>
      </x:c>
      <x:c r="E694" t="str">
        <x:v>https://www.webonary.org/marubo/gac1e367f-756e-4a21-b226-73ee2843733f/</x:v>
      </x:c>
      <x:c r="F694" t="str">
        <x:v>g8fd3cecb-4544-4376-9caf-42e3bb7999fb</x:v>
      </x:c>
      <x:c r="G694" s="20" t="n">
        <x:v>46003.934846724536</x:v>
      </x:c>
    </x:row>
    <x:row r="695">
      <x:c r="A695" s="18" t="str">
        <x:v>esposa</x:v>
      </x:c>
      <x:c r="B695" s="18" t="str">
        <x:v>aĩ | 1</x:v>
      </x:c>
      <x:c r="C695" s="19" t="n">
        <x:f>IF(B695="",0,(LEN(B695)-LEN(SUBSTITUTE(B695," | ","")))/3+1)</x:f>
        <x:v>2</x:v>
      </x:c>
      <x:c r="D695" t="str">
        <x:v>e</x:v>
      </x:c>
      <x:c r="E695" t="str">
        <x:v>https://www.webonary.org/marubo/g66e3b3c4-db09-4c90-a8ed-ee33339d2e3c/</x:v>
      </x:c>
      <x:c r="F695" t="str">
        <x:v>ge21c6f20-16a1-4ee9-a834-c8b068ec8a1c</x:v>
      </x:c>
      <x:c r="G695" s="20" t="n">
        <x:v>46003.934846724536</x:v>
      </x:c>
    </x:row>
    <x:row r="696">
      <x:c r="A696" s="18" t="str">
        <x:v>espremer</x:v>
      </x:c>
      <x:c r="B696" s="18" t="str">
        <x:v>tsinĩa</x:v>
      </x:c>
      <x:c r="C696" s="19" t="n">
        <x:f>IF(B696="",0,(LEN(B696)-LEN(SUBSTITUTE(B696," | ","")))/3+1)</x:f>
        <x:v>1</x:v>
      </x:c>
      <x:c r="D696" t="str">
        <x:v>e</x:v>
      </x:c>
      <x:c r="E696" t="str">
        <x:v>https://www.webonary.org/marubo/ga61c7879-06cc-479e-94ae-874127f33c6b/</x:v>
      </x:c>
      <x:c r="F696" t="str">
        <x:v>ge0c0335e-a188-4def-adaf-d7c44602158b</x:v>
      </x:c>
      <x:c r="G696" s="20" t="n">
        <x:v>46003.934846724536</x:v>
      </x:c>
    </x:row>
    <x:row r="697">
      <x:c r="A697" s="18" t="str">
        <x:v>espressão usado depois de brincar com alguem</x:v>
      </x:c>
      <x:c r="B697" s="18" t="str">
        <x:v>parã ikí</x:v>
      </x:c>
      <x:c r="C697" s="19" t="n">
        <x:f>IF(B697="",0,(LEN(B697)-LEN(SUBSTITUTE(B697," | ","")))/3+1)</x:f>
        <x:v>1</x:v>
      </x:c>
      <x:c r="D697" t="str">
        <x:v>e</x:v>
      </x:c>
      <x:c r="E697" t="str">
        <x:v>https://www.webonary.org/marubo/g5416254c-5934-4a84-87d4-a5a5daadd152/</x:v>
      </x:c>
      <x:c r="F697" t="str">
        <x:v>gac959198-4b96-451e-a1c1-91f725364765</x:v>
      </x:c>
      <x:c r="G697" s="20" t="n">
        <x:v>46003.934846724536</x:v>
      </x:c>
    </x:row>
    <x:row r="698">
      <x:c r="A698" s="18" t="str">
        <x:v>espuma</x:v>
      </x:c>
      <x:c r="B698" s="18" t="str">
        <x:v>vakóshe</x:v>
      </x:c>
      <x:c r="C698" s="19" t="n">
        <x:f>IF(B698="",0,(LEN(B698)-LEN(SUBSTITUTE(B698," | ","")))/3+1)</x:f>
        <x:v>1</x:v>
      </x:c>
      <x:c r="D698" t="str">
        <x:v>e</x:v>
      </x:c>
      <x:c r="E698" t="str">
        <x:v>https://www.webonary.org/marubo/gf7787529-94dd-4400-ab45-535ed26744d8/</x:v>
      </x:c>
      <x:c r="F698" t="str">
        <x:v>g9cbaf0f0-a4c1-4d84-a3d0-5fdb0392a44b</x:v>
      </x:c>
      <x:c r="G698" s="20" t="n">
        <x:v>46003.934846724536</x:v>
      </x:c>
    </x:row>
    <x:row r="699">
      <x:c r="A699" s="18" t="str">
        <x:v>esquecer</x:v>
      </x:c>
      <x:c r="B699" s="18" t="str">
        <x:v>venoa | petxia</x:v>
      </x:c>
      <x:c r="C699" s="19" t="n">
        <x:f>IF(B699="",0,(LEN(B699)-LEN(SUBSTITUTE(B699," | ","")))/3+1)</x:f>
        <x:v>2</x:v>
      </x:c>
      <x:c r="D699" t="str">
        <x:v>e</x:v>
      </x:c>
      <x:c r="E699" t="str">
        <x:v>https://www.webonary.org/marubo/g804b4b7d-f2fe-462d-9483-b7ac108e0cec/</x:v>
      </x:c>
      <x:c r="F699" t="str">
        <x:v>g21c85252-b211-4f5d-acc9-f402ae08c213</x:v>
      </x:c>
      <x:c r="G699" s="20" t="n">
        <x:v>46003.934846724536</x:v>
      </x:c>
    </x:row>
    <x:row r="700">
      <x:c r="A700" s="18" t="str">
        <x:v>esquerdo</x:v>
      </x:c>
      <x:c r="B700" s="18" t="str">
        <x:v>mechmiri</x:v>
      </x:c>
      <x:c r="C700" s="19" t="n">
        <x:f>IF(B700="",0,(LEN(B700)-LEN(SUBSTITUTE(B700," | ","")))/3+1)</x:f>
        <x:v>1</x:v>
      </x:c>
      <x:c r="D700" t="str">
        <x:v>e</x:v>
      </x:c>
      <x:c r="E700" t="str">
        <x:v>https://www.webonary.org/marubo/g4d4d059c-0839-404c-b350-5b7824e50619/</x:v>
      </x:c>
      <x:c r="F700" t="str">
        <x:v>ga6eb78f5-96b0-4ebc-8a2a-1b72371de63b</x:v>
      </x:c>
      <x:c r="G700" s="20" t="n">
        <x:v>46003.934846724536</x:v>
      </x:c>
    </x:row>
    <x:row r="701">
      <x:c r="A701" s="18" t="str">
        <x:v>esquilo</x:v>
      </x:c>
      <x:c r="B701" s="18" t="str">
        <x:v>wasa | 1 | kapa</x:v>
      </x:c>
      <x:c r="C701" s="19" t="n">
        <x:f>IF(B701="",0,(LEN(B701)-LEN(SUBSTITUTE(B701," | ","")))/3+1)</x:f>
        <x:v>3</x:v>
      </x:c>
      <x:c r="D701" t="str">
        <x:v>e</x:v>
      </x:c>
      <x:c r="E701" t="str">
        <x:v>https://www.webonary.org/marubo/g8f5b98ba-f3df-44c9-ba13-3457e86b0bd3/</x:v>
      </x:c>
      <x:c r="F701" t="str">
        <x:v>g482c255f-2dca-4310-87b2-573b3ed3c47f</x:v>
      </x:c>
      <x:c r="G701" s="20" t="n">
        <x:v>46003.934846724536</x:v>
      </x:c>
    </x:row>
    <x:row r="702">
      <x:c r="A702" s="18" t="str">
        <x:v>esquilo (outro tipo)</x:v>
      </x:c>
      <x:c r="B702" s="18" t="str">
        <x:v>kapa toko</x:v>
      </x:c>
      <x:c r="C702" s="19" t="n">
        <x:f>IF(B702="",0,(LEN(B702)-LEN(SUBSTITUTE(B702," | ","")))/3+1)</x:f>
        <x:v>1</x:v>
      </x:c>
      <x:c r="D702" t="str">
        <x:v>e</x:v>
      </x:c>
      <x:c r="E702" t="str">
        <x:v>https://www.webonary.org/marubo/ga0e61b48-77a9-4d7b-a659-59853a062782/</x:v>
      </x:c>
      <x:c r="F702" t="str">
        <x:v>g0db5ec43-bb13-4cab-ad29-7f3a83bcfe25</x:v>
      </x:c>
      <x:c r="G702" s="20" t="n">
        <x:v>46003.934846724536</x:v>
      </x:c>
    </x:row>
    <x:row r="703">
      <x:c r="A703" s="18" t="str">
        <x:v>estar</x:v>
      </x:c>
      <x:c r="B703" s="18" t="str">
        <x:v>niá</x:v>
      </x:c>
      <x:c r="C703" s="19" t="n">
        <x:f>IF(B703="",0,(LEN(B703)-LEN(SUBSTITUTE(B703," | ","")))/3+1)</x:f>
        <x:v>1</x:v>
      </x:c>
      <x:c r="D703" t="str">
        <x:v>e</x:v>
      </x:c>
      <x:c r="E703" t="str">
        <x:v>https://www.webonary.org/marubo/gc5b5a557-74e2-4b10-bac0-4063a59392d9/</x:v>
      </x:c>
      <x:c r="F703" t="str">
        <x:v>g1ddbae45-404a-4d4d-9b3e-eb5f977eefec</x:v>
      </x:c>
      <x:c r="G703" s="20" t="n">
        <x:v>46003.934846724536</x:v>
      </x:c>
    </x:row>
    <x:row r="704">
      <x:c r="A704" s="18" t="str">
        <x:v>estar bebado</x:v>
      </x:c>
      <x:c r="B704" s="18" t="str">
        <x:v>vetsa</x:v>
      </x:c>
      <x:c r="C704" s="19" t="n">
        <x:f>IF(B704="",0,(LEN(B704)-LEN(SUBSTITUTE(B704," | ","")))/3+1)</x:f>
        <x:v>1</x:v>
      </x:c>
      <x:c r="D704" t="str">
        <x:v>e</x:v>
      </x:c>
      <x:c r="E704" t="str">
        <x:v>https://www.webonary.org/marubo/g1af30860-40ea-4e60-8a87-291283fbc4fe/</x:v>
      </x:c>
      <x:c r="F704" t="str">
        <x:v>g620555db-bb12-4f10-8781-093d87e90573</x:v>
      </x:c>
      <x:c r="G704" s="20" t="n">
        <x:v>46003.934846724536</x:v>
      </x:c>
    </x:row>
    <x:row r="705">
      <x:c r="A705" s="18" t="str">
        <x:v>estar com nojo</x:v>
      </x:c>
      <x:c r="B705" s="18" t="str">
        <x:v>veya</x:v>
      </x:c>
      <x:c r="C705" s="19" t="n">
        <x:f>IF(B705="",0,(LEN(B705)-LEN(SUBSTITUTE(B705," | ","")))/3+1)</x:f>
        <x:v>1</x:v>
      </x:c>
      <x:c r="D705" t="str">
        <x:v>e</x:v>
      </x:c>
      <x:c r="E705" t="str">
        <x:v>https://www.webonary.org/marubo/g87f5e8ec-1fda-4e13-96cf-3e43d4f8932a/</x:v>
      </x:c>
      <x:c r="F705" t="str">
        <x:v>g73cbf746-2681-4478-b1a0-8ea51060f687</x:v>
      </x:c>
      <x:c r="G705" s="20" t="n">
        <x:v>46003.934846724536</x:v>
      </x:c>
    </x:row>
    <x:row r="706">
      <x:c r="A706" s="18" t="str">
        <x:v>estar com vontade de (dormir</x:v>
      </x:c>
      <x:c r="B706" s="18" t="str">
        <x:v>vetsa</x:v>
      </x:c>
      <x:c r="C706" s="19" t="n">
        <x:f>IF(B706="",0,(LEN(B706)-LEN(SUBSTITUTE(B706," | ","")))/3+1)</x:f>
        <x:v>1</x:v>
      </x:c>
      <x:c r="D706" t="str">
        <x:v>e</x:v>
      </x:c>
      <x:c r="E706" t="str">
        <x:v>https://www.webonary.org/marubo/g1af30860-40ea-4e60-8a87-291283fbc4fe/</x:v>
      </x:c>
      <x:c r="F706" t="str">
        <x:v>g20d5bc6d-e01d-4961-bd7d-acbb288ab1d6</x:v>
      </x:c>
      <x:c r="G706" s="20" t="n">
        <x:v>46003.93485380787</x:v>
      </x:c>
    </x:row>
    <x:row r="707">
      <x:c r="A707" s="18" t="str">
        <x:v>estar doente</x:v>
      </x:c>
      <x:c r="B707" s="18" t="str">
        <x:v>isĩ tenea</x:v>
      </x:c>
      <x:c r="C707" s="19" t="n">
        <x:f>IF(B707="",0,(LEN(B707)-LEN(SUBSTITUTE(B707," | ","")))/3+1)</x:f>
        <x:v>1</x:v>
      </x:c>
      <x:c r="D707" t="str">
        <x:v>e</x:v>
      </x:c>
      <x:c r="E707" t="str">
        <x:v>https://www.webonary.org/marubo/g5c363268-f675-4148-9fc7-1e47bb9e4ea3/</x:v>
      </x:c>
      <x:c r="F707" t="str">
        <x:v>gf1683be9-c7cd-4c1b-b2d4-4038f83573d3</x:v>
      </x:c>
      <x:c r="G707" s="20" t="n">
        <x:v>46003.93485380787</x:v>
      </x:c>
    </x:row>
    <x:row r="708">
      <x:c r="A708" s="18" t="str">
        <x:v>estar satisfeito</x:v>
      </x:c>
      <x:c r="B708" s="18" t="str">
        <x:v>yania</x:v>
      </x:c>
      <x:c r="C708" s="19" t="n">
        <x:f>IF(B708="",0,(LEN(B708)-LEN(SUBSTITUTE(B708," | ","")))/3+1)</x:f>
        <x:v>1</x:v>
      </x:c>
      <x:c r="D708" t="str">
        <x:v>e</x:v>
      </x:c>
      <x:c r="E708" t="str">
        <x:v>https://www.webonary.org/marubo/g9b59a2f8-94da-4641-8dd4-f42098d3d309/</x:v>
      </x:c>
      <x:c r="F708" t="str">
        <x:v>gfed2e92f-195f-4ad9-9cb0-34e41e785675</x:v>
      </x:c>
      <x:c r="G708" s="20" t="n">
        <x:v>46003.93485380787</x:v>
      </x:c>
    </x:row>
    <x:row r="709">
      <x:c r="A709" s="18" t="str">
        <x:v>estar seco</x:v>
      </x:c>
      <x:c r="B709" s="18" t="str">
        <x:v>txochia</x:v>
      </x:c>
      <x:c r="C709" s="19" t="n">
        <x:f>IF(B709="",0,(LEN(B709)-LEN(SUBSTITUTE(B709," | ","")))/3+1)</x:f>
        <x:v>1</x:v>
      </x:c>
      <x:c r="D709" t="str">
        <x:v>e</x:v>
      </x:c>
      <x:c r="E709" t="str">
        <x:v>https://www.webonary.org/marubo/g709cd6b6-31b5-4fe0-a760-163e89721560/</x:v>
      </x:c>
      <x:c r="F709" t="str">
        <x:v>g3f16484e-e7c4-4fa2-8f84-bee368f586c2</x:v>
      </x:c>
      <x:c r="G709" s="20" t="n">
        <x:v>46003.93485380787</x:v>
      </x:c>
    </x:row>
    <x:row r="710">
      <x:c r="A710" s="18" t="str">
        <x:v>este</x:v>
      </x:c>
      <x:c r="B710" s="18" t="str">
        <x:v>naa ivo</x:v>
      </x:c>
      <x:c r="C710" s="19" t="n">
        <x:f>IF(B710="",0,(LEN(B710)-LEN(SUBSTITUTE(B710," | ","")))/3+1)</x:f>
        <x:v>1</x:v>
      </x:c>
      <x:c r="D710" t="str">
        <x:v>e</x:v>
      </x:c>
      <x:c r="E710" t="str">
        <x:v>https://www.webonary.org/marubo/g82b15738-86d0-49a9-81ba-cdfd22d841c2/</x:v>
      </x:c>
      <x:c r="F710" t="str">
        <x:v>gdd7b5005-2190-431d-9b0f-283183584f7c</x:v>
      </x:c>
      <x:c r="G710" s="20" t="n">
        <x:v>46003.93485380787</x:v>
      </x:c>
    </x:row>
    <x:row r="711">
      <x:c r="A711" s="18" t="str">
        <x:v>esticar</x:v>
      </x:c>
      <x:c r="B711" s="18" t="str">
        <x:v>tee aká | onẽa</x:v>
      </x:c>
      <x:c r="C711" s="19" t="n">
        <x:f>IF(B711="",0,(LEN(B711)-LEN(SUBSTITUTE(B711," | ","")))/3+1)</x:f>
        <x:v>2</x:v>
      </x:c>
      <x:c r="D711" t="str">
        <x:v>e</x:v>
      </x:c>
      <x:c r="E711" t="str">
        <x:v>https://www.webonary.org/marubo/g379d53c2-67ec-4c91-beda-377966a346d1/</x:v>
      </x:c>
      <x:c r="F711" t="str">
        <x:v>g6305b971-b0fe-49b9-bf66-8ca3510e6eaa</x:v>
      </x:c>
      <x:c r="G711" s="20" t="n">
        <x:v>46003.93485380787</x:v>
      </x:c>
    </x:row>
    <x:row r="712">
      <x:c r="A712" s="18" t="str">
        <x:v>esticar língua (como cobra)</x:v>
      </x:c>
      <x:c r="B712" s="18" t="str">
        <x:v>ãsi ikí</x:v>
      </x:c>
      <x:c r="C712" s="19" t="n">
        <x:f>IF(B712="",0,(LEN(B712)-LEN(SUBSTITUTE(B712," | ","")))/3+1)</x:f>
        <x:v>1</x:v>
      </x:c>
      <x:c r="D712" t="str">
        <x:v>e</x:v>
      </x:c>
      <x:c r="E712" t="str">
        <x:v>https://www.webonary.org/marubo/g8a620291-308b-45c6-b072-3ceb8c211e0c/</x:v>
      </x:c>
      <x:c r="F712" t="str">
        <x:v>g8d0f07c2-59ed-4bd6-ba89-429536845635</x:v>
      </x:c>
      <x:c r="G712" s="20" t="n">
        <x:v>46003.93485380787</x:v>
      </x:c>
    </x:row>
    <x:row r="713">
      <x:c r="A713" s="18" t="str">
        <x:v>estômago</x:v>
      </x:c>
      <x:c r="B713" s="18" t="str">
        <x:v>posto | ató</x:v>
      </x:c>
      <x:c r="C713" s="19" t="n">
        <x:f>IF(B713="",0,(LEN(B713)-LEN(SUBSTITUTE(B713," | ","")))/3+1)</x:f>
        <x:v>2</x:v>
      </x:c>
      <x:c r="D713" t="str">
        <x:v>e</x:v>
      </x:c>
      <x:c r="E713" t="str">
        <x:v>https://www.webonary.org/marubo/g2c7da69f-314b-49d8-802d-862de4f05d01/</x:v>
      </x:c>
      <x:c r="F713" t="str">
        <x:v>g28a8b79a-1f24-4850-b8c3-b7619c7c060a</x:v>
      </x:c>
      <x:c r="G713" s="20" t="n">
        <x:v>46003.93485380787</x:v>
      </x:c>
    </x:row>
    <x:row r="714">
      <x:c r="A714" s="18" t="str">
        <x:v>estrangeiro</x:v>
      </x:c>
      <x:c r="B714" s="18" t="str">
        <x:v>nawa</x:v>
      </x:c>
      <x:c r="C714" s="19" t="n">
        <x:f>IF(B714="",0,(LEN(B714)-LEN(SUBSTITUTE(B714," | ","")))/3+1)</x:f>
        <x:v>1</x:v>
      </x:c>
      <x:c r="D714" t="str">
        <x:v>e</x:v>
      </x:c>
      <x:c r="E714" t="str">
        <x:v>https://www.webonary.org/marubo/g7dc741c9-c46a-4c9b-81f5-d91f6b5cc4bd/</x:v>
      </x:c>
      <x:c r="F714" t="str">
        <x:v>ge1b6bc4a-e6bc-4aed-8aab-92df16d1bf69</x:v>
      </x:c>
      <x:c r="G714" s="20" t="n">
        <x:v>46003.93485380787</x:v>
      </x:c>
    </x:row>
    <x:row r="715">
      <x:c r="A715" s="18" t="str">
        <x:v>estrela</x:v>
      </x:c>
      <x:c r="B715" s="18" t="str">
        <x:v>ichi</x:v>
      </x:c>
      <x:c r="C715" s="19" t="n">
        <x:f>IF(B715="",0,(LEN(B715)-LEN(SUBSTITUTE(B715," | ","")))/3+1)</x:f>
        <x:v>1</x:v>
      </x:c>
      <x:c r="D715" t="str">
        <x:v>e</x:v>
      </x:c>
      <x:c r="E715" t="str">
        <x:v>https://www.webonary.org/marubo/g8ec7c1ec-50e4-4acc-b9b0-a8b7b6133a96/</x:v>
      </x:c>
      <x:c r="F715" t="str">
        <x:v>gba6cc8e7-4d81-4bcb-b774-f9506c445b17</x:v>
      </x:c>
      <x:c r="G715" s="20" t="n">
        <x:v>46003.93485380787</x:v>
      </x:c>
    </x:row>
    <x:row r="716">
      <x:c r="A716" s="18" t="str">
        <x:v>estrela (dialeto antigo)</x:v>
      </x:c>
      <x:c r="B716" s="18" t="str">
        <x:v>eche</x:v>
      </x:c>
      <x:c r="C716" s="19" t="n">
        <x:f>IF(B716="",0,(LEN(B716)-LEN(SUBSTITUTE(B716," | ","")))/3+1)</x:f>
        <x:v>1</x:v>
      </x:c>
      <x:c r="D716" t="str">
        <x:v>e</x:v>
      </x:c>
      <x:c r="E716" t="str">
        <x:v>https://www.webonary.org/marubo/gbc0c2a17-835c-4017-834c-a1c979737816/</x:v>
      </x:c>
      <x:c r="F716" t="str">
        <x:v>gdc635b7f-3b03-4b29-ada8-c0872209f0e3</x:v>
      </x:c>
      <x:c r="G716" s="20" t="n">
        <x:v>46003.93485380787</x:v>
      </x:c>
    </x:row>
    <x:row r="717">
      <x:c r="A717" s="18" t="str">
        <x:v>estudar</x:v>
      </x:c>
      <x:c r="B717" s="18" t="str">
        <x:v>wichá taná</x:v>
      </x:c>
      <x:c r="C717" s="19" t="n">
        <x:f>IF(B717="",0,(LEN(B717)-LEN(SUBSTITUTE(B717," | ","")))/3+1)</x:f>
        <x:v>1</x:v>
      </x:c>
      <x:c r="D717" t="str">
        <x:v>e</x:v>
      </x:c>
      <x:c r="E717" t="str">
        <x:v>https://www.webonary.org/marubo/g05114568-77b7-4eca-9cc4-254773d9b625/</x:v>
      </x:c>
      <x:c r="F717" t="str">
        <x:v>g87e6f3c5-3278-4f27-a633-a59e2465d9fa</x:v>
      </x:c>
      <x:c r="G717" s="20" t="n">
        <x:v>46003.93485380787</x:v>
      </x:c>
    </x:row>
    <x:row r="718">
      <x:c r="A718" s="18" t="str">
        <x:v>esturrar do jacamim</x:v>
      </x:c>
      <x:c r="B718" s="18" t="str">
        <x:v>txirĩa</x:v>
      </x:c>
      <x:c r="C718" s="19" t="n">
        <x:f>IF(B718="",0,(LEN(B718)-LEN(SUBSTITUTE(B718," | ","")))/3+1)</x:f>
        <x:v>1</x:v>
      </x:c>
      <x:c r="D718" t="str">
        <x:v>e</x:v>
      </x:c>
      <x:c r="E718" t="str">
        <x:v>https://www.webonary.org/marubo/g26837954-cc01-46be-b52a-539522e5bfd5/</x:v>
      </x:c>
      <x:c r="F718" t="str">
        <x:v>g1f770122-2b01-4fb3-867c-e12aec5f12ce</x:v>
      </x:c>
      <x:c r="G718" s="20" t="n">
        <x:v>46003.93485380787</x:v>
      </x:c>
    </x:row>
    <x:row r="719">
      <x:c r="A719" s="18" t="str">
        <x:v>esvasiar</x:v>
      </x:c>
      <x:c r="B719" s="18" t="str">
        <x:v>wachã</x:v>
      </x:c>
      <x:c r="C719" s="19" t="n">
        <x:f>IF(B719="",0,(LEN(B719)-LEN(SUBSTITUTE(B719," | ","")))/3+1)</x:f>
        <x:v>1</x:v>
      </x:c>
      <x:c r="D719" t="str">
        <x:v>e</x:v>
      </x:c>
      <x:c r="E719" t="str">
        <x:v>https://www.webonary.org/marubo/gbb80acb3-53f2-4ea7-b6db-dfaa68ef4675/</x:v>
      </x:c>
      <x:c r="F719" t="str">
        <x:v>g673f1d2c-66ce-4d2b-ab7f-2a9561f18d51</x:v>
      </x:c>
      <x:c r="G719" s="20" t="n">
        <x:v>46003.93485380787</x:v>
      </x:c>
    </x:row>
    <x:row r="720">
      <x:c r="A720" s="18" t="str">
        <x:v>etc.</x:v>
      </x:c>
      <x:c r="B720" s="18" t="str">
        <x:v>voo aká</x:v>
      </x:c>
      <x:c r="C720" s="19" t="n">
        <x:f>IF(B720="",0,(LEN(B720)-LEN(SUBSTITUTE(B720," | ","")))/3+1)</x:f>
        <x:v>1</x:v>
      </x:c>
      <x:c r="D720" t="str">
        <x:v>e</x:v>
      </x:c>
      <x:c r="E720" t="str">
        <x:v>https://www.webonary.org/marubo/g88bbacc3-791c-497b-8434-e336fb260786/</x:v>
      </x:c>
      <x:c r="F720" t="str">
        <x:v>g0af54bfb-aa43-4754-93a3-23e4ed7f346a</x:v>
      </x:c>
      <x:c r="G720" s="20" t="n">
        <x:v>46003.93485380787</x:v>
      </x:c>
    </x:row>
    <x:row r="721">
      <x:c r="A721" s="18" t="str">
        <x:v>evaporar</x:v>
      </x:c>
      <x:c r="B721" s="18" t="str">
        <x:v>-tsooa</x:v>
      </x:c>
      <x:c r="C721" s="19" t="n">
        <x:f>IF(B721="",0,(LEN(B721)-LEN(SUBSTITUTE(B721," | ","")))/3+1)</x:f>
        <x:v>1</x:v>
      </x:c>
      <x:c r="D721" t="str">
        <x:v>e</x:v>
      </x:c>
      <x:c r="E721" t="str">
        <x:v>https://www.webonary.org/marubo/g8b44d880-eb2a-41a2-86d8-3f75deffba1e/</x:v>
      </x:c>
      <x:c r="F721" t="str">
        <x:v>gad379a80-de19-4101-8b79-7c032a83e035</x:v>
      </x:c>
      <x:c r="G721" s="20" t="n">
        <x:v>46003.93485380787</x:v>
      </x:c>
    </x:row>
    <x:row r="722">
      <x:c r="A722" s="18" t="str">
        <x:v>evidencial</x:v>
      </x:c>
      <x:c r="B722" s="18" t="str">
        <x:v>-katá</x:v>
      </x:c>
      <x:c r="C722" s="19" t="n">
        <x:f>IF(B722="",0,(LEN(B722)-LEN(SUBSTITUTE(B722," | ","")))/3+1)</x:f>
        <x:v>1</x:v>
      </x:c>
      <x:c r="D722" t="str">
        <x:v>e</x:v>
      </x:c>
      <x:c r="E722" t="str">
        <x:v>https://www.webonary.org/marubo/ge7cee19a-8021-4a73-b782-90189e9af83a/</x:v>
      </x:c>
      <x:c r="F722" t="str">
        <x:v>g1f3ddc57-fad4-4563-8e43-9ef55ad86da6</x:v>
      </x:c>
      <x:c r="G722" s="20" t="n">
        <x:v>46003.93485380787</x:v>
      </x:c>
    </x:row>
    <x:row r="723">
      <x:c r="A723" s="18" t="str">
        <x:v>existir</x:v>
      </x:c>
      <x:c r="B723" s="18" t="str">
        <x:v>aya</x:v>
      </x:c>
      <x:c r="C723" s="19" t="n">
        <x:f>IF(B723="",0,(LEN(B723)-LEN(SUBSTITUTE(B723," | ","")))/3+1)</x:f>
        <x:v>1</x:v>
      </x:c>
      <x:c r="D723" t="str">
        <x:v>e</x:v>
      </x:c>
      <x:c r="E723" t="str">
        <x:v>https://www.webonary.org/marubo/gf3b60ef1-faeb-420a-a006-8f69de21bd70/</x:v>
      </x:c>
      <x:c r="F723" t="str">
        <x:v>ga32ed03d-3a9a-4d74-97a7-a6d7a76a8c65</x:v>
      </x:c>
      <x:c r="G723" s="20" t="n">
        <x:v>46003.93485380787</x:v>
      </x:c>
    </x:row>
    <x:row r="724">
      <x:c r="A724" s="18" t="str">
        <x:v>expressao</x:v>
      </x:c>
      <x:c r="B724" s="18" t="str">
        <x:v>mã</x:v>
      </x:c>
      <x:c r="C724" s="19" t="n">
        <x:f>IF(B724="",0,(LEN(B724)-LEN(SUBSTITUTE(B724," | ","")))/3+1)</x:f>
        <x:v>1</x:v>
      </x:c>
      <x:c r="D724" t="str">
        <x:v>e</x:v>
      </x:c>
      <x:c r="E724" t="str">
        <x:v>https://www.webonary.org/marubo/g8433eac0-5370-4d16-8241-24674caa3edd/</x:v>
      </x:c>
      <x:c r="F724" t="str">
        <x:v>g16ae0a7c-2b76-4913-8f8e-cbf7c0d9ed75</x:v>
      </x:c>
      <x:c r="G724" s="20" t="n">
        <x:v>46003.93485380787</x:v>
      </x:c>
    </x:row>
    <x:row r="725">
      <x:c r="A725" s="18" t="str">
        <x:v>expressão de</x:v>
      </x:c>
      <x:c r="B725" s="18" t="str">
        <x:v>sorĩ</x:v>
      </x:c>
      <x:c r="C725" s="19" t="n">
        <x:f>IF(B725="",0,(LEN(B725)-LEN(SUBSTITUTE(B725," | ","")))/3+1)</x:f>
        <x:v>1</x:v>
      </x:c>
      <x:c r="D725" t="str">
        <x:v>e</x:v>
      </x:c>
      <x:c r="E725" t="str">
        <x:v>https://www.webonary.org/marubo/ga244708e-5589-4fe8-8c10-1632c64dc540/</x:v>
      </x:c>
      <x:c r="F725" t="str">
        <x:v>g105125e1-d6c0-4782-ae08-dccdd6e07911</x:v>
      </x:c>
      <x:c r="G725" s="20" t="n">
        <x:v>46003.93485380787</x:v>
      </x:c>
    </x:row>
    <x:row r="726">
      <x:c r="A726" s="18" t="str">
        <x:v>expressão de admiração</x:v>
      </x:c>
      <x:c r="B726" s="18" t="str">
        <x:v>avii</x:v>
      </x:c>
      <x:c r="C726" s="19" t="n">
        <x:f>IF(B726="",0,(LEN(B726)-LEN(SUBSTITUTE(B726," | ","")))/3+1)</x:f>
        <x:v>1</x:v>
      </x:c>
      <x:c r="D726" t="str">
        <x:v>e</x:v>
      </x:c>
      <x:c r="E726" t="str">
        <x:v>https://www.webonary.org/marubo/g7c575fb5-6833-466d-bea2-6b726f0dfe2f/</x:v>
      </x:c>
      <x:c r="F726" t="str">
        <x:v>gb531983c-3bba-4a02-aaee-0bfbd28dd253</x:v>
      </x:c>
      <x:c r="G726" s="20" t="n">
        <x:v>46003.93485380787</x:v>
      </x:c>
    </x:row>
    <x:row r="727">
      <x:c r="A727" s="18" t="str">
        <x:v>expressão de admiração ao tamanho</x:v>
      </x:c>
      <x:c r="B727" s="18" t="str">
        <x:v>yoo</x:v>
      </x:c>
      <x:c r="C727" s="19" t="n">
        <x:f>IF(B727="",0,(LEN(B727)-LEN(SUBSTITUTE(B727," | ","")))/3+1)</x:f>
        <x:v>1</x:v>
      </x:c>
      <x:c r="D727" t="str">
        <x:v>e</x:v>
      </x:c>
      <x:c r="E727" t="str">
        <x:v>https://www.webonary.org/marubo/ga1f9ed07-32c0-44ac-8693-43084ded01bd/</x:v>
      </x:c>
      <x:c r="F727" t="str">
        <x:v>ga2c7e1e4-a215-493b-b7f7-8de3ef22c370</x:v>
      </x:c>
      <x:c r="G727" s="20" t="n">
        <x:v>46003.93485380787</x:v>
      </x:c>
    </x:row>
    <x:row r="728">
      <x:c r="A728" s="18" t="str">
        <x:v>expressão de desgosto</x:v>
      </x:c>
      <x:c r="B728" s="18" t="str">
        <x:v>yesé</x:v>
      </x:c>
      <x:c r="C728" s="19" t="n">
        <x:f>IF(B728="",0,(LEN(B728)-LEN(SUBSTITUTE(B728," | ","")))/3+1)</x:f>
        <x:v>1</x:v>
      </x:c>
      <x:c r="D728" t="str">
        <x:v>e</x:v>
      </x:c>
      <x:c r="E728" t="str">
        <x:v>https://www.webonary.org/marubo/g1ea3e39f-0b42-4922-9428-8452e86e371e/</x:v>
      </x:c>
      <x:c r="F728" t="str">
        <x:v>gc0ce0a54-44d4-4a1a-adc3-91f4df83e0e0</x:v>
      </x:c>
      <x:c r="G728" s="20" t="n">
        <x:v>46003.93485380787</x:v>
      </x:c>
    </x:row>
    <x:row r="729">
      <x:c r="A729" s="18" t="str">
        <x:v>expressão de dor</x:v>
      </x:c>
      <x:c r="B729" s="18" t="str">
        <x:v>ari | 2</x:v>
      </x:c>
      <x:c r="C729" s="19" t="n">
        <x:f>IF(B729="",0,(LEN(B729)-LEN(SUBSTITUTE(B729," | ","")))/3+1)</x:f>
        <x:v>2</x:v>
      </x:c>
      <x:c r="D729" t="str">
        <x:v>e</x:v>
      </x:c>
      <x:c r="E729" t="str">
        <x:v>https://www.webonary.org/marubo/ga1825b7d-40a6-46c6-90f5-9067cd679747/</x:v>
      </x:c>
      <x:c r="F729" t="str">
        <x:v>g62a7d31e-760b-426d-846a-5126869dc64e</x:v>
      </x:c>
      <x:c r="G729" s="20" t="n">
        <x:v>46003.93485380787</x:v>
      </x:c>
    </x:row>
    <x:row r="730">
      <x:c r="A730" s="18" t="str">
        <x:v>expressão de medo</x:v>
      </x:c>
      <x:c r="B730" s="18" t="str">
        <x:v>ii</x:v>
      </x:c>
      <x:c r="C730" s="19" t="n">
        <x:f>IF(B730="",0,(LEN(B730)-LEN(SUBSTITUTE(B730," | ","")))/3+1)</x:f>
        <x:v>1</x:v>
      </x:c>
      <x:c r="D730" t="str">
        <x:v>e</x:v>
      </x:c>
      <x:c r="E730" t="str">
        <x:v>https://www.webonary.org/marubo/gd8a34083-eb47-4579-a007-fa5b9cefb0fc/</x:v>
      </x:c>
      <x:c r="F730" t="str">
        <x:v>g5b264ab5-e30a-427e-9e0d-f4aee2d7189b</x:v>
      </x:c>
      <x:c r="G730" s="20" t="n">
        <x:v>46003.93485380787</x:v>
      </x:c>
    </x:row>
    <x:row r="731">
      <x:c r="A731" s="18" t="str">
        <x:v>expressão de surpresa</x:v>
      </x:c>
      <x:c r="B731" s="18" t="str">
        <x:v>yee</x:v>
      </x:c>
      <x:c r="C731" s="19" t="n">
        <x:f>IF(B731="",0,(LEN(B731)-LEN(SUBSTITUTE(B731," | ","")))/3+1)</x:f>
        <x:v>1</x:v>
      </x:c>
      <x:c r="D731" t="str">
        <x:v>e</x:v>
      </x:c>
      <x:c r="E731" t="str">
        <x:v>https://www.webonary.org/marubo/gddd5c72b-90f9-421e-a774-a68f36114813/</x:v>
      </x:c>
      <x:c r="F731" t="str">
        <x:v>g364dc517-df48-42df-8fe6-02bf7cd39e5d</x:v>
      </x:c>
      <x:c r="G731" s="20" t="n">
        <x:v>46003.93485380787</x:v>
      </x:c>
    </x:row>
    <x:row r="732">
      <x:c r="A732" s="18" t="str">
        <x:v>expulsar espirito mal</x:v>
      </x:c>
      <x:c r="B732" s="18" t="str">
        <x:v>pevía</x:v>
      </x:c>
      <x:c r="C732" s="19" t="n">
        <x:f>IF(B732="",0,(LEN(B732)-LEN(SUBSTITUTE(B732," | ","")))/3+1)</x:f>
        <x:v>1</x:v>
      </x:c>
      <x:c r="D732" t="str">
        <x:v>e</x:v>
      </x:c>
      <x:c r="E732" t="str">
        <x:v>https://www.webonary.org/marubo/g9ff637cf-5d88-427a-ba09-cd89f04df5c5/</x:v>
      </x:c>
      <x:c r="F732" t="str">
        <x:v>g8951cc8c-089e-4a02-a82f-52294f773bbd</x:v>
      </x:c>
      <x:c r="G732" s="20" t="n">
        <x:v>46003.93485380787</x:v>
      </x:c>
    </x:row>
    <x:row r="733">
      <x:c r="A733" s="18" t="str">
        <x:v>extender</x:v>
      </x:c>
      <x:c r="B733" s="18" t="str">
        <x:v>poẽa</x:v>
      </x:c>
      <x:c r="C733" s="19" t="n">
        <x:f>IF(B733="",0,(LEN(B733)-LEN(SUBSTITUTE(B733," | ","")))/3+1)</x:f>
        <x:v>1</x:v>
      </x:c>
      <x:c r="D733" t="str">
        <x:v>e</x:v>
      </x:c>
      <x:c r="E733" t="str">
        <x:v>https://www.webonary.org/marubo/g21924e9a-78c1-4eba-a4a7-0089255fbe22/</x:v>
      </x:c>
      <x:c r="F733" t="str">
        <x:v>gbb3b803a-d29e-458a-9cc8-17e70030b46f</x:v>
      </x:c>
      <x:c r="G733" s="20" t="n">
        <x:v>46003.93485380787</x:v>
      </x:c>
    </x:row>
    <x:row r="734">
      <x:c r="A734" s="18" t="str">
        <x:v>faca</x:v>
      </x:c>
      <x:c r="B734" s="18" t="str">
        <x:v>senoti</x:v>
      </x:c>
      <x:c r="C734" s="19" t="n">
        <x:f>IF(B734="",0,(LEN(B734)-LEN(SUBSTITUTE(B734," | ","")))/3+1)</x:f>
        <x:v>1</x:v>
      </x:c>
      <x:c r="D734" t="str">
        <x:v>f</x:v>
      </x:c>
      <x:c r="E734" t="str">
        <x:v>https://www.webonary.org/marubo/g81a3b3a0-56d5-44c6-aa59-81d7edcfda55/</x:v>
      </x:c>
      <x:c r="F734" t="str">
        <x:v>g4100c90b-c365-4fe9-ab70-6ea825d6d6c1</x:v>
      </x:c>
      <x:c r="G734" s="20" t="n">
        <x:v>46003.93485380787</x:v>
      </x:c>
    </x:row>
    <x:row r="735">
      <x:c r="A735" s="18" t="str">
        <x:v>fácil</x:v>
      </x:c>
      <x:c r="B735" s="18" t="str">
        <x:v>yomẽka</x:v>
      </x:c>
      <x:c r="C735" s="19" t="n">
        <x:f>IF(B735="",0,(LEN(B735)-LEN(SUBSTITUTE(B735," | ","")))/3+1)</x:f>
        <x:v>1</x:v>
      </x:c>
      <x:c r="D735" t="str">
        <x:v>f</x:v>
      </x:c>
      <x:c r="E735" t="str">
        <x:v>https://www.webonary.org/marubo/gabe5ce29-297b-4cf2-9208-45f1c93a7bf7/</x:v>
      </x:c>
      <x:c r="F735" t="str">
        <x:v>gdf7f6d2c-7571-4ac9-92ae-c609beda8866</x:v>
      </x:c>
      <x:c r="G735" s="20" t="n">
        <x:v>46003.93485380787</x:v>
      </x:c>
    </x:row>
    <x:row r="736">
      <x:c r="A736" s="18" t="str">
        <x:v>faço</x:v>
      </x:c>
      <x:c r="B736" s="18" t="str">
        <x:v>i</x:v>
      </x:c>
      <x:c r="C736" s="19" t="n">
        <x:f>IF(B736="",0,(LEN(B736)-LEN(SUBSTITUTE(B736," | ","")))/3+1)</x:f>
        <x:v>1</x:v>
      </x:c>
      <x:c r="D736" t="str">
        <x:v>f</x:v>
      </x:c>
      <x:c r="E736" t="str">
        <x:v>https://www.webonary.org/marubo/g8f3d42c3-26ae-4cc7-a5da-000611c5441f/</x:v>
      </x:c>
      <x:c r="F736" t="str">
        <x:v>g284e447c-7ed2-48d5-ac8d-75e14e16759f</x:v>
      </x:c>
      <x:c r="G736" s="20" t="n">
        <x:v>46003.93485380787</x:v>
      </x:c>
    </x:row>
    <x:row r="737">
      <x:c r="A737" s="18" t="str">
        <x:v>fala</x:v>
      </x:c>
      <x:c r="B737" s="18" t="str">
        <x:v>vana | 2</x:v>
      </x:c>
      <x:c r="C737" s="19" t="n">
        <x:f>IF(B737="",0,(LEN(B737)-LEN(SUBSTITUTE(B737," | ","")))/3+1)</x:f>
        <x:v>2</x:v>
      </x:c>
      <x:c r="D737" t="str">
        <x:v>f</x:v>
      </x:c>
      <x:c r="E737" t="str">
        <x:v>https://www.webonary.org/marubo/g339d0ad0-31a2-434a-8f70-c0253795d025/</x:v>
      </x:c>
      <x:c r="F737" t="str">
        <x:v>gd4fd8b73-5304-482c-b439-51ba2945af15</x:v>
      </x:c>
      <x:c r="G737" s="20" t="n">
        <x:v>46003.93485380787</x:v>
      </x:c>
    </x:row>
    <x:row r="738">
      <x:c r="A738" s="18" t="str">
        <x:v>fala pl.</x:v>
      </x:c>
      <x:c r="B738" s="18" t="str">
        <x:v>kaká</x:v>
      </x:c>
      <x:c r="C738" s="19" t="n">
        <x:f>IF(B738="",0,(LEN(B738)-LEN(SUBSTITUTE(B738," | ","")))/3+1)</x:f>
        <x:v>1</x:v>
      </x:c>
      <x:c r="D738" t="str">
        <x:v>f</x:v>
      </x:c>
      <x:c r="E738" t="str">
        <x:v>https://www.webonary.org/marubo/g3dc4491d-43c7-4c05-a6f0-7e820fcd2006/</x:v>
      </x:c>
      <x:c r="F738" t="str">
        <x:v>gef763df7-15e3-4468-8dd6-c8573f8e0cda</x:v>
      </x:c>
      <x:c r="G738" s="20" t="n">
        <x:v>46003.93485380787</x:v>
      </x:c>
    </x:row>
    <x:row r="739">
      <x:c r="A739" s="18" t="str">
        <x:v>falado quando acontece uma coisa nojento</x:v>
      </x:c>
      <x:c r="B739" s="18" t="str">
        <x:v>ichí</x:v>
      </x:c>
      <x:c r="C739" s="19" t="n">
        <x:f>IF(B739="",0,(LEN(B739)-LEN(SUBSTITUTE(B739," | ","")))/3+1)</x:f>
        <x:v>1</x:v>
      </x:c>
      <x:c r="D739" t="str">
        <x:v>f</x:v>
      </x:c>
      <x:c r="E739" t="str">
        <x:v>https://www.webonary.org/marubo/g1dd938a7-8fd5-4731-bf9b-7a81d772d787/</x:v>
      </x:c>
      <x:c r="F739" t="str">
        <x:v>g914e2db7-bb9c-48b5-87d4-2d0c45bde400</x:v>
      </x:c>
      <x:c r="G739" s="20" t="n">
        <x:v>46003.93485380787</x:v>
      </x:c>
    </x:row>
    <x:row r="740">
      <x:c r="A740" s="18" t="str">
        <x:v>falado quando erra na fala</x:v>
      </x:c>
      <x:c r="B740" s="18" t="str">
        <x:v>iche</x:v>
      </x:c>
      <x:c r="C740" s="19" t="n">
        <x:f>IF(B740="",0,(LEN(B740)-LEN(SUBSTITUTE(B740," | ","")))/3+1)</x:f>
        <x:v>1</x:v>
      </x:c>
      <x:c r="D740" t="str">
        <x:v>f</x:v>
      </x:c>
      <x:c r="E740" t="str">
        <x:v>https://www.webonary.org/marubo/g6da05c0b-97ea-4729-b142-6213b4eff1f9/</x:v>
      </x:c>
      <x:c r="F740" t="str">
        <x:v>g6b4a9122-0bbe-4290-836d-12d13715c0ca</x:v>
      </x:c>
      <x:c r="G740" s="20" t="n">
        <x:v>46003.93485380787</x:v>
      </x:c>
    </x:row>
    <x:row r="741">
      <x:c r="A741" s="18" t="str">
        <x:v>falado quando errar</x:v>
      </x:c>
      <x:c r="B741" s="18" t="str">
        <x:v>ia | 2</x:v>
      </x:c>
      <x:c r="C741" s="19" t="n">
        <x:f>IF(B741="",0,(LEN(B741)-LEN(SUBSTITUTE(B741," | ","")))/3+1)</x:f>
        <x:v>2</x:v>
      </x:c>
      <x:c r="D741" t="str">
        <x:v>f</x:v>
      </x:c>
      <x:c r="E741" t="str">
        <x:v>https://www.webonary.org/marubo/g87bc243a-d973-4c7c-98ca-4c76f0c714c2/</x:v>
      </x:c>
      <x:c r="F741" t="str">
        <x:v>gfb5c2f85-9df1-403e-9f90-58a35ae8470a</x:v>
      </x:c>
      <x:c r="G741" s="20" t="n">
        <x:v>46003.93485380787</x:v>
      </x:c>
    </x:row>
    <x:row r="742">
      <x:c r="A742" s="18" t="str">
        <x:v>falado quando tem situação brava</x:v>
      </x:c>
      <x:c r="B742" s="18" t="str">
        <x:v>aĩ | 2</x:v>
      </x:c>
      <x:c r="C742" s="19" t="n">
        <x:f>IF(B742="",0,(LEN(B742)-LEN(SUBSTITUTE(B742," | ","")))/3+1)</x:f>
        <x:v>2</x:v>
      </x:c>
      <x:c r="D742" t="str">
        <x:v>f</x:v>
      </x:c>
      <x:c r="E742" t="str">
        <x:v>https://www.webonary.org/marubo/g53a8d056-4f8e-4e5b-9dba-36d98caa50da/</x:v>
      </x:c>
      <x:c r="F742" t="str">
        <x:v>g2409fbd8-b500-4256-97c7-201be900cc54</x:v>
      </x:c>
      <x:c r="G742" s="20" t="n">
        <x:v>46003.93485380787</x:v>
      </x:c>
    </x:row>
    <x:row r="743">
      <x:c r="A743" s="18" t="str">
        <x:v>falado quando termina alguma coisa</x:v>
      </x:c>
      <x:c r="B743" s="18" t="str">
        <x:v>ĩtá</x:v>
      </x:c>
      <x:c r="C743" s="19" t="n">
        <x:f>IF(B743="",0,(LEN(B743)-LEN(SUBSTITUTE(B743," | ","")))/3+1)</x:f>
        <x:v>1</x:v>
      </x:c>
      <x:c r="D743" t="str">
        <x:v>f</x:v>
      </x:c>
      <x:c r="E743" t="str">
        <x:v>https://www.webonary.org/marubo/g41c541c6-cf45-49cc-a5c2-2f155c93213f/</x:v>
      </x:c>
      <x:c r="F743" t="str">
        <x:v>g150e37af-7008-4649-8e5e-09293fc42479</x:v>
      </x:c>
      <x:c r="G743" s="20" t="n">
        <x:v>46003.93485380787</x:v>
      </x:c>
    </x:row>
    <x:row r="744">
      <x:c r="A744" s="18" t="str">
        <x:v>falar</x:v>
      </x:c>
      <x:c r="B744" s="18" t="str">
        <x:v>vana | 1 | ikí | 2</x:v>
      </x:c>
      <x:c r="C744" s="19" t="n">
        <x:f>IF(B744="",0,(LEN(B744)-LEN(SUBSTITUTE(B744," | ","")))/3+1)</x:f>
        <x:v>4</x:v>
      </x:c>
      <x:c r="D744" t="str">
        <x:v>f</x:v>
      </x:c>
      <x:c r="E744" t="str">
        <x:v>https://www.webonary.org/marubo/gd2063ae1-f201-49d0-9575-cecf591880b1/</x:v>
      </x:c>
      <x:c r="F744" t="str">
        <x:v>g6a5ded3a-b3b0-4a65-be18-a12f9f5cb69a</x:v>
      </x:c>
      <x:c r="G744" s="20" t="n">
        <x:v>46003.93485380787</x:v>
      </x:c>
    </x:row>
    <x:row r="745">
      <x:c r="A745" s="18" t="str">
        <x:v>falar das coisas erradas de alguém</x:v>
      </x:c>
      <x:c r="B745" s="18" t="str">
        <x:v>kayá aká</x:v>
      </x:c>
      <x:c r="C745" s="19" t="n">
        <x:f>IF(B745="",0,(LEN(B745)-LEN(SUBSTITUTE(B745," | ","")))/3+1)</x:f>
        <x:v>1</x:v>
      </x:c>
      <x:c r="D745" t="str">
        <x:v>f</x:v>
      </x:c>
      <x:c r="E745" t="str">
        <x:v>https://www.webonary.org/marubo/g10578cb5-e082-49f6-8270-824d796d9291/</x:v>
      </x:c>
      <x:c r="F745" t="str">
        <x:v>g9decb7ef-bfc2-48eb-8207-4a54d3a29c76</x:v>
      </x:c>
      <x:c r="G745" s="20" t="n">
        <x:v>46003.93485380787</x:v>
      </x:c>
    </x:row>
    <x:row r="746">
      <x:c r="A746" s="18" t="str">
        <x:v>falar enquanto está dormindo</x:v>
      </x:c>
      <x:c r="B746" s="18" t="str">
        <x:v>vevéa</x:v>
      </x:c>
      <x:c r="C746" s="19" t="n">
        <x:f>IF(B746="",0,(LEN(B746)-LEN(SUBSTITUTE(B746," | ","")))/3+1)</x:f>
        <x:v>1</x:v>
      </x:c>
      <x:c r="D746" t="str">
        <x:v>f</x:v>
      </x:c>
      <x:c r="E746" t="str">
        <x:v>https://www.webonary.org/marubo/g66e52793-86c3-45ff-bc48-d55e1894b8d6/</x:v>
      </x:c>
      <x:c r="F746" t="str">
        <x:v>g38daa72d-2774-488f-b487-438a1ad3e62d</x:v>
      </x:c>
      <x:c r="G746" s="20" t="n">
        <x:v>46003.93485380787</x:v>
      </x:c>
    </x:row>
    <x:row r="747">
      <x:c r="A747" s="18" t="str">
        <x:v>falar forte</x:v>
      </x:c>
      <x:c r="B747" s="18" t="str">
        <x:v>yawea</x:v>
      </x:c>
      <x:c r="C747" s="19" t="n">
        <x:f>IF(B747="",0,(LEN(B747)-LEN(SUBSTITUTE(B747," | ","")))/3+1)</x:f>
        <x:v>1</x:v>
      </x:c>
      <x:c r="D747" t="str">
        <x:v>f</x:v>
      </x:c>
      <x:c r="E747" t="str">
        <x:v>https://www.webonary.org/marubo/gc24d4dbf-aa59-416b-9bce-fe24d75ad569/</x:v>
      </x:c>
      <x:c r="F747" t="str">
        <x:v>gc86fbc30-3472-4fee-9bfa-5c1b7479dd3b</x:v>
      </x:c>
      <x:c r="G747" s="20" t="n">
        <x:v>46003.93485380787</x:v>
      </x:c>
    </x:row>
    <x:row r="748">
      <x:c r="A748" s="18" t="str">
        <x:v>falar ruim de alguem que está presente</x:v>
      </x:c>
      <x:c r="B748" s="18" t="str">
        <x:v>nĩkãmá</x:v>
      </x:c>
      <x:c r="C748" s="19" t="n">
        <x:f>IF(B748="",0,(LEN(B748)-LEN(SUBSTITUTE(B748," | ","")))/3+1)</x:f>
        <x:v>1</x:v>
      </x:c>
      <x:c r="D748" t="str">
        <x:v>f</x:v>
      </x:c>
      <x:c r="E748" t="str">
        <x:v>https://www.webonary.org/marubo/gd42374a5-b111-49ad-83e6-a73f502d8348/</x:v>
      </x:c>
      <x:c r="F748" t="str">
        <x:v>g63a1967e-dc9a-46e5-ac0f-82b8699690c1</x:v>
      </x:c>
      <x:c r="G748" s="20" t="n">
        <x:v>46003.93485380787</x:v>
      </x:c>
    </x:row>
    <x:row r="749">
      <x:c r="A749" s="18" t="str">
        <x:v>faltar</x:v>
      </x:c>
      <x:c r="B749" s="18" t="str">
        <x:v>mãa</x:v>
      </x:c>
      <x:c r="C749" s="19" t="n">
        <x:f>IF(B749="",0,(LEN(B749)-LEN(SUBSTITUTE(B749," | ","")))/3+1)</x:f>
        <x:v>1</x:v>
      </x:c>
      <x:c r="D749" t="str">
        <x:v>f</x:v>
      </x:c>
      <x:c r="E749" t="str">
        <x:v>https://www.webonary.org/marubo/g287eadf7-5d6b-4627-84cd-b3fe428d449d/</x:v>
      </x:c>
      <x:c r="F749" t="str">
        <x:v>g0470d9be-d6a6-43e0-8b4d-3649860d4b16</x:v>
      </x:c>
      <x:c r="G749" s="20" t="n">
        <x:v>46003.93485380787</x:v>
      </x:c>
    </x:row>
    <x:row r="750">
      <x:c r="A750" s="18" t="str">
        <x:v>faltar? perder?</x:v>
      </x:c>
      <x:c r="B750" s="18" t="str">
        <x:v>nanã</x:v>
      </x:c>
      <x:c r="C750" s="19" t="n">
        <x:f>IF(B750="",0,(LEN(B750)-LEN(SUBSTITUTE(B750," | ","")))/3+1)</x:f>
        <x:v>1</x:v>
      </x:c>
      <x:c r="D750" t="str">
        <x:v>f</x:v>
      </x:c>
      <x:c r="E750" t="str">
        <x:v>https://www.webonary.org/marubo/g276181fa-58c5-4ef1-a2df-36e573cca149/</x:v>
      </x:c>
      <x:c r="F750" t="str">
        <x:v>g45354404-5f86-4bb2-a869-1c68c2ab597c</x:v>
      </x:c>
      <x:c r="G750" s="20" t="n">
        <x:v>46003.93485380787</x:v>
      </x:c>
    </x:row>
    <x:row r="751">
      <x:c r="A751" s="18" t="str">
        <x:v>fantasma</x:v>
      </x:c>
      <x:c r="B751" s="18" t="str">
        <x:v>yochĩ</x:v>
      </x:c>
      <x:c r="C751" s="19" t="n">
        <x:f>IF(B751="",0,(LEN(B751)-LEN(SUBSTITUTE(B751," | ","")))/3+1)</x:f>
        <x:v>1</x:v>
      </x:c>
      <x:c r="D751" t="str">
        <x:v>f</x:v>
      </x:c>
      <x:c r="E751" t="str">
        <x:v>https://www.webonary.org/marubo/g3084a2cd-2015-4ad4-955e-e2b91d1b2ba9/</x:v>
      </x:c>
      <x:c r="F751" t="str">
        <x:v>gb8791d9d-e523-4279-9d4a-8509bb409026</x:v>
      </x:c>
      <x:c r="G751" s="20" t="n">
        <x:v>46003.93485380787</x:v>
      </x:c>
    </x:row>
    <x:row r="752">
      <x:c r="A752" s="18" t="str">
        <x:v>farinha</x:v>
      </x:c>
      <x:c r="B752" s="18" t="str">
        <x:v>atsa poto</x:v>
      </x:c>
      <x:c r="C752" s="19" t="n">
        <x:f>IF(B752="",0,(LEN(B752)-LEN(SUBSTITUTE(B752," | ","")))/3+1)</x:f>
        <x:v>1</x:v>
      </x:c>
      <x:c r="D752" t="str">
        <x:v>f</x:v>
      </x:c>
      <x:c r="E752" t="str">
        <x:v>https://www.webonary.org/marubo/ged53cd67-98d9-40db-b7ce-ebf1b5ed1e6a/</x:v>
      </x:c>
      <x:c r="F752" t="str">
        <x:v>g14e08d1e-ab45-4ef9-a433-9440d0a84d46</x:v>
      </x:c>
      <x:c r="G752" s="20" t="n">
        <x:v>46003.93485380787</x:v>
      </x:c>
    </x:row>
    <x:row r="753">
      <x:c r="A753" s="18" t="str">
        <x:v>fazer</x:v>
      </x:c>
      <x:c r="B753" s="18" t="str">
        <x:v>aká | 3 | 2</x:v>
      </x:c>
      <x:c r="C753" s="19" t="n">
        <x:f>IF(B753="",0,(LEN(B753)-LEN(SUBSTITUTE(B753," | ","")))/3+1)</x:f>
        <x:v>3</x:v>
      </x:c>
      <x:c r="D753" t="str">
        <x:v>f</x:v>
      </x:c>
      <x:c r="E753" t="str">
        <x:v>https://www.webonary.org/marubo/g8b4c427c-1a70-4127-9a9c-1f176da21e86/</x:v>
      </x:c>
      <x:c r="F753" t="str">
        <x:v>g4fe082c3-4e82-453e-9319-890fea9abb5f</x:v>
      </x:c>
      <x:c r="G753" s="20" t="n">
        <x:v>46003.93485380787</x:v>
      </x:c>
    </x:row>
    <x:row r="754">
      <x:c r="A754" s="18" t="str">
        <x:v>fazer buraco</x:v>
      </x:c>
      <x:c r="B754" s="18" t="str">
        <x:v>oroa</x:v>
      </x:c>
      <x:c r="C754" s="19" t="n">
        <x:f>IF(B754="",0,(LEN(B754)-LEN(SUBSTITUTE(B754," | ","")))/3+1)</x:f>
        <x:v>1</x:v>
      </x:c>
      <x:c r="D754" t="str">
        <x:v>f</x:v>
      </x:c>
      <x:c r="E754" t="str">
        <x:v>https://www.webonary.org/marubo/ge7d06478-36a2-44c3-b27e-e77b9f202662/</x:v>
      </x:c>
      <x:c r="F754" t="str">
        <x:v>g5cb0f5e8-148b-4612-8cca-4dbc614f48c2</x:v>
      </x:c>
      <x:c r="G754" s="20" t="n">
        <x:v>46003.93485380787</x:v>
      </x:c>
    </x:row>
    <x:row r="755">
      <x:c r="A755" s="18" t="str">
        <x:v>fazer buraco com vara na plantação de milho</x:v>
      </x:c>
      <x:c r="B755" s="18" t="str">
        <x:v>txatxia</x:v>
      </x:c>
      <x:c r="C755" s="19" t="n">
        <x:f>IF(B755="",0,(LEN(B755)-LEN(SUBSTITUTE(B755," | ","")))/3+1)</x:f>
        <x:v>1</x:v>
      </x:c>
      <x:c r="D755" t="str">
        <x:v>f</x:v>
      </x:c>
      <x:c r="E755" t="str">
        <x:v>https://www.webonary.org/marubo/g39f88ccf-477f-4db1-9cc6-b03b507dedc3/</x:v>
      </x:c>
      <x:c r="F755" t="str">
        <x:v>gc8d52d25-5a87-4cf2-84f9-dffbf3b6ea0c</x:v>
      </x:c>
      <x:c r="G755" s="20" t="n">
        <x:v>46003.93485380787</x:v>
      </x:c>
    </x:row>
    <x:row r="756">
      <x:c r="A756" s="18" t="str">
        <x:v>fazer buraco no meio</x:v>
      </x:c>
      <x:c r="B756" s="18" t="str">
        <x:v>ota</x:v>
      </x:c>
      <x:c r="C756" s="19" t="n">
        <x:f>IF(B756="",0,(LEN(B756)-LEN(SUBSTITUTE(B756," | ","")))/3+1)</x:f>
        <x:v>1</x:v>
      </x:c>
      <x:c r="D756" t="str">
        <x:v>f</x:v>
      </x:c>
      <x:c r="E756" t="str">
        <x:v>https://www.webonary.org/marubo/gaaec6c73-c1ff-4e9b-ad32-fcc4162d9842/</x:v>
      </x:c>
      <x:c r="F756" t="str">
        <x:v>g1e82f1b8-a6eb-4d1e-b2e0-fdd6ef72f82a</x:v>
      </x:c>
      <x:c r="G756" s="20" t="n">
        <x:v>46003.934861747686</x:v>
      </x:c>
    </x:row>
    <x:row r="757">
      <x:c r="A757" s="18" t="str">
        <x:v>fazer cirurgia</x:v>
      </x:c>
      <x:c r="B757" s="18" t="str">
        <x:v>potéa</x:v>
      </x:c>
      <x:c r="C757" s="19" t="n">
        <x:f>IF(B757="",0,(LEN(B757)-LEN(SUBSTITUTE(B757," | ","")))/3+1)</x:f>
        <x:v>1</x:v>
      </x:c>
      <x:c r="D757" t="str">
        <x:v>f</x:v>
      </x:c>
      <x:c r="E757" t="str">
        <x:v>https://www.webonary.org/marubo/g8884ff69-178a-4887-9d2c-032932961d11/</x:v>
      </x:c>
      <x:c r="F757" t="str">
        <x:v>gb00aec02-9ec9-4621-97a0-45d40b124654</x:v>
      </x:c>
      <x:c r="G757" s="20" t="n">
        <x:v>46003.934861747686</x:v>
      </x:c>
    </x:row>
    <x:row r="758">
      <x:c r="A758" s="18" t="str">
        <x:v>fazer coscas</x:v>
      </x:c>
      <x:c r="B758" s="18" t="str">
        <x:v>pichkĩa</x:v>
      </x:c>
      <x:c r="C758" s="19" t="n">
        <x:f>IF(B758="",0,(LEN(B758)-LEN(SUBSTITUTE(B758," | ","")))/3+1)</x:f>
        <x:v>1</x:v>
      </x:c>
      <x:c r="D758" t="str">
        <x:v>f</x:v>
      </x:c>
      <x:c r="E758" t="str">
        <x:v>https://www.webonary.org/marubo/gf88d761c-fe4e-4054-b2c5-ecf2bfd611f6/</x:v>
      </x:c>
      <x:c r="F758" t="str">
        <x:v>g63dccab6-63a6-42a6-8c0d-ab7777ec032b</x:v>
      </x:c>
      <x:c r="G758" s="20" t="n">
        <x:v>46003.934861747686</x:v>
      </x:c>
    </x:row>
    <x:row r="759">
      <x:c r="A759" s="18" t="str">
        <x:v>fazer escuro</x:v>
      </x:c>
      <x:c r="B759" s="18" t="str">
        <x:v>koro aká</x:v>
      </x:c>
      <x:c r="C759" s="19" t="n">
        <x:f>IF(B759="",0,(LEN(B759)-LEN(SUBSTITUTE(B759," | ","")))/3+1)</x:f>
        <x:v>1</x:v>
      </x:c>
      <x:c r="D759" t="str">
        <x:v>f</x:v>
      </x:c>
      <x:c r="E759" t="str">
        <x:v>https://www.webonary.org/marubo/gdf02c114-5ca9-4996-8b6b-fbbaf8bdeec3/</x:v>
      </x:c>
      <x:c r="F759" t="str">
        <x:v>g485ebadd-5202-487e-af3e-5bcce3d90e4c</x:v>
      </x:c>
      <x:c r="G759" s="20" t="n">
        <x:v>46003.934861747686</x:v>
      </x:c>
    </x:row>
    <x:row r="760">
      <x:c r="A760" s="18" t="str">
        <x:v>fazer fogo</x:v>
      </x:c>
      <x:c r="B760" s="18" t="str">
        <x:v>txi rekẽ aká</x:v>
      </x:c>
      <x:c r="C760" s="19" t="n">
        <x:f>IF(B760="",0,(LEN(B760)-LEN(SUBSTITUTE(B760," | ","")))/3+1)</x:f>
        <x:v>1</x:v>
      </x:c>
      <x:c r="D760" t="str">
        <x:v>f</x:v>
      </x:c>
      <x:c r="E760" t="str">
        <x:v>https://www.webonary.org/marubo/ged1e45ac-e8c0-4f5a-9e29-87704d858d97/</x:v>
      </x:c>
      <x:c r="F760" t="str">
        <x:v>gd6f48bc1-0ffa-4024-adcd-80b64191c040</x:v>
      </x:c>
      <x:c r="G760" s="20" t="n">
        <x:v>46003.934861747686</x:v>
      </x:c>
    </x:row>
    <x:row r="761">
      <x:c r="A761" s="18" t="str">
        <x:v>fazer fogo com cipó</x:v>
      </x:c>
      <x:c r="B761" s="18" t="str">
        <x:v>chokia</x:v>
      </x:c>
      <x:c r="C761" s="19" t="n">
        <x:f>IF(B761="",0,(LEN(B761)-LEN(SUBSTITUTE(B761," | ","")))/3+1)</x:f>
        <x:v>1</x:v>
      </x:c>
      <x:c r="D761" t="str">
        <x:v>f</x:v>
      </x:c>
      <x:c r="E761" t="str">
        <x:v>https://www.webonary.org/marubo/ga3763302-1838-483c-8233-07e85c9eb274/</x:v>
      </x:c>
      <x:c r="F761" t="str">
        <x:v>g9e504d6f-eb80-4422-9b56-79cc363a1f88</x:v>
      </x:c>
      <x:c r="G761" s="20" t="n">
        <x:v>46003.934861747686</x:v>
      </x:c>
    </x:row>
    <x:row r="762">
      <x:c r="A762" s="18" t="str">
        <x:v>fazer mais forte</x:v>
      </x:c>
      <x:c r="B762" s="18" t="str">
        <x:v>isĩ aká</x:v>
      </x:c>
      <x:c r="C762" s="19" t="n">
        <x:f>IF(B762="",0,(LEN(B762)-LEN(SUBSTITUTE(B762," | ","")))/3+1)</x:f>
        <x:v>1</x:v>
      </x:c>
      <x:c r="D762" t="str">
        <x:v>f</x:v>
      </x:c>
      <x:c r="E762" t="str">
        <x:v>https://www.webonary.org/marubo/g1a124880-7a98-4ca3-a645-de6525b5f3cb/</x:v>
      </x:c>
      <x:c r="F762" t="str">
        <x:v>g5159686e-758b-4de7-bf5f-c9d8d23c23b1</x:v>
      </x:c>
      <x:c r="G762" s="20" t="n">
        <x:v>46003.934861747686</x:v>
      </x:c>
    </x:row>
    <x:row r="763">
      <x:c r="A763" s="18" t="str">
        <x:v>fazer mudança de distancia longa</x:v>
      </x:c>
      <x:c r="B763" s="18" t="str">
        <x:v>mae tekia</x:v>
      </x:c>
      <x:c r="C763" s="19" t="n">
        <x:f>IF(B763="",0,(LEN(B763)-LEN(SUBSTITUTE(B763," | ","")))/3+1)</x:f>
        <x:v>1</x:v>
      </x:c>
      <x:c r="D763" t="str">
        <x:v>f</x:v>
      </x:c>
      <x:c r="E763" t="str">
        <x:v>https://www.webonary.org/marubo/gc3a1d17d-bea6-4679-962d-5c69462a7b92/</x:v>
      </x:c>
      <x:c r="F763" t="str">
        <x:v>ged5912a3-0d15-4347-b382-bcaacdd7fe9e</x:v>
      </x:c>
      <x:c r="G763" s="20" t="n">
        <x:v>46003.934861747686</x:v>
      </x:c>
    </x:row>
    <x:row r="764">
      <x:c r="A764" s="18" t="str">
        <x:v>fazer novo</x:v>
      </x:c>
      <x:c r="B764" s="18" t="str">
        <x:v>vená aká</x:v>
      </x:c>
      <x:c r="C764" s="19" t="n">
        <x:f>IF(B764="",0,(LEN(B764)-LEN(SUBSTITUTE(B764," | ","")))/3+1)</x:f>
        <x:v>1</x:v>
      </x:c>
      <x:c r="D764" t="str">
        <x:v>f</x:v>
      </x:c>
      <x:c r="E764" t="str">
        <x:v>https://www.webonary.org/marubo/gd01f5b90-2684-4929-bcff-98e2d3c36f56/</x:v>
      </x:c>
      <x:c r="F764" t="str">
        <x:v>gcc565089-68c2-427d-a888-f9ef66a2b254</x:v>
      </x:c>
      <x:c r="G764" s="20" t="n">
        <x:v>46003.934861747686</x:v>
      </x:c>
    </x:row>
    <x:row r="765">
      <x:c r="A765" s="18" t="str">
        <x:v>fazer paralelo</x:v>
      </x:c>
      <x:c r="B765" s="18" t="str">
        <x:v>tsisá aká</x:v>
      </x:c>
      <x:c r="C765" s="19" t="n">
        <x:f>IF(B765="",0,(LEN(B765)-LEN(SUBSTITUTE(B765," | ","")))/3+1)</x:f>
        <x:v>1</x:v>
      </x:c>
      <x:c r="D765" t="str">
        <x:v>f</x:v>
      </x:c>
      <x:c r="E765" t="str">
        <x:v>https://www.webonary.org/marubo/gbdfc8c0f-80fd-42a9-9cec-0199f20f1d6f/</x:v>
      </x:c>
      <x:c r="F765" t="str">
        <x:v>g860f68ea-2654-4cd0-a6e1-a36dd89c207a</x:v>
      </x:c>
      <x:c r="G765" s="20" t="n">
        <x:v>46003.934861747686</x:v>
      </x:c>
    </x:row>
    <x:row r="766">
      <x:c r="A766" s="18" t="str">
        <x:v>fazer uma incisão</x:v>
      </x:c>
      <x:c r="B766" s="18" t="str">
        <x:v>serea</x:v>
      </x:c>
      <x:c r="C766" s="19" t="n">
        <x:f>IF(B766="",0,(LEN(B766)-LEN(SUBSTITUTE(B766," | ","")))/3+1)</x:f>
        <x:v>1</x:v>
      </x:c>
      <x:c r="D766" t="str">
        <x:v>f</x:v>
      </x:c>
      <x:c r="E766" t="str">
        <x:v>https://www.webonary.org/marubo/gb950191f-3035-4607-8b61-cc9d189db7f2/</x:v>
      </x:c>
      <x:c r="F766" t="str">
        <x:v>g9d9d4b89-30db-415d-b30a-fb18fea11071</x:v>
      </x:c>
      <x:c r="G766" s="20" t="n">
        <x:v>46003.934861747686</x:v>
      </x:c>
    </x:row>
    <x:row r="767">
      <x:c r="A767" s="18" t="str">
        <x:v>febre</x:v>
      </x:c>
      <x:c r="B767" s="18" t="str">
        <x:v>yoná | 1</x:v>
      </x:c>
      <x:c r="C767" s="19" t="n">
        <x:f>IF(B767="",0,(LEN(B767)-LEN(SUBSTITUTE(B767," | ","")))/3+1)</x:f>
        <x:v>2</x:v>
      </x:c>
      <x:c r="D767" t="str">
        <x:v>f</x:v>
      </x:c>
      <x:c r="E767" t="str">
        <x:v>https://www.webonary.org/marubo/ge13db638-0b34-4267-af80-f63a9a4abb57/</x:v>
      </x:c>
      <x:c r="F767" t="str">
        <x:v>g4e2a0b47-154f-4f7a-9e8c-25f969cd521f</x:v>
      </x:c>
      <x:c r="G767" s="20" t="n">
        <x:v>46003.934861747686</x:v>
      </x:c>
    </x:row>
    <x:row r="768">
      <x:c r="A768" s="18" t="str">
        <x:v>fechando os olhos quando sentir azedo</x:v>
      </x:c>
      <x:c r="B768" s="18" t="str">
        <x:v>vetxo | 1</x:v>
      </x:c>
      <x:c r="C768" s="19" t="n">
        <x:f>IF(B768="",0,(LEN(B768)-LEN(SUBSTITUTE(B768," | ","")))/3+1)</x:f>
        <x:v>2</x:v>
      </x:c>
      <x:c r="D768" t="str">
        <x:v>f</x:v>
      </x:c>
      <x:c r="E768" t="str">
        <x:v>https://www.webonary.org/marubo/g41ab6700-c099-4247-b405-46d21c4a474a/</x:v>
      </x:c>
      <x:c r="F768" t="str">
        <x:v>ga220ba9b-79f8-4da9-a9a1-4d017aec727a</x:v>
      </x:c>
      <x:c r="G768" s="20" t="n">
        <x:v>46003.934861747686</x:v>
      </x:c>
    </x:row>
    <x:row r="769">
      <x:c r="A769" s="18" t="str">
        <x:v>fechar</x:v>
      </x:c>
      <x:c r="B769" s="18" t="str">
        <x:v>kepoa</x:v>
      </x:c>
      <x:c r="C769" s="19" t="n">
        <x:f>IF(B769="",0,(LEN(B769)-LEN(SUBSTITUTE(B769," | ","")))/3+1)</x:f>
        <x:v>1</x:v>
      </x:c>
      <x:c r="D769" t="str">
        <x:v>f</x:v>
      </x:c>
      <x:c r="E769" t="str">
        <x:v>https://www.webonary.org/marubo/gc5cc3359-e095-4584-95f9-d289015bc6bf/</x:v>
      </x:c>
      <x:c r="F769" t="str">
        <x:v>gb4707910-9c34-43ee-8132-760317597b8d</x:v>
      </x:c>
      <x:c r="G769" s="20" t="n">
        <x:v>46003.934861747686</x:v>
      </x:c>
    </x:row>
    <x:row r="770">
      <x:c r="A770" s="18" t="str">
        <x:v>fedido/a</x:v>
      </x:c>
      <x:c r="B770" s="18" t="str">
        <x:v>pisika</x:v>
      </x:c>
      <x:c r="C770" s="19" t="n">
        <x:f>IF(B770="",0,(LEN(B770)-LEN(SUBSTITUTE(B770," | ","")))/3+1)</x:f>
        <x:v>1</x:v>
      </x:c>
      <x:c r="D770" t="str">
        <x:v>f</x:v>
      </x:c>
      <x:c r="E770" t="str">
        <x:v>https://www.webonary.org/marubo/g51b1db9c-e883-494d-b43c-d4e170a95f79/</x:v>
      </x:c>
      <x:c r="F770" t="str">
        <x:v>gd4487c9f-e7d4-4f91-9c1f-2993dad68998</x:v>
      </x:c>
      <x:c r="G770" s="20" t="n">
        <x:v>46003.934861747686</x:v>
      </x:c>
    </x:row>
    <x:row r="771">
      <x:c r="A771" s="18" t="str">
        <x:v>fedor de humano</x:v>
      </x:c>
      <x:c r="B771" s="18" t="str">
        <x:v>kõpíska</x:v>
      </x:c>
      <x:c r="C771" s="19" t="n">
        <x:f>IF(B771="",0,(LEN(B771)-LEN(SUBSTITUTE(B771," | ","")))/3+1)</x:f>
        <x:v>1</x:v>
      </x:c>
      <x:c r="D771" t="str">
        <x:v>f</x:v>
      </x:c>
      <x:c r="E771" t="str">
        <x:v>https://www.webonary.org/marubo/gf3ebfc20-92bd-4033-885a-def97504932c/</x:v>
      </x:c>
      <x:c r="F771" t="str">
        <x:v>g393bf35b-19bb-4b7c-bb00-0fc7af061b83</x:v>
      </x:c>
      <x:c r="G771" s="20" t="n">
        <x:v>46003.934861747686</x:v>
      </x:c>
    </x:row>
    <x:row r="772">
      <x:c r="A772" s="18" t="str">
        <x:v>feijão</x:v>
      </x:c>
      <x:c r="B772" s="18" t="str">
        <x:v>poróti</x:v>
      </x:c>
      <x:c r="C772" s="19" t="n">
        <x:f>IF(B772="",0,(LEN(B772)-LEN(SUBSTITUTE(B772," | ","")))/3+1)</x:f>
        <x:v>1</x:v>
      </x:c>
      <x:c r="D772" t="str">
        <x:v>f</x:v>
      </x:c>
      <x:c r="E772" t="str">
        <x:v>https://www.webonary.org/marubo/g0d1d3a98-cb6c-4b02-a493-0490f292412d/</x:v>
      </x:c>
      <x:c r="F772" t="str">
        <x:v>gf98ad3f8-f8bb-418b-a0e4-4a045af24510</x:v>
      </x:c>
      <x:c r="G772" s="20" t="n">
        <x:v>46003.934861747686</x:v>
      </x:c>
    </x:row>
    <x:row r="773">
      <x:c r="A773" s="18" t="str">
        <x:v>ferida</x:v>
      </x:c>
      <x:c r="B773" s="18" t="str">
        <x:v>txewe | tsewe</x:v>
      </x:c>
      <x:c r="C773" s="19" t="n">
        <x:f>IF(B773="",0,(LEN(B773)-LEN(SUBSTITUTE(B773," | ","")))/3+1)</x:f>
        <x:v>2</x:v>
      </x:c>
      <x:c r="D773" t="str">
        <x:v>f</x:v>
      </x:c>
      <x:c r="E773" t="str">
        <x:v>https://www.webonary.org/marubo/gd91617c2-9737-42dd-b27b-c1407c1bedc7/</x:v>
      </x:c>
      <x:c r="F773" t="str">
        <x:v>g305ef2cb-ebe0-42b8-8928-f651e5350f1a</x:v>
      </x:c>
      <x:c r="G773" s="20" t="n">
        <x:v>46003.934861747686</x:v>
      </x:c>
    </x:row>
    <x:row r="774">
      <x:c r="A774" s="18" t="str">
        <x:v>ferida no pé</x:v>
      </x:c>
      <x:c r="B774" s="18" t="str">
        <x:v>oste</x:v>
      </x:c>
      <x:c r="C774" s="19" t="n">
        <x:f>IF(B774="",0,(LEN(B774)-LEN(SUBSTITUTE(B774," | ","")))/3+1)</x:f>
        <x:v>1</x:v>
      </x:c>
      <x:c r="D774" t="str">
        <x:v>f</x:v>
      </x:c>
      <x:c r="E774" t="str">
        <x:v>https://www.webonary.org/marubo/gb0370655-02eb-4148-ae02-074977315086/</x:v>
      </x:c>
      <x:c r="F774" t="str">
        <x:v>gdc8ebc0a-0e7b-4b9e-b4b8-ec3c468d9933</x:v>
      </x:c>
      <x:c r="G774" s="20" t="n">
        <x:v>46003.934861747686</x:v>
      </x:c>
    </x:row>
    <x:row r="775">
      <x:c r="A775" s="18" t="str">
        <x:v>ferida pronto para sarar</x:v>
      </x:c>
      <x:c r="B775" s="18" t="str">
        <x:v>vetã ikí</x:v>
      </x:c>
      <x:c r="C775" s="19" t="n">
        <x:f>IF(B775="",0,(LEN(B775)-LEN(SUBSTITUTE(B775," | ","")))/3+1)</x:f>
        <x:v>1</x:v>
      </x:c>
      <x:c r="D775" t="str">
        <x:v>f</x:v>
      </x:c>
      <x:c r="E775" t="str">
        <x:v>https://www.webonary.org/marubo/g98f84fd8-6aa0-487c-8fa7-5835f27e27e4/</x:v>
      </x:c>
      <x:c r="F775" t="str">
        <x:v>g3c433241-4581-4d85-983a-de233c45842a</x:v>
      </x:c>
      <x:c r="G775" s="20" t="n">
        <x:v>46003.934861747686</x:v>
      </x:c>
    </x:row>
    <x:row r="776">
      <x:c r="A776" s="18" t="str">
        <x:v>feridas na boca</x:v>
      </x:c>
      <x:c r="B776" s="18" t="str">
        <x:v>vinã piá</x:v>
      </x:c>
      <x:c r="C776" s="19" t="n">
        <x:f>IF(B776="",0,(LEN(B776)-LEN(SUBSTITUTE(B776," | ","")))/3+1)</x:f>
        <x:v>1</x:v>
      </x:c>
      <x:c r="D776" t="str">
        <x:v>f</x:v>
      </x:c>
      <x:c r="E776" t="str">
        <x:v>https://www.webonary.org/marubo/g2e578572-2d32-4c57-a519-d8d3126cf549/</x:v>
      </x:c>
      <x:c r="F776" t="str">
        <x:v>ge6b11484-fdd7-4ab5-9057-889ea8a0c403</x:v>
      </x:c>
      <x:c r="G776" s="20" t="n">
        <x:v>46003.934861747686</x:v>
      </x:c>
    </x:row>
    <x:row r="777">
      <x:c r="A777" s="18" t="str">
        <x:v>ferir</x:v>
      </x:c>
      <x:c r="B777" s="18" t="str">
        <x:v>tsewéa</x:v>
      </x:c>
      <x:c r="C777" s="19" t="n">
        <x:f>IF(B777="",0,(LEN(B777)-LEN(SUBSTITUTE(B777," | ","")))/3+1)</x:f>
        <x:v>1</x:v>
      </x:c>
      <x:c r="D777" t="str">
        <x:v>f</x:v>
      </x:c>
      <x:c r="E777" t="str">
        <x:v>https://www.webonary.org/marubo/gb1e7be3c-e59f-4816-8cf6-dbd247aa66b8/</x:v>
      </x:c>
      <x:c r="F777" t="str">
        <x:v>gd8e9da8d-cd27-47bb-a102-6f160a87bfc5</x:v>
      </x:c>
      <x:c r="G777" s="20" t="n">
        <x:v>46003.934861747686</x:v>
      </x:c>
    </x:row>
    <x:row r="778">
      <x:c r="A778" s="18" t="str">
        <x:v>ferrão</x:v>
      </x:c>
      <x:c r="B778" s="18" t="str">
        <x:v>nichpí</x:v>
      </x:c>
      <x:c r="C778" s="19" t="n">
        <x:f>IF(B778="",0,(LEN(B778)-LEN(SUBSTITUTE(B778," | ","")))/3+1)</x:f>
        <x:v>1</x:v>
      </x:c>
      <x:c r="D778" t="str">
        <x:v>f</x:v>
      </x:c>
      <x:c r="E778" t="str">
        <x:v>https://www.webonary.org/marubo/g02aca545-0c22-4b33-ba59-1fa2587f6bb4/</x:v>
      </x:c>
      <x:c r="F778" t="str">
        <x:v>gb260e0c3-443c-4dc8-8fb9-b0b096982193</x:v>
      </x:c>
      <x:c r="G778" s="20" t="n">
        <x:v>46003.934861747686</x:v>
      </x:c>
    </x:row>
    <x:row r="779">
      <x:c r="A779" s="18" t="str">
        <x:v>ferver</x:v>
      </x:c>
      <x:c r="B779" s="18" t="str">
        <x:v>toko ikí | vori ikí</x:v>
      </x:c>
      <x:c r="C779" s="19" t="n">
        <x:f>IF(B779="",0,(LEN(B779)-LEN(SUBSTITUTE(B779," | ","")))/3+1)</x:f>
        <x:v>2</x:v>
      </x:c>
      <x:c r="D779" t="str">
        <x:v>f</x:v>
      </x:c>
      <x:c r="E779" t="str">
        <x:v>https://www.webonary.org/marubo/g941c2f2d-d4da-415e-bbea-34c5c78e55dc/</x:v>
      </x:c>
      <x:c r="F779" t="str">
        <x:v>gd7d080cb-23bf-42cc-a80d-de7b6b989d1a</x:v>
      </x:c>
      <x:c r="G779" s="20" t="n">
        <x:v>46003.934861747686</x:v>
      </x:c>
    </x:row>
    <x:row r="780">
      <x:c r="A780" s="18" t="str">
        <x:v>festa</x:v>
      </x:c>
      <x:c r="B780" s="18" t="str">
        <x:v>sai ikí</x:v>
      </x:c>
      <x:c r="C780" s="19" t="n">
        <x:f>IF(B780="",0,(LEN(B780)-LEN(SUBSTITUTE(B780," | ","")))/3+1)</x:f>
        <x:v>1</x:v>
      </x:c>
      <x:c r="D780" t="str">
        <x:v>f</x:v>
      </x:c>
      <x:c r="E780" t="str">
        <x:v>https://www.webonary.org/marubo/g7d8d39ee-147d-453c-afce-358be25f44ce/</x:v>
      </x:c>
      <x:c r="F780" t="str">
        <x:v>g60858dd9-c654-4fd8-a7fc-ffd2006f85fa</x:v>
      </x:c>
      <x:c r="G780" s="20" t="n">
        <x:v>46003.934861747686</x:v>
      </x:c>
    </x:row>
    <x:row r="781">
      <x:c r="A781" s="18" t="str">
        <x:v>feto</x:v>
      </x:c>
      <x:c r="B781" s="18" t="str">
        <x:v>ovẽ</x:v>
      </x:c>
      <x:c r="C781" s="19" t="n">
        <x:f>IF(B781="",0,(LEN(B781)-LEN(SUBSTITUTE(B781," | ","")))/3+1)</x:f>
        <x:v>1</x:v>
      </x:c>
      <x:c r="D781" t="str">
        <x:v>f</x:v>
      </x:c>
      <x:c r="E781" t="str">
        <x:v>https://www.webonary.org/marubo/gb2846753-2bd6-4308-9f6a-9b0c9c68a249/</x:v>
      </x:c>
      <x:c r="F781" t="str">
        <x:v>geaf36ee4-90b2-4d12-8f68-05bd59d9b8a9</x:v>
      </x:c>
      <x:c r="G781" s="20" t="n">
        <x:v>46003.934861747686</x:v>
      </x:c>
    </x:row>
    <x:row r="782">
      <x:c r="A782" s="18" t="str">
        <x:v>fezes</x:v>
      </x:c>
      <x:c r="B782" s="18" t="str">
        <x:v>poi</x:v>
      </x:c>
      <x:c r="C782" s="19" t="n">
        <x:f>IF(B782="",0,(LEN(B782)-LEN(SUBSTITUTE(B782," | ","")))/3+1)</x:f>
        <x:v>1</x:v>
      </x:c>
      <x:c r="D782" t="str">
        <x:v>f</x:v>
      </x:c>
      <x:c r="E782" t="str">
        <x:v>https://www.webonary.org/marubo/gbdb40d19-ff32-468f-97f1-5e07297514fc/</x:v>
      </x:c>
      <x:c r="F782" t="str">
        <x:v>g2e3dedc6-7d59-48d9-bce6-2c2234124d6c</x:v>
      </x:c>
      <x:c r="G782" s="20" t="n">
        <x:v>46003.934861747686</x:v>
      </x:c>
    </x:row>
    <x:row r="783">
      <x:c r="A783" s="18" t="str">
        <x:v>fibroso</x:v>
      </x:c>
      <x:c r="B783" s="18" t="str">
        <x:v>opoka</x:v>
      </x:c>
      <x:c r="C783" s="19" t="n">
        <x:f>IF(B783="",0,(LEN(B783)-LEN(SUBSTITUTE(B783," | ","")))/3+1)</x:f>
        <x:v>1</x:v>
      </x:c>
      <x:c r="D783" t="str">
        <x:v>f</x:v>
      </x:c>
      <x:c r="E783" t="str">
        <x:v>https://www.webonary.org/marubo/gfa7fd91c-eab1-46ae-9928-94724bf66db1/</x:v>
      </x:c>
      <x:c r="F783" t="str">
        <x:v>geb9a802e-4f61-4980-b643-b3233de8c560</x:v>
      </x:c>
      <x:c r="G783" s="20" t="n">
        <x:v>46003.934861747686</x:v>
      </x:c>
    </x:row>
    <x:row r="784">
      <x:c r="A784" s="18" t="str">
        <x:v>ficar cansado (out of breath) e o esturro de sucuri</x:v>
      </x:c>
      <x:c r="B784" s="18" t="str">
        <x:v>pinía</x:v>
      </x:c>
      <x:c r="C784" s="19" t="n">
        <x:f>IF(B784="",0,(LEN(B784)-LEN(SUBSTITUTE(B784," | ","")))/3+1)</x:f>
        <x:v>1</x:v>
      </x:c>
      <x:c r="D784" t="str">
        <x:v>f</x:v>
      </x:c>
      <x:c r="E784" t="str">
        <x:v>https://www.webonary.org/marubo/g5f4d2884-5a1e-4b93-b208-0f25a1200b61/</x:v>
      </x:c>
      <x:c r="F784" t="str">
        <x:v>g7b416d87-aae0-4856-b555-1d2267ef6469</x:v>
      </x:c>
      <x:c r="G784" s="20" t="n">
        <x:v>46003.934861747686</x:v>
      </x:c>
    </x:row>
    <x:row r="785">
      <x:c r="A785" s="18" t="str">
        <x:v>ficar cansado no corpo inteiro</x:v>
      </x:c>
      <x:c r="B785" s="18" t="str">
        <x:v>osh ikí</x:v>
      </x:c>
      <x:c r="C785" s="19" t="n">
        <x:f>IF(B785="",0,(LEN(B785)-LEN(SUBSTITUTE(B785," | ","")))/3+1)</x:f>
        <x:v>1</x:v>
      </x:c>
      <x:c r="D785" t="str">
        <x:v>f</x:v>
      </x:c>
      <x:c r="E785" t="str">
        <x:v>https://www.webonary.org/marubo/g1fc5311a-1361-453f-a103-c89079f30df5/</x:v>
      </x:c>
      <x:c r="F785" t="str">
        <x:v>gb654c733-8a3b-4a30-8a86-e4f3d40ef77c</x:v>
      </x:c>
      <x:c r="G785" s="20" t="n">
        <x:v>46003.934861747686</x:v>
      </x:c>
    </x:row>
    <x:row r="786">
      <x:c r="A786" s="18" t="str">
        <x:v>ficar com buraco</x:v>
      </x:c>
      <x:c r="B786" s="18" t="str">
        <x:v>oróa | 2</x:v>
      </x:c>
      <x:c r="C786" s="19" t="n">
        <x:f>IF(B786="",0,(LEN(B786)-LEN(SUBSTITUTE(B786," | ","")))/3+1)</x:f>
        <x:v>2</x:v>
      </x:c>
      <x:c r="D786" t="str">
        <x:v>f</x:v>
      </x:c>
      <x:c r="E786" t="str">
        <x:v>https://www.webonary.org/marubo/ga47c29db-36f5-4ac9-8b01-eb46b1cde7f3/</x:v>
      </x:c>
      <x:c r="F786" t="str">
        <x:v>ga36807da-adcc-4c31-af7b-d151f0939869</x:v>
      </x:c>
      <x:c r="G786" s="20" t="n">
        <x:v>46003.934861747686</x:v>
      </x:c>
    </x:row>
    <x:row r="787">
      <x:c r="A787" s="18" t="str">
        <x:v>ficar com listrado</x:v>
      </x:c>
      <x:c r="B787" s="18" t="str">
        <x:v>oshtõa</x:v>
      </x:c>
      <x:c r="C787" s="19" t="n">
        <x:f>IF(B787="",0,(LEN(B787)-LEN(SUBSTITUTE(B787," | ","")))/3+1)</x:f>
        <x:v>1</x:v>
      </x:c>
      <x:c r="D787" t="str">
        <x:v>f</x:v>
      </x:c>
      <x:c r="E787" t="str">
        <x:v>https://www.webonary.org/marubo/g3dd83b28-66dd-4f26-af3f-5e2795100f7d/</x:v>
      </x:c>
      <x:c r="F787" t="str">
        <x:v>g03d23554-85c7-43b2-b0e8-fc1b76ed79fa</x:v>
      </x:c>
      <x:c r="G787" s="20" t="n">
        <x:v>46003.934861747686</x:v>
      </x:c>
    </x:row>
    <x:row r="788">
      <x:c r="A788" s="18" t="str">
        <x:v>ficar com raiva</x:v>
      </x:c>
      <x:c r="B788" s="18" t="str">
        <x:v>orã ikí | omísa</x:v>
      </x:c>
      <x:c r="C788" s="19" t="n">
        <x:f>IF(B788="",0,(LEN(B788)-LEN(SUBSTITUTE(B788," | ","")))/3+1)</x:f>
        <x:v>2</x:v>
      </x:c>
      <x:c r="D788" t="str">
        <x:v>f</x:v>
      </x:c>
      <x:c r="E788" t="str">
        <x:v>https://www.webonary.org/marubo/g54ee7856-ba73-4778-9569-4e6702885dbc/</x:v>
      </x:c>
      <x:c r="F788" t="str">
        <x:v>g2d307e22-a4a7-4e2e-8d0f-513b47dc7bac</x:v>
      </x:c>
      <x:c r="G788" s="20" t="n">
        <x:v>46003.934861747686</x:v>
      </x:c>
    </x:row>
    <x:row r="789">
      <x:c r="A789" s="18" t="str">
        <x:v>ficar de pé</x:v>
      </x:c>
      <x:c r="B789" s="18" t="str">
        <x:v>weni iná</x:v>
      </x:c>
      <x:c r="C789" s="19" t="n">
        <x:f>IF(B789="",0,(LEN(B789)-LEN(SUBSTITUTE(B789," | ","")))/3+1)</x:f>
        <x:v>1</x:v>
      </x:c>
      <x:c r="D789" t="str">
        <x:v>f</x:v>
      </x:c>
      <x:c r="E789" t="str">
        <x:v>https://www.webonary.org/marubo/g01591bb4-9a4d-44ae-b512-8b4d355200fd/</x:v>
      </x:c>
      <x:c r="F789" t="str">
        <x:v>ge779cc9c-4b24-4fdc-a9ec-68cabd156b80</x:v>
      </x:c>
      <x:c r="G789" s="20" t="n">
        <x:v>46003.934861747686</x:v>
      </x:c>
    </x:row>
    <x:row r="790">
      <x:c r="A790" s="18" t="str">
        <x:v>ficar desesperado</x:v>
      </x:c>
      <x:c r="B790" s="18" t="str">
        <x:v>naia</x:v>
      </x:c>
      <x:c r="C790" s="19" t="n">
        <x:f>IF(B790="",0,(LEN(B790)-LEN(SUBSTITUTE(B790," | ","")))/3+1)</x:f>
        <x:v>1</x:v>
      </x:c>
      <x:c r="D790" t="str">
        <x:v>f</x:v>
      </x:c>
      <x:c r="E790" t="str">
        <x:v>https://www.webonary.org/marubo/gfc38cc26-2d4e-45a2-b277-ac70ab01693f/</x:v>
      </x:c>
      <x:c r="F790" t="str">
        <x:v>gbe5a3d51-9bfd-4156-bb6d-dd1afca98da2</x:v>
      </x:c>
      <x:c r="G790" s="20" t="n">
        <x:v>46003.934861747686</x:v>
      </x:c>
    </x:row>
    <x:row r="791">
      <x:c r="A791" s="18" t="str">
        <x:v>ficar gripado</x:v>
      </x:c>
      <x:c r="B791" s="18" t="str">
        <x:v>shanã iki</x:v>
      </x:c>
      <x:c r="C791" s="19" t="n">
        <x:f>IF(B791="",0,(LEN(B791)-LEN(SUBSTITUTE(B791," | ","")))/3+1)</x:f>
        <x:v>1</x:v>
      </x:c>
      <x:c r="D791" t="str">
        <x:v>f</x:v>
      </x:c>
      <x:c r="E791" t="str">
        <x:v>https://www.webonary.org/marubo/g6851b3b4-0c6e-488b-8259-67e6067cf4ac/</x:v>
      </x:c>
      <x:c r="F791" t="str">
        <x:v>g3224f30e-0905-454d-a341-1a456caed4ef</x:v>
      </x:c>
      <x:c r="G791" s="20" t="n">
        <x:v>46003.934861747686</x:v>
      </x:c>
    </x:row>
    <x:row r="792">
      <x:c r="A792" s="18" t="str">
        <x:v>ficar maduro</x:v>
      </x:c>
      <x:c r="B792" s="18" t="str">
        <x:v>õchĩa</x:v>
      </x:c>
      <x:c r="C792" s="19" t="n">
        <x:f>IF(B792="",0,(LEN(B792)-LEN(SUBSTITUTE(B792," | ","")))/3+1)</x:f>
        <x:v>1</x:v>
      </x:c>
      <x:c r="D792" t="str">
        <x:v>f</x:v>
      </x:c>
      <x:c r="E792" t="str">
        <x:v>https://www.webonary.org/marubo/gee9a1747-6170-468f-a510-20f85a5fadae/</x:v>
      </x:c>
      <x:c r="F792" t="str">
        <x:v>gfe692c26-e664-4f87-b5c9-f1fd2e5e0994</x:v>
      </x:c>
      <x:c r="G792" s="20" t="n">
        <x:v>46003.934861747686</x:v>
      </x:c>
    </x:row>
    <x:row r="793">
      <x:c r="A793" s="18" t="str">
        <x:v>ficar magro</x:v>
      </x:c>
      <x:c r="B793" s="18" t="str">
        <x:v>txooa</x:v>
      </x:c>
      <x:c r="C793" s="19" t="n">
        <x:f>IF(B793="",0,(LEN(B793)-LEN(SUBSTITUTE(B793," | ","")))/3+1)</x:f>
        <x:v>1</x:v>
      </x:c>
      <x:c r="D793" t="str">
        <x:v>f</x:v>
      </x:c>
      <x:c r="E793" t="str">
        <x:v>https://www.webonary.org/marubo/g2e00697f-e563-4f0c-87f5-108a2c5e8e4c/</x:v>
      </x:c>
      <x:c r="F793" t="str">
        <x:v>g2d8d5fb6-84ea-4672-8155-0fd7d660a5a0</x:v>
      </x:c>
      <x:c r="G793" s="20" t="n">
        <x:v>46003.934861747686</x:v>
      </x:c>
    </x:row>
    <x:row r="794">
      <x:c r="A794" s="18" t="str">
        <x:v>ficar suspenso (macaco que fica enganchado) quando árvore fica suspenso</x:v>
      </x:c>
      <x:c r="B794" s="18" t="str">
        <x:v>poéa</x:v>
      </x:c>
      <x:c r="C794" s="19" t="n">
        <x:f>IF(B794="",0,(LEN(B794)-LEN(SUBSTITUTE(B794," | ","")))/3+1)</x:f>
        <x:v>1</x:v>
      </x:c>
      <x:c r="D794" t="str">
        <x:v>f</x:v>
      </x:c>
      <x:c r="E794" t="str">
        <x:v>https://www.webonary.org/marubo/g0f8b7ded-8c08-4d73-a6e3-be25019f1315/</x:v>
      </x:c>
      <x:c r="F794" t="str">
        <x:v>g7facef07-4c24-4825-a6b9-d63f7c88cdbf</x:v>
      </x:c>
      <x:c r="G794" s="20" t="n">
        <x:v>46003.934861747686</x:v>
      </x:c>
    </x:row>
    <x:row r="795">
      <x:c r="A795" s="18" t="str">
        <x:v>ficar tonto</x:v>
      </x:c>
      <x:c r="B795" s="18" t="str">
        <x:v>vesĩktã ikí</x:v>
      </x:c>
      <x:c r="C795" s="19" t="n">
        <x:f>IF(B795="",0,(LEN(B795)-LEN(SUBSTITUTE(B795," | ","")))/3+1)</x:f>
        <x:v>1</x:v>
      </x:c>
      <x:c r="D795" t="str">
        <x:v>f</x:v>
      </x:c>
      <x:c r="E795" t="str">
        <x:v>https://www.webonary.org/marubo/g97df48a0-6bac-458b-b880-a77428fc258c/</x:v>
      </x:c>
      <x:c r="F795" t="str">
        <x:v>gda94f07c-ba0c-41b4-a1d8-610981a373c2</x:v>
      </x:c>
      <x:c r="G795" s="20" t="n">
        <x:v>46003.934861747686</x:v>
      </x:c>
    </x:row>
    <x:row r="796">
      <x:c r="A796" s="18" t="str">
        <x:v>ficar triste</x:v>
      </x:c>
      <x:c r="B796" s="18" t="str">
        <x:v>onísa</x:v>
      </x:c>
      <x:c r="C796" s="19" t="n">
        <x:f>IF(B796="",0,(LEN(B796)-LEN(SUBSTITUTE(B796," | ","")))/3+1)</x:f>
        <x:v>1</x:v>
      </x:c>
      <x:c r="D796" t="str">
        <x:v>f</x:v>
      </x:c>
      <x:c r="E796" t="str">
        <x:v>https://www.webonary.org/marubo/g3d6e75a7-6121-49d1-984a-3b1981508889/</x:v>
      </x:c>
      <x:c r="F796" t="str">
        <x:v>gf211291b-8552-4fe3-933b-59e6a6408b80</x:v>
      </x:c>
      <x:c r="G796" s="20" t="n">
        <x:v>46003.934861747686</x:v>
      </x:c>
    </x:row>
    <x:row r="797">
      <x:c r="A797" s="18" t="str">
        <x:v>ficou velho</x:v>
      </x:c>
      <x:c r="B797" s="18" t="str">
        <x:v>siwáá</x:v>
      </x:c>
      <x:c r="C797" s="19" t="n">
        <x:f>IF(B797="",0,(LEN(B797)-LEN(SUBSTITUTE(B797," | ","")))/3+1)</x:f>
        <x:v>1</x:v>
      </x:c>
      <x:c r="D797" t="str">
        <x:v>f</x:v>
      </x:c>
      <x:c r="E797" t="str">
        <x:v>https://www.webonary.org/marubo/gbe037e71-ec93-460d-81bb-73c07ffb1258/</x:v>
      </x:c>
      <x:c r="F797" t="str">
        <x:v>g5607bcfe-66c2-4c27-8f3e-e335101d5e65</x:v>
      </x:c>
      <x:c r="G797" s="20" t="n">
        <x:v>46003.934861747686</x:v>
      </x:c>
    </x:row>
    <x:row r="798">
      <x:c r="A798" s="18" t="str">
        <x:v>fígado</x:v>
      </x:c>
      <x:c r="B798" s="18" t="str">
        <x:v>taka</x:v>
      </x:c>
      <x:c r="C798" s="19" t="n">
        <x:f>IF(B798="",0,(LEN(B798)-LEN(SUBSTITUTE(B798," | ","")))/3+1)</x:f>
        <x:v>1</x:v>
      </x:c>
      <x:c r="D798" t="str">
        <x:v>f</x:v>
      </x:c>
      <x:c r="E798" t="str">
        <x:v>https://www.webonary.org/marubo/ge8cdf9dc-e8c4-49d5-905a-8a24afe1b27f/</x:v>
      </x:c>
      <x:c r="F798" t="str">
        <x:v>g5d5833b7-90ba-4173-9d5d-4964a4b45b03</x:v>
      </x:c>
      <x:c r="G798" s="20" t="n">
        <x:v>46003.934861747686</x:v>
      </x:c>
    </x:row>
    <x:row r="799">
      <x:c r="A799" s="18" t="str">
        <x:v>filho da irmã</x:v>
      </x:c>
      <x:c r="B799" s="18" t="str">
        <x:v>shavõ toá</x:v>
      </x:c>
      <x:c r="C799" s="19" t="n">
        <x:f>IF(B799="",0,(LEN(B799)-LEN(SUBSTITUTE(B799," | ","")))/3+1)</x:f>
        <x:v>1</x:v>
      </x:c>
      <x:c r="D799" t="str">
        <x:v>f</x:v>
      </x:c>
      <x:c r="E799" t="str">
        <x:v>https://www.webonary.org/marubo/g935ccdee-0dde-4b8f-8996-4d1a10529061/</x:v>
      </x:c>
      <x:c r="F799" t="str">
        <x:v>g4c47e480-04ad-4e5f-adaa-8c2360ba139e</x:v>
      </x:c>
      <x:c r="G799" s="20" t="n">
        <x:v>46003.934861747686</x:v>
      </x:c>
    </x:row>
    <x:row r="800">
      <x:c r="A800" s="18" t="str">
        <x:v>fino</x:v>
      </x:c>
      <x:c r="B800" s="18" t="str">
        <x:v>tsãpaka | 2 | pashpichta</x:v>
      </x:c>
      <x:c r="C800" s="19" t="n">
        <x:f>IF(B800="",0,(LEN(B800)-LEN(SUBSTITUTE(B800," | ","")))/3+1)</x:f>
        <x:v>3</x:v>
      </x:c>
      <x:c r="D800" t="str">
        <x:v>f</x:v>
      </x:c>
      <x:c r="E800" t="str">
        <x:v>https://www.webonary.org/marubo/ga0844953-c8b4-4167-94b0-9f8b1bcfab89/</x:v>
      </x:c>
      <x:c r="F800" t="str">
        <x:v>gb6c97ced-9402-44ef-ab19-d25bb0fbee34</x:v>
      </x:c>
      <x:c r="G800" s="20" t="n">
        <x:v>46003.934861747686</x:v>
      </x:c>
    </x:row>
    <x:row r="801">
      <x:c r="A801" s="18" t="str">
        <x:v>flechar</x:v>
      </x:c>
      <x:c r="B801" s="18" t="str">
        <x:v>tekõa</x:v>
      </x:c>
      <x:c r="C801" s="19" t="n">
        <x:f>IF(B801="",0,(LEN(B801)-LEN(SUBSTITUTE(B801," | ","")))/3+1)</x:f>
        <x:v>1</x:v>
      </x:c>
      <x:c r="D801" t="str">
        <x:v>f</x:v>
      </x:c>
      <x:c r="E801" t="str">
        <x:v>https://www.webonary.org/marubo/g16360942-4951-46c3-bf7e-d7ec9b4058b1/</x:v>
      </x:c>
      <x:c r="F801" t="str">
        <x:v>ga6a39d26-c2c6-47b4-8bc5-3b988f3ef34a</x:v>
      </x:c>
      <x:c r="G801" s="20" t="n">
        <x:v>46003.934861747686</x:v>
      </x:c>
    </x:row>
    <x:row r="802">
      <x:c r="A802" s="18" t="str">
        <x:v>flechas de brinquedo</x:v>
      </x:c>
      <x:c r="B802" s="18" t="str">
        <x:v>kashke</x:v>
      </x:c>
      <x:c r="C802" s="19" t="n">
        <x:f>IF(B802="",0,(LEN(B802)-LEN(SUBSTITUTE(B802," | ","")))/3+1)</x:f>
        <x:v>1</x:v>
      </x:c>
      <x:c r="D802" t="str">
        <x:v>f</x:v>
      </x:c>
      <x:c r="E802" t="str">
        <x:v>https://www.webonary.org/marubo/g2e7f28b8-25b4-4108-a0f4-494947d56b65/</x:v>
      </x:c>
      <x:c r="F802" t="str">
        <x:v>ga99c71e3-eb5e-41d2-8b6e-a46ea64d18fa</x:v>
      </x:c>
      <x:c r="G802" s="20" t="n">
        <x:v>46003.934861747686</x:v>
      </x:c>
    </x:row>
    <x:row r="803">
      <x:c r="A803" s="18" t="str">
        <x:v>flor</x:v>
      </x:c>
      <x:c r="B803" s="18" t="str">
        <x:v>oa</x:v>
      </x:c>
      <x:c r="C803" s="19" t="n">
        <x:f>IF(B803="",0,(LEN(B803)-LEN(SUBSTITUTE(B803," | ","")))/3+1)</x:f>
        <x:v>1</x:v>
      </x:c>
      <x:c r="D803" t="str">
        <x:v>f</x:v>
      </x:c>
      <x:c r="E803" t="str">
        <x:v>https://www.webonary.org/marubo/gd26adda8-4c0b-4aaf-8b4a-e2e74cea3e08/</x:v>
      </x:c>
      <x:c r="F803" t="str">
        <x:v>ga77c8cbd-4fba-4c36-9cc5-1771cd1ab588</x:v>
      </x:c>
      <x:c r="G803" s="20" t="n">
        <x:v>46003.934861747686</x:v>
      </x:c>
    </x:row>
    <x:row r="804">
      <x:c r="A804" s="18" t="str">
        <x:v>flutuar</x:v>
      </x:c>
      <x:c r="B804" s="18" t="str">
        <x:v>nonoa</x:v>
      </x:c>
      <x:c r="C804" s="19" t="n">
        <x:f>IF(B804="",0,(LEN(B804)-LEN(SUBSTITUTE(B804," | ","")))/3+1)</x:f>
        <x:v>1</x:v>
      </x:c>
      <x:c r="D804" t="str">
        <x:v>f</x:v>
      </x:c>
      <x:c r="E804" t="str">
        <x:v>https://www.webonary.org/marubo/g7cbbb8a5-53bb-4086-a46c-56257f64721d/</x:v>
      </x:c>
      <x:c r="F804" t="str">
        <x:v>g97ef7e99-d3dc-4321-b6a6-798a66fff856</x:v>
      </x:c>
      <x:c r="G804" s="20" t="n">
        <x:v>46003.934861747686</x:v>
      </x:c>
    </x:row>
    <x:row r="805">
      <x:c r="A805" s="18" t="str">
        <x:v>FOC</x:v>
      </x:c>
      <x:c r="B805" s="18" t="str">
        <x:f>"=ro"</x:f>
        <x:v>=ro</x:v>
      </x:c>
      <x:c r="C805" s="19" t="n">
        <x:f>IF(B805="",0,(LEN(B805)-LEN(SUBSTITUTE(B805," | ","")))/3+1)</x:f>
        <x:v>1</x:v>
      </x:c>
      <x:c r="D805" t="str">
        <x:v>f</x:v>
      </x:c>
      <x:c r="E805" t="str">
        <x:v>https://www.webonary.org/marubo/g2df9779c-8c1a-491c-8e79-c9c854e03bfe/</x:v>
      </x:c>
      <x:c r="F805" t="str">
        <x:v>gd5117ad1-ac38-49cf-90c5-3a53bb74ff8f</x:v>
      </x:c>
      <x:c r="G805" s="20" t="n">
        <x:v>46003.934861747686</x:v>
      </x:c>
    </x:row>
    <x:row r="806">
      <x:c r="A806" s="18" t="str">
        <x:v>focar luz</x:v>
      </x:c>
      <x:c r="B806" s="18" t="str">
        <x:v>ota</x:v>
      </x:c>
      <x:c r="C806" s="19" t="n">
        <x:f>IF(B806="",0,(LEN(B806)-LEN(SUBSTITUTE(B806," | ","")))/3+1)</x:f>
        <x:v>1</x:v>
      </x:c>
      <x:c r="D806" t="str">
        <x:v>f</x:v>
      </x:c>
      <x:c r="E806" t="str">
        <x:v>https://www.webonary.org/marubo/gaaec6c73-c1ff-4e9b-ad32-fcc4162d9842/</x:v>
      </x:c>
      <x:c r="F806" t="str">
        <x:v>g433d3904-0c80-4343-a003-e19df11f7c16</x:v>
      </x:c>
      <x:c r="G806" s="20" t="n">
        <x:v>46003.93487005787</x:v>
      </x:c>
    </x:row>
    <x:row r="807">
      <x:c r="A807" s="18" t="str">
        <x:v>focar nos olhos</x:v>
      </x:c>
      <x:c r="B807" s="18" t="str">
        <x:v>vetĩa</x:v>
      </x:c>
      <x:c r="C807" s="19" t="n">
        <x:f>IF(B807="",0,(LEN(B807)-LEN(SUBSTITUTE(B807," | ","")))/3+1)</x:f>
        <x:v>1</x:v>
      </x:c>
      <x:c r="D807" t="str">
        <x:v>f</x:v>
      </x:c>
      <x:c r="E807" t="str">
        <x:v>https://www.webonary.org/marubo/g106c2b82-0d21-433c-b65b-253c7ba0ffc1/</x:v>
      </x:c>
      <x:c r="F807" t="str">
        <x:v>g9acb7174-84f3-4b4c-b8ef-5487c7bd03e0</x:v>
      </x:c>
      <x:c r="G807" s="20" t="n">
        <x:v>46003.93487005787</x:v>
      </x:c>
    </x:row>
    <x:row r="808">
      <x:c r="A808" s="18" t="str">
        <x:v>fogo</x:v>
      </x:c>
      <x:c r="B808" s="18" t="str">
        <x:v>txii</x:v>
      </x:c>
      <x:c r="C808" s="19" t="n">
        <x:f>IF(B808="",0,(LEN(B808)-LEN(SUBSTITUTE(B808," | ","")))/3+1)</x:f>
        <x:v>1</x:v>
      </x:c>
      <x:c r="D808" t="str">
        <x:v>f</x:v>
      </x:c>
      <x:c r="E808" t="str">
        <x:v>https://www.webonary.org/marubo/gf4623a6a-9c25-4457-831a-b0cc25b4efd1/</x:v>
      </x:c>
      <x:c r="F808" t="str">
        <x:v>g93a3fc39-635b-408e-a059-b626858fc6ab</x:v>
      </x:c>
      <x:c r="G808" s="20" t="n">
        <x:v>46003.93487005787</x:v>
      </x:c>
    </x:row>
    <x:row r="809">
      <x:c r="A809" s="18" t="str">
        <x:v>folha</x:v>
      </x:c>
      <x:c r="B809" s="18" t="str">
        <x:v>pei</x:v>
      </x:c>
      <x:c r="C809" s="19" t="n">
        <x:f>IF(B809="",0,(LEN(B809)-LEN(SUBSTITUTE(B809," | ","")))/3+1)</x:f>
        <x:v>1</x:v>
      </x:c>
      <x:c r="D809" t="str">
        <x:v>f</x:v>
      </x:c>
      <x:c r="E809" t="str">
        <x:v>https://www.webonary.org/marubo/g6e5da3ce-519d-4bb7-998f-997ebd93a294/</x:v>
      </x:c>
      <x:c r="F809" t="str">
        <x:v>gd5757120-326b-408b-83a8-cc82bca135bd</x:v>
      </x:c>
      <x:c r="G809" s="20" t="n">
        <x:v>46003.93487005787</x:v>
      </x:c>
    </x:row>
    <x:row r="810">
      <x:c r="A810" s="18" t="str">
        <x:v>folhas</x:v>
      </x:c>
      <x:c r="B810" s="18" t="str">
        <x:v>võko</x:v>
      </x:c>
      <x:c r="C810" s="19" t="n">
        <x:f>IF(B810="",0,(LEN(B810)-LEN(SUBSTITUTE(B810," | ","")))/3+1)</x:f>
        <x:v>1</x:v>
      </x:c>
      <x:c r="D810" t="str">
        <x:v>f</x:v>
      </x:c>
      <x:c r="E810" t="str">
        <x:v>https://www.webonary.org/marubo/g1e770090-a0d6-4764-a3f8-548624aaafd5/</x:v>
      </x:c>
      <x:c r="F810" t="str">
        <x:v>gd9761d0a-cd45-42c3-bca2-5d5254fa9a69</x:v>
      </x:c>
      <x:c r="G810" s="20" t="n">
        <x:v>46003.93487005787</x:v>
      </x:c>
    </x:row>
    <x:row r="811">
      <x:c r="A811" s="18" t="str">
        <x:v>folhas deitadas no chão para colocar carne</x:v>
      </x:c>
      <x:c r="B811" s="18" t="str">
        <x:v>kakã</x:v>
      </x:c>
      <x:c r="C811" s="19" t="n">
        <x:f>IF(B811="",0,(LEN(B811)-LEN(SUBSTITUTE(B811," | ","")))/3+1)</x:f>
        <x:v>1</x:v>
      </x:c>
      <x:c r="D811" t="str">
        <x:v>f</x:v>
      </x:c>
      <x:c r="E811" t="str">
        <x:v>https://www.webonary.org/marubo/gc3c58a73-5945-4d4b-9423-0dadf553263f/</x:v>
      </x:c>
      <x:c r="F811" t="str">
        <x:v>g0d5f7356-aa8b-4d86-9527-86b36bbdf0cd</x:v>
      </x:c>
      <x:c r="G811" s="20" t="n">
        <x:v>46003.93487005787</x:v>
      </x:c>
    </x:row>
    <x:row r="812">
      <x:c r="A812" s="18" t="str">
        <x:v>fontanela</x:v>
      </x:c>
      <x:c r="B812" s="18" t="str">
        <x:v>mãwã́</x:v>
      </x:c>
      <x:c r="C812" s="19" t="n">
        <x:f>IF(B812="",0,(LEN(B812)-LEN(SUBSTITUTE(B812," | ","")))/3+1)</x:f>
        <x:v>1</x:v>
      </x:c>
      <x:c r="D812" t="str">
        <x:v>f</x:v>
      </x:c>
      <x:c r="E812" t="str">
        <x:v>https://www.webonary.org/marubo/g03ab2d5a-35ed-4ac5-998d-e6cf46c45a1a/</x:v>
      </x:c>
      <x:c r="F812" t="str">
        <x:v>g4e502cc7-3cfe-4d3b-bbce-8e2c7ebde681</x:v>
      </x:c>
      <x:c r="G812" s="20" t="n">
        <x:v>46003.93487005787</x:v>
      </x:c>
    </x:row>
    <x:row r="813">
      <x:c r="A813" s="18" t="str">
        <x:v>fora</x:v>
      </x:c>
      <x:c r="B813" s="18" t="str">
        <x:v>veyó | ikoti</x:v>
      </x:c>
      <x:c r="C813" s="19" t="n">
        <x:f>IF(B813="",0,(LEN(B813)-LEN(SUBSTITUTE(B813," | ","")))/3+1)</x:f>
        <x:v>2</x:v>
      </x:c>
      <x:c r="D813" t="str">
        <x:v>f</x:v>
      </x:c>
      <x:c r="E813" t="str">
        <x:v>https://www.webonary.org/marubo/gc5c8d4a6-f4b3-49db-9773-39a197f89cff/</x:v>
      </x:c>
      <x:c r="F813" t="str">
        <x:v>g5944b36d-a507-4ef9-bde9-82259c46022d</x:v>
      </x:c>
      <x:c r="G813" s="20" t="n">
        <x:v>46003.93487005787</x:v>
      </x:c>
    </x:row>
    <x:row r="814">
      <x:c r="A814" s="18" t="str">
        <x:v>formiga cortadeira</x:v>
      </x:c>
      <x:c r="B814" s="18" t="str">
        <x:v>maísi</x:v>
      </x:c>
      <x:c r="C814" s="19" t="n">
        <x:f>IF(B814="",0,(LEN(B814)-LEN(SUBSTITUTE(B814," | ","")))/3+1)</x:f>
        <x:v>1</x:v>
      </x:c>
      <x:c r="D814" t="str">
        <x:v>f</x:v>
      </x:c>
      <x:c r="E814" t="str">
        <x:v>https://www.webonary.org/marubo/gea99578a-6036-4f3b-8623-b039dc26f1b9/</x:v>
      </x:c>
      <x:c r="F814" t="str">
        <x:v>g61aa151e-fccd-41f3-98ec-586b93735815</x:v>
      </x:c>
      <x:c r="G814" s="20" t="n">
        <x:v>46003.93487005787</x:v>
      </x:c>
    </x:row>
    <x:row r="815">
      <x:c r="A815" s="18" t="str">
        <x:v>formiga de baúba</x:v>
      </x:c>
      <x:c r="B815" s="18" t="str">
        <x:v>võkó ikí</x:v>
      </x:c>
      <x:c r="C815" s="19" t="n">
        <x:f>IF(B815="",0,(LEN(B815)-LEN(SUBSTITUTE(B815," | ","")))/3+1)</x:f>
        <x:v>1</x:v>
      </x:c>
      <x:c r="D815" t="str">
        <x:v>f</x:v>
      </x:c>
      <x:c r="E815" t="str">
        <x:v>https://www.webonary.org/marubo/gab3b092e-8e88-4ced-81a4-fab808daf91d/</x:v>
      </x:c>
      <x:c r="F815" t="str">
        <x:v>g41377468-5838-43da-922c-66b86e2014f0</x:v>
      </x:c>
      <x:c r="G815" s="20" t="n">
        <x:v>46003.93487005787</x:v>
      </x:c>
    </x:row>
    <x:row r="816">
      <x:c r="A816" s="18" t="str">
        <x:v>formiga de fogo</x:v>
      </x:c>
      <x:c r="B816" s="18" t="str">
        <x:v>ima</x:v>
      </x:c>
      <x:c r="C816" s="19" t="n">
        <x:f>IF(B816="",0,(LEN(B816)-LEN(SUBSTITUTE(B816," | ","")))/3+1)</x:f>
        <x:v>1</x:v>
      </x:c>
      <x:c r="D816" t="str">
        <x:v>f</x:v>
      </x:c>
      <x:c r="E816" t="str">
        <x:v>https://www.webonary.org/marubo/g4b2fab18-1d05-48a6-9e6b-3045364abeca/</x:v>
      </x:c>
      <x:c r="F816" t="str">
        <x:v>g27939d84-6318-4cfd-aa39-3815c94f4c0d</x:v>
      </x:c>
      <x:c r="G816" s="20" t="n">
        <x:v>46003.93487005787</x:v>
      </x:c>
    </x:row>
    <x:row r="817">
      <x:c r="A817" s="18" t="str">
        <x:v>formiga de fogo pequeno</x:v>
      </x:c>
      <x:c r="B817" s="18" t="str">
        <x:v>ee</x:v>
      </x:c>
      <x:c r="C817" s="19" t="n">
        <x:f>IF(B817="",0,(LEN(B817)-LEN(SUBSTITUTE(B817," | ","")))/3+1)</x:f>
        <x:v>1</x:v>
      </x:c>
      <x:c r="D817" t="str">
        <x:v>f</x:v>
      </x:c>
      <x:c r="E817" t="str">
        <x:v>https://www.webonary.org/marubo/g3cd836f8-73f5-4afd-9866-1450a431e622/</x:v>
      </x:c>
      <x:c r="F817" t="str">
        <x:v>g59990dab-f699-498d-8b91-9aaa5d27a696</x:v>
      </x:c>
      <x:c r="G817" s="20" t="n">
        <x:v>46003.93487005787</x:v>
      </x:c>
    </x:row>
    <x:row r="818">
      <x:c r="A818" s="18" t="str">
        <x:v>formigar</x:v>
      </x:c>
      <x:c r="B818" s="18" t="str">
        <x:v>tae senã</x:v>
      </x:c>
      <x:c r="C818" s="19" t="n">
        <x:f>IF(B818="",0,(LEN(B818)-LEN(SUBSTITUTE(B818," | ","")))/3+1)</x:f>
        <x:v>1</x:v>
      </x:c>
      <x:c r="D818" t="str">
        <x:v>f</x:v>
      </x:c>
      <x:c r="E818" t="str">
        <x:v>https://www.webonary.org/marubo/ga1591c73-3515-4724-b197-51e42a1a0b3b/</x:v>
      </x:c>
      <x:c r="F818" t="str">
        <x:v>g4c9bb056-930c-4916-9021-cc97cbe71f4f</x:v>
      </x:c>
      <x:c r="G818" s="20" t="n">
        <x:v>46003.93487005787</x:v>
      </x:c>
    </x:row>
    <x:row r="819">
      <x:c r="A819" s="18" t="str">
        <x:v>forquilha</x:v>
      </x:c>
      <x:c r="B819" s="18" t="str">
        <x:v>teãvakĩ</x:v>
      </x:c>
      <x:c r="C819" s="19" t="n">
        <x:f>IF(B819="",0,(LEN(B819)-LEN(SUBSTITUTE(B819," | ","")))/3+1)</x:f>
        <x:v>1</x:v>
      </x:c>
      <x:c r="D819" t="str">
        <x:v>f</x:v>
      </x:c>
      <x:c r="E819" t="str">
        <x:v>https://www.webonary.org/marubo/gb7e57519-703e-4e35-ba8f-11bf2509542c/</x:v>
      </x:c>
      <x:c r="F819" t="str">
        <x:v>g9c451bbb-8540-4a04-af3a-32250596d7e3</x:v>
      </x:c>
      <x:c r="G819" s="20" t="n">
        <x:v>46003.93487005787</x:v>
      </x:c>
    </x:row>
    <x:row r="820">
      <x:c r="A820" s="18" t="str">
        <x:v>forte</x:v>
      </x:c>
      <x:c r="B820" s="18" t="str">
        <x:v>isĩka</x:v>
      </x:c>
      <x:c r="C820" s="19" t="n">
        <x:f>IF(B820="",0,(LEN(B820)-LEN(SUBSTITUTE(B820," | ","")))/3+1)</x:f>
        <x:v>1</x:v>
      </x:c>
      <x:c r="D820" t="str">
        <x:v>f</x:v>
      </x:c>
      <x:c r="E820" t="str">
        <x:v>https://www.webonary.org/marubo/g03cd81a5-52c4-40af-91db-512c72ea3925/</x:v>
      </x:c>
      <x:c r="F820" t="str">
        <x:v>g210431e7-6a39-45ba-9d3d-73891c62748b</x:v>
      </x:c>
      <x:c r="G820" s="20" t="n">
        <x:v>46003.93487005787</x:v>
      </x:c>
    </x:row>
    <x:row r="821">
      <x:c r="A821" s="18" t="str">
        <x:v>fraco</x:v>
      </x:c>
      <x:c r="B821" s="18" t="str">
        <x:v>chaika | kochima</x:v>
      </x:c>
      <x:c r="C821" s="19" t="n">
        <x:f>IF(B821="",0,(LEN(B821)-LEN(SUBSTITUTE(B821," | ","")))/3+1)</x:f>
        <x:v>2</x:v>
      </x:c>
      <x:c r="D821" t="str">
        <x:v>f</x:v>
      </x:c>
      <x:c r="E821" t="str">
        <x:v>https://www.webonary.org/marubo/g003c3291-c4e4-4dee-9e71-0a9a10e8c42c/</x:v>
      </x:c>
      <x:c r="F821" t="str">
        <x:v>g06f4534b-b640-45d1-a6f7-4e65fd8e3a0a</x:v>
      </x:c>
      <x:c r="G821" s="20" t="n">
        <x:v>46003.93487005787</x:v>
      </x:c>
    </x:row>
    <x:row r="822">
      <x:c r="A822" s="18" t="str">
        <x:v>frio</x:v>
      </x:c>
      <x:c r="B822" s="18" t="str">
        <x:v>matsika</x:v>
      </x:c>
      <x:c r="C822" s="19" t="n">
        <x:f>IF(B822="",0,(LEN(B822)-LEN(SUBSTITUTE(B822," | ","")))/3+1)</x:f>
        <x:v>1</x:v>
      </x:c>
      <x:c r="D822" t="str">
        <x:v>f</x:v>
      </x:c>
      <x:c r="E822" t="str">
        <x:v>https://www.webonary.org/marubo/gbea35baf-6d97-4f1a-b55c-58cc5b96b49e/</x:v>
      </x:c>
      <x:c r="F822" t="str">
        <x:v>g62f03dfc-29f6-4f9e-b8f8-9001924b6752</x:v>
      </x:c>
      <x:c r="G822" s="20" t="n">
        <x:v>46003.93487005787</x:v>
      </x:c>
    </x:row>
    <x:row r="823">
      <x:c r="A823" s="18" t="str">
        <x:v>fritar</x:v>
      </x:c>
      <x:c r="B823" s="18" t="str">
        <x:v>kachka aká</x:v>
      </x:c>
      <x:c r="C823" s="19" t="n">
        <x:f>IF(B823="",0,(LEN(B823)-LEN(SUBSTITUTE(B823," | ","")))/3+1)</x:f>
        <x:v>1</x:v>
      </x:c>
      <x:c r="D823" t="str">
        <x:v>f</x:v>
      </x:c>
      <x:c r="E823" t="str">
        <x:v>https://www.webonary.org/marubo/gcfe926cf-938a-4aca-86ae-b3e039087e05/</x:v>
      </x:c>
      <x:c r="F823" t="str">
        <x:v>g232c52ee-20e7-4db4-8aa4-4af8dc384215</x:v>
      </x:c>
      <x:c r="G823" s="20" t="n">
        <x:v>46003.93487005787</x:v>
      </x:c>
    </x:row>
    <x:row r="824">
      <x:c r="A824" s="18" t="str">
        <x:v>FRUST</x:v>
      </x:c>
      <x:c r="B824" s="18" t="str">
        <x:f>"=mẽkĩ"</x:f>
        <x:v>=mẽkĩ</x:v>
      </x:c>
      <x:c r="C824" s="19" t="n">
        <x:f>IF(B824="",0,(LEN(B824)-LEN(SUBSTITUTE(B824," | ","")))/3+1)</x:f>
        <x:v>1</x:v>
      </x:c>
      <x:c r="D824" t="str">
        <x:v>f</x:v>
      </x:c>
      <x:c r="E824" t="str">
        <x:v>https://www.webonary.org/marubo/g29685d41-d058-46fa-bcb5-4264c21aea46/</x:v>
      </x:c>
      <x:c r="F824" t="str">
        <x:v>g2857b910-9ba8-462e-86ec-00cad5d5e98b</x:v>
      </x:c>
      <x:c r="G824" s="20" t="n">
        <x:v>46003.93487005787</x:v>
      </x:c>
    </x:row>
    <x:row r="825">
      <x:c r="A825" s="18" t="str">
        <x:v>fruta</x:v>
      </x:c>
      <x:c r="B825" s="18" t="str">
        <x:v>vimi</x:v>
      </x:c>
      <x:c r="C825" s="19" t="n">
        <x:f>IF(B825="",0,(LEN(B825)-LEN(SUBSTITUTE(B825," | ","")))/3+1)</x:f>
        <x:v>1</x:v>
      </x:c>
      <x:c r="D825" t="str">
        <x:v>f</x:v>
      </x:c>
      <x:c r="E825" t="str">
        <x:v>https://www.webonary.org/marubo/g2dd5c06b-8f41-48a1-8bb0-7e6d6ba48675/</x:v>
      </x:c>
      <x:c r="F825" t="str">
        <x:v>gba65f776-531c-4703-a28c-b551cc4dec10</x:v>
      </x:c>
      <x:c r="G825" s="20" t="n">
        <x:v>46003.93487005787</x:v>
      </x:c>
    </x:row>
    <x:row r="826">
      <x:c r="A826" s="18" t="str">
        <x:v>fruta da mata</x:v>
      </x:c>
      <x:c r="B826" s="18" t="str">
        <x:v>vopata vimi | vitxi karõti | vonã txomavi | voivi | yae | yãkíchi maiti tanama | varivi | chekéchi</x:v>
      </x:c>
      <x:c r="C826" s="19" t="n">
        <x:f>IF(B826="",0,(LEN(B826)-LEN(SUBSTITUTE(B826," | ","")))/3+1)</x:f>
        <x:v>8</x:v>
      </x:c>
      <x:c r="D826" t="str">
        <x:v>f</x:v>
      </x:c>
      <x:c r="E826" t="str">
        <x:v>https://www.webonary.org/marubo/ga43247da-34a8-42dd-bd1e-70d1bcf65d45/</x:v>
      </x:c>
      <x:c r="F826" t="str">
        <x:v>gde93bddb-9f39-4a2b-93a3-4b787d9c635b</x:v>
      </x:c>
      <x:c r="G826" s="20" t="n">
        <x:v>46003.93487005787</x:v>
      </x:c>
    </x:row>
    <x:row r="827">
      <x:c r="A827" s="18" t="str">
        <x:v>fruta da mata shãkoi</x:v>
      </x:c>
      <x:c r="B827" s="18" t="str">
        <x:v>võkó vata vimi</x:v>
      </x:c>
      <x:c r="C827" s="19" t="n">
        <x:f>IF(B827="",0,(LEN(B827)-LEN(SUBSTITUTE(B827," | ","")))/3+1)</x:f>
        <x:v>1</x:v>
      </x:c>
      <x:c r="D827" t="str">
        <x:v>f</x:v>
      </x:c>
      <x:c r="E827" t="str">
        <x:v>https://www.webonary.org/marubo/g4786d58a-1100-4ef3-a17e-b6c431a76fc9/</x:v>
      </x:c>
      <x:c r="F827" t="str">
        <x:v>gc7c20134-4f13-4125-8e12-45ba46aeffb9</x:v>
      </x:c>
      <x:c r="G827" s="20" t="n">
        <x:v>46003.93487005787</x:v>
      </x:c>
    </x:row>
    <x:row r="828">
      <x:c r="A828" s="18" t="str">
        <x:v>fruta que não presta para comer</x:v>
      </x:c>
      <x:c r="B828" s="18" t="str">
        <x:v>pacho</x:v>
      </x:c>
      <x:c r="C828" s="19" t="n">
        <x:f>IF(B828="",0,(LEN(B828)-LEN(SUBSTITUTE(B828," | ","")))/3+1)</x:f>
        <x:v>1</x:v>
      </x:c>
      <x:c r="D828" t="str">
        <x:v>f</x:v>
      </x:c>
      <x:c r="E828" t="str">
        <x:v>https://www.webonary.org/marubo/g92b6d47f-1761-44a9-a3bc-d4f5399e5ac5/</x:v>
      </x:c>
      <x:c r="F828" t="str">
        <x:v>g032bd7b6-a9ad-4566-80ee-0652ea3a6179</x:v>
      </x:c>
      <x:c r="G828" s="20" t="n">
        <x:v>46003.93487005787</x:v>
      </x:c>
    </x:row>
    <x:row r="829">
      <x:c r="A829" s="18" t="str">
        <x:v>frutas</x:v>
      </x:c>
      <x:c r="B829" s="18" t="str">
        <x:v>vimirasĩ</x:v>
      </x:c>
      <x:c r="C829" s="19" t="n">
        <x:f>IF(B829="",0,(LEN(B829)-LEN(SUBSTITUTE(B829," | ","")))/3+1)</x:f>
        <x:v>1</x:v>
      </x:c>
      <x:c r="D829" t="str">
        <x:v>f</x:v>
      </x:c>
      <x:c r="E829" t="str">
        <x:v>https://www.webonary.org/marubo/g9036028d-f8b7-4167-8849-b8e89b43e26b/</x:v>
      </x:c>
      <x:c r="F829" t="str">
        <x:v>gc53b5d2c-e357-4012-8590-bb8a0605482c</x:v>
      </x:c>
      <x:c r="G829" s="20" t="n">
        <x:v>46003.93487005787</x:v>
      </x:c>
    </x:row>
    <x:row r="830">
      <x:c r="A830" s="18" t="str">
        <x:v>fugir</x:v>
      </x:c>
      <x:c r="B830" s="18" t="str">
        <x:v>kaya | 1</x:v>
      </x:c>
      <x:c r="C830" s="19" t="n">
        <x:f>IF(B830="",0,(LEN(B830)-LEN(SUBSTITUTE(B830," | ","")))/3+1)</x:f>
        <x:v>2</x:v>
      </x:c>
      <x:c r="D830" t="str">
        <x:v>f</x:v>
      </x:c>
      <x:c r="E830" t="str">
        <x:v>https://www.webonary.org/marubo/gf171b5e5-2de4-41eb-8cb5-173fc1f75ad1/</x:v>
      </x:c>
      <x:c r="F830" t="str">
        <x:v>g692187b3-fc0d-44df-898e-649d9d2eda29</x:v>
      </x:c>
      <x:c r="G830" s="20" t="n">
        <x:v>46003.93487005787</x:v>
      </x:c>
    </x:row>
    <x:row r="831">
      <x:c r="A831" s="18" t="str">
        <x:v>fumaça</x:v>
      </x:c>
      <x:c r="B831" s="18" t="str">
        <x:v>koĩ</x:v>
      </x:c>
      <x:c r="C831" s="19" t="n">
        <x:f>IF(B831="",0,(LEN(B831)-LEN(SUBSTITUTE(B831," | ","")))/3+1)</x:f>
        <x:v>1</x:v>
      </x:c>
      <x:c r="D831" t="str">
        <x:v>f</x:v>
      </x:c>
      <x:c r="E831" t="str">
        <x:v>https://www.webonary.org/marubo/gd6c7e6fe-565a-4a90-a6a8-d30019418ecf/</x:v>
      </x:c>
      <x:c r="F831" t="str">
        <x:v>gdd3bf5dd-f80f-41ed-9048-30bcad6a3833</x:v>
      </x:c>
      <x:c r="G831" s="20" t="n">
        <x:v>46003.93487005787</x:v>
      </x:c>
    </x:row>
    <x:row r="832">
      <x:c r="A832" s="18" t="str">
        <x:v>fumacento</x:v>
      </x:c>
      <x:c r="B832" s="18" t="str">
        <x:v>koĩka | 1</x:v>
      </x:c>
      <x:c r="C832" s="19" t="n">
        <x:f>IF(B832="",0,(LEN(B832)-LEN(SUBSTITUTE(B832," | ","")))/3+1)</x:f>
        <x:v>2</x:v>
      </x:c>
      <x:c r="D832" t="str">
        <x:v>f</x:v>
      </x:c>
      <x:c r="E832" t="str">
        <x:v>https://www.webonary.org/marubo/g7d521d00-2f46-4435-a0bd-73ff5f3b314f/</x:v>
      </x:c>
      <x:c r="F832" t="str">
        <x:v>gd28814af-627a-4303-84a2-9d4728a6dc84</x:v>
      </x:c>
      <x:c r="G832" s="20" t="n">
        <x:v>46003.93487005787</x:v>
      </x:c>
    </x:row>
    <x:row r="833">
      <x:c r="A833" s="18" t="str">
        <x:v>fundo</x:v>
      </x:c>
      <x:c r="B833" s="18" t="str">
        <x:v>okeka | oke</x:v>
      </x:c>
      <x:c r="C833" s="19" t="n">
        <x:f>IF(B833="",0,(LEN(B833)-LEN(SUBSTITUTE(B833," | ","")))/3+1)</x:f>
        <x:v>2</x:v>
      </x:c>
      <x:c r="D833" t="str">
        <x:v>f</x:v>
      </x:c>
      <x:c r="E833" t="str">
        <x:v>https://www.webonary.org/marubo/g80bec46b-7911-4694-a1eb-cb8a565543d4/</x:v>
      </x:c>
      <x:c r="F833" t="str">
        <x:v>g2d341892-b258-4321-b719-0c7341a7e314</x:v>
      </x:c>
      <x:c r="G833" s="20" t="n">
        <x:v>46003.93487005787</x:v>
      </x:c>
    </x:row>
    <x:row r="834">
      <x:c r="A834" s="18" t="str">
        <x:v>fundo do quarto</x:v>
      </x:c>
      <x:c r="B834" s="18" t="str">
        <x:v>txivi tavá</x:v>
      </x:c>
      <x:c r="C834" s="19" t="n">
        <x:f>IF(B834="",0,(LEN(B834)-LEN(SUBSTITUTE(B834," | ","")))/3+1)</x:f>
        <x:v>1</x:v>
      </x:c>
      <x:c r="D834" t="str">
        <x:v>f</x:v>
      </x:c>
      <x:c r="E834" t="str">
        <x:v>https://www.webonary.org/marubo/gf143d578-4f60-4da6-94fb-99859369472c/</x:v>
      </x:c>
      <x:c r="F834" t="str">
        <x:v>g57b16224-3f03-4b11-bba3-540d8b269552</x:v>
      </x:c>
      <x:c r="G834" s="20" t="n">
        <x:v>46003.93487005787</x:v>
      </x:c>
    </x:row>
    <x:row r="835">
      <x:c r="A835" s="18" t="str">
        <x:v>furar a ponta de orelha</x:v>
      </x:c>
      <x:c r="B835" s="18" t="str">
        <x:v>patós ikí</x:v>
      </x:c>
      <x:c r="C835" s="19" t="n">
        <x:f>IF(B835="",0,(LEN(B835)-LEN(SUBSTITUTE(B835," | ","")))/3+1)</x:f>
        <x:v>1</x:v>
      </x:c>
      <x:c r="D835" t="str">
        <x:v>f</x:v>
      </x:c>
      <x:c r="E835" t="str">
        <x:v>https://www.webonary.org/marubo/gd599884a-ffed-444b-a483-479e09e154ff/</x:v>
      </x:c>
      <x:c r="F835" t="str">
        <x:v>gbfc7e414-93fc-4f46-be72-e32d1d72d920</x:v>
      </x:c>
      <x:c r="G835" s="20" t="n">
        <x:v>46003.93487005787</x:v>
      </x:c>
    </x:row>
    <x:row r="836">
      <x:c r="A836" s="18" t="str">
        <x:v>furo</x:v>
      </x:c>
      <x:c r="B836" s="18" t="str">
        <x:v>tepó aká</x:v>
      </x:c>
      <x:c r="C836" s="19" t="n">
        <x:f>IF(B836="",0,(LEN(B836)-LEN(SUBSTITUTE(B836," | ","")))/3+1)</x:f>
        <x:v>1</x:v>
      </x:c>
      <x:c r="D836" t="str">
        <x:v>f</x:v>
      </x:c>
      <x:c r="E836" t="str">
        <x:v>https://www.webonary.org/marubo/gab97b606-7a69-4a3d-ae40-4d849925a930/</x:v>
      </x:c>
      <x:c r="F836" t="str">
        <x:v>g8b2ec0f6-e8eb-482a-b916-52b13f359374</x:v>
      </x:c>
      <x:c r="G836" s="20" t="n">
        <x:v>46003.93487005787</x:v>
      </x:c>
    </x:row>
    <x:row r="837">
      <x:c r="A837" s="18" t="str">
        <x:v>furtar</x:v>
      </x:c>
      <x:c r="B837" s="18" t="str">
        <x:v>kerómá</x:v>
      </x:c>
      <x:c r="C837" s="19" t="n">
        <x:f>IF(B837="",0,(LEN(B837)-LEN(SUBSTITUTE(B837," | ","")))/3+1)</x:f>
        <x:v>1</x:v>
      </x:c>
      <x:c r="D837" t="str">
        <x:v>f</x:v>
      </x:c>
      <x:c r="E837" t="str">
        <x:v>https://www.webonary.org/marubo/g75eb0105-4c39-4991-a5c7-1056f5ddccb0/</x:v>
      </x:c>
      <x:c r="F837" t="str">
        <x:v>ga9215656-c03b-45f3-b55e-bf0d2e68560d</x:v>
      </x:c>
      <x:c r="G837" s="20" t="n">
        <x:v>46003.93487005787</x:v>
      </x:c>
    </x:row>
    <x:row r="838">
      <x:c r="A838" s="18" t="str">
        <x:v>FUT</x:v>
      </x:c>
      <x:c r="B838" s="18" t="str">
        <x:v>-katsai | -katsa</x:v>
      </x:c>
      <x:c r="C838" s="19" t="n">
        <x:f>IF(B838="",0,(LEN(B838)-LEN(SUBSTITUTE(B838," | ","")))/3+1)</x:f>
        <x:v>2</x:v>
      </x:c>
      <x:c r="D838" t="str">
        <x:v>f</x:v>
      </x:c>
      <x:c r="E838" t="str">
        <x:v>https://www.webonary.org/marubo/g933f7345-4654-4cc2-9067-db7fcbffc203/</x:v>
      </x:c>
      <x:c r="F838" t="str">
        <x:v>g059adba6-b320-4e78-aebb-40f338b92b80</x:v>
      </x:c>
      <x:c r="G838" s="20" t="n">
        <x:v>46003.93487005787</x:v>
      </x:c>
    </x:row>
    <x:row r="839">
      <x:c r="A839" s="18" t="str">
        <x:v>gafanhoto</x:v>
      </x:c>
      <x:c r="B839" s="18" t="str">
        <x:v>txãpo</x:v>
      </x:c>
      <x:c r="C839" s="19" t="n">
        <x:f>IF(B839="",0,(LEN(B839)-LEN(SUBSTITUTE(B839," | ","")))/3+1)</x:f>
        <x:v>1</x:v>
      </x:c>
      <x:c r="D839" t="str">
        <x:v>g</x:v>
      </x:c>
      <x:c r="E839" t="str">
        <x:v>https://www.webonary.org/marubo/ga6fac48c-01e5-449f-a9b3-7ec29b7bc65b/</x:v>
      </x:c>
      <x:c r="F839" t="str">
        <x:v>gb115eb9d-804d-4f1d-924b-145cffc4779e</x:v>
      </x:c>
      <x:c r="G839" s="20" t="n">
        <x:v>46003.93487005787</x:v>
      </x:c>
    </x:row>
    <x:row r="840">
      <x:c r="A840" s="18" t="str">
        <x:v>gageijo</x:v>
      </x:c>
      <x:c r="B840" s="18" t="str">
        <x:v>ãcho | 1</x:v>
      </x:c>
      <x:c r="C840" s="19" t="n">
        <x:f>IF(B840="",0,(LEN(B840)-LEN(SUBSTITUTE(B840," | ","")))/3+1)</x:f>
        <x:v>2</x:v>
      </x:c>
      <x:c r="D840" t="str">
        <x:v>g</x:v>
      </x:c>
      <x:c r="E840" t="str">
        <x:v>https://www.webonary.org/marubo/g1a68a48f-20a5-4b3c-9fc7-ad593c903b0a/</x:v>
      </x:c>
      <x:c r="F840" t="str">
        <x:v>g70bc12dd-5680-4864-af01-798cfceb05a4</x:v>
      </x:c>
      <x:c r="G840" s="20" t="n">
        <x:v>46003.93487005787</x:v>
      </x:c>
    </x:row>
    <x:row r="841">
      <x:c r="A841" s="18" t="str">
        <x:v>galho</x:v>
      </x:c>
      <x:c r="B841" s="18" t="str">
        <x:v>meã</x:v>
      </x:c>
      <x:c r="C841" s="19" t="n">
        <x:f>IF(B841="",0,(LEN(B841)-LEN(SUBSTITUTE(B841," | ","")))/3+1)</x:f>
        <x:v>1</x:v>
      </x:c>
      <x:c r="D841" t="str">
        <x:v>g</x:v>
      </x:c>
      <x:c r="E841" t="str">
        <x:v>https://www.webonary.org/marubo/gd58e1b73-9aef-4de4-9abe-6f00e2c8b87c/</x:v>
      </x:c>
      <x:c r="F841" t="str">
        <x:v>g095dca2b-db56-43ab-9c1d-de392685f397</x:v>
      </x:c>
      <x:c r="G841" s="20" t="n">
        <x:v>46003.93487005787</x:v>
      </x:c>
    </x:row>
    <x:row r="842">
      <x:c r="A842" s="18" t="str">
        <x:v>galho de árvore</x:v>
      </x:c>
      <x:c r="B842" s="18" t="str">
        <x:v>iwi mevi</x:v>
      </x:c>
      <x:c r="C842" s="19" t="n">
        <x:f>IF(B842="",0,(LEN(B842)-LEN(SUBSTITUTE(B842," | ","")))/3+1)</x:f>
        <x:v>1</x:v>
      </x:c>
      <x:c r="D842" t="str">
        <x:v>g</x:v>
      </x:c>
      <x:c r="E842" t="str">
        <x:v>https://www.webonary.org/marubo/geebffcbc-49e1-4577-892c-564b767b0510/</x:v>
      </x:c>
      <x:c r="F842" t="str">
        <x:v>g274a99d2-09d3-439b-8b99-f7598a66c599</x:v>
      </x:c>
      <x:c r="G842" s="20" t="n">
        <x:v>46003.93487005787</x:v>
      </x:c>
    </x:row>
    <x:row r="843">
      <x:c r="A843" s="18" t="str">
        <x:v>galinha</x:v>
      </x:c>
      <x:c r="B843" s="18" t="str">
        <x:v>takare</x:v>
      </x:c>
      <x:c r="C843" s="19" t="n">
        <x:f>IF(B843="",0,(LEN(B843)-LEN(SUBSTITUTE(B843," | ","")))/3+1)</x:f>
        <x:v>1</x:v>
      </x:c>
      <x:c r="D843" t="str">
        <x:v>g</x:v>
      </x:c>
      <x:c r="E843" t="str">
        <x:v>https://www.webonary.org/marubo/gbbf978d6-3253-4959-b313-ce1aa5960d12/</x:v>
      </x:c>
      <x:c r="F843" t="str">
        <x:v>gd95b9ba2-3690-45ee-b0ab-9a232b0aa7e3</x:v>
      </x:c>
      <x:c r="G843" s="20" t="n">
        <x:v>46003.93487005787</x:v>
      </x:c>
    </x:row>
    <x:row r="844">
      <x:c r="A844" s="18" t="str">
        <x:v>gambá</x:v>
      </x:c>
      <x:c r="B844" s="18" t="str">
        <x:v>mashó</x:v>
      </x:c>
      <x:c r="C844" s="19" t="n">
        <x:f>IF(B844="",0,(LEN(B844)-LEN(SUBSTITUTE(B844," | ","")))/3+1)</x:f>
        <x:v>1</x:v>
      </x:c>
      <x:c r="D844" t="str">
        <x:v>g</x:v>
      </x:c>
      <x:c r="E844" t="str">
        <x:v>https://www.webonary.org/marubo/g1959aa74-d7f7-4340-8391-da87bbe4a509/</x:v>
      </x:c>
      <x:c r="F844" t="str">
        <x:v>g2e9eabbc-6506-41ba-9ebe-d2ed3bcaa08b</x:v>
      </x:c>
      <x:c r="G844" s="20" t="n">
        <x:v>46003.93487005787</x:v>
      </x:c>
    </x:row>
    <x:row r="845">
      <x:c r="A845" s="18" t="str">
        <x:v>garça</x:v>
      </x:c>
      <x:c r="B845" s="18" t="str">
        <x:v>osho</x:v>
      </x:c>
      <x:c r="C845" s="19" t="n">
        <x:f>IF(B845="",0,(LEN(B845)-LEN(SUBSTITUTE(B845," | ","")))/3+1)</x:f>
        <x:v>1</x:v>
      </x:c>
      <x:c r="D845" t="str">
        <x:v>g</x:v>
      </x:c>
      <x:c r="E845" t="str">
        <x:v>https://www.webonary.org/marubo/ga1105418-f22b-4b33-b084-6dda07d59e78/</x:v>
      </x:c>
      <x:c r="F845" t="str">
        <x:v>g546bc2f0-1f71-4992-8a1e-922e7216097b</x:v>
      </x:c>
      <x:c r="G845" s="20" t="n">
        <x:v>46003.93487005787</x:v>
      </x:c>
    </x:row>
    <x:row r="846">
      <x:c r="A846" s="18" t="str">
        <x:v>garganta</x:v>
      </x:c>
      <x:c r="B846" s="18" t="str">
        <x:v>tepoke</x:v>
      </x:c>
      <x:c r="C846" s="19" t="n">
        <x:f>IF(B846="",0,(LEN(B846)-LEN(SUBSTITUTE(B846," | ","")))/3+1)</x:f>
        <x:v>1</x:v>
      </x:c>
      <x:c r="D846" t="str">
        <x:v>g</x:v>
      </x:c>
      <x:c r="E846" t="str">
        <x:v>https://www.webonary.org/marubo/g50f52c72-dcf6-4b7f-b956-1a5648f51d8b/</x:v>
      </x:c>
      <x:c r="F846" t="str">
        <x:v>gd24f8165-cbca-4bb9-8554-48ceb5200181</x:v>
      </x:c>
      <x:c r="G846" s="20" t="n">
        <x:v>46003.93487005787</x:v>
      </x:c>
    </x:row>
    <x:row r="847">
      <x:c r="A847" s="18" t="str">
        <x:v>gasolina (palavra emprestada)</x:v>
      </x:c>
      <x:c r="B847" s="18" t="str">
        <x:v>kasorĩ</x:v>
      </x:c>
      <x:c r="C847" s="19" t="n">
        <x:f>IF(B847="",0,(LEN(B847)-LEN(SUBSTITUTE(B847," | ","")))/3+1)</x:f>
        <x:v>1</x:v>
      </x:c>
      <x:c r="D847" t="str">
        <x:v>g</x:v>
      </x:c>
      <x:c r="E847" t="str">
        <x:v>https://www.webonary.org/marubo/gf8bbe859-387d-44c5-ab8c-d633af9140f8/</x:v>
      </x:c>
      <x:c r="F847" t="str">
        <x:v>g34ca32ef-df16-4083-a9f0-fa481486a499</x:v>
      </x:c>
      <x:c r="G847" s="20" t="n">
        <x:v>46003.93487005787</x:v>
      </x:c>
    </x:row>
    <x:row r="848">
      <x:c r="A848" s="18" t="str">
        <x:v>gato da mata</x:v>
      </x:c>
      <x:c r="B848" s="18" t="str">
        <x:v>ketsĩ</x:v>
      </x:c>
      <x:c r="C848" s="19" t="n">
        <x:f>IF(B848="",0,(LEN(B848)-LEN(SUBSTITUTE(B848," | ","")))/3+1)</x:f>
        <x:v>1</x:v>
      </x:c>
      <x:c r="D848" t="str">
        <x:v>g</x:v>
      </x:c>
      <x:c r="E848" t="str">
        <x:v>https://www.webonary.org/marubo/gfdb15266-03df-4f37-96a1-3dd140308b2c/</x:v>
      </x:c>
      <x:c r="F848" t="str">
        <x:v>g2bb6be9b-62f6-46d6-8b7d-5201906e63a1</x:v>
      </x:c>
      <x:c r="G848" s="20" t="n">
        <x:v>46003.93487005787</x:v>
      </x:c>
    </x:row>
    <x:row r="849">
      <x:c r="A849" s="18" t="str">
        <x:v>gavião</x:v>
      </x:c>
      <x:c r="B849" s="18" t="str">
        <x:v>teté | 1</x:v>
      </x:c>
      <x:c r="C849" s="19" t="n">
        <x:f>IF(B849="",0,(LEN(B849)-LEN(SUBSTITUTE(B849," | ","")))/3+1)</x:f>
        <x:v>2</x:v>
      </x:c>
      <x:c r="D849" t="str">
        <x:v>g</x:v>
      </x:c>
      <x:c r="E849" t="str">
        <x:v>https://www.webonary.org/marubo/g22454928-99a1-43fe-acdb-635a65dfba02/</x:v>
      </x:c>
      <x:c r="F849" t="str">
        <x:v>gd2247a05-499f-4e83-8b09-7ea07e6a49cc</x:v>
      </x:c>
      <x:c r="G849" s="20" t="n">
        <x:v>46003.93487005787</x:v>
      </x:c>
    </x:row>
    <x:row r="850">
      <x:c r="A850" s="18" t="str">
        <x:v>gênero de discurso formal</x:v>
      </x:c>
      <x:c r="B850" s="18" t="str">
        <x:v>tsãi ikí</x:v>
      </x:c>
      <x:c r="C850" s="19" t="n">
        <x:f>IF(B850="",0,(LEN(B850)-LEN(SUBSTITUTE(B850," | ","")))/3+1)</x:f>
        <x:v>1</x:v>
      </x:c>
      <x:c r="D850" t="str">
        <x:v>g</x:v>
      </x:c>
      <x:c r="E850" t="str">
        <x:v>https://www.webonary.org/marubo/gb0a508da-7677-4bf8-9ab8-db7e57eff0a4/</x:v>
      </x:c>
      <x:c r="F850" t="str">
        <x:v>g0f693f38-1413-4163-8c13-be73e6d65cf6</x:v>
      </x:c>
      <x:c r="G850" s="20" t="n">
        <x:v>46003.93487005787</x:v>
      </x:c>
    </x:row>
    <x:row r="851">
      <x:c r="A851" s="18" t="str">
        <x:v>gênero de fala feito para ensinar ou disciplinar</x:v>
      </x:c>
      <x:c r="B851" s="18" t="str">
        <x:v>vana aká</x:v>
      </x:c>
      <x:c r="C851" s="19" t="n">
        <x:f>IF(B851="",0,(LEN(B851)-LEN(SUBSTITUTE(B851," | ","")))/3+1)</x:f>
        <x:v>1</x:v>
      </x:c>
      <x:c r="D851" t="str">
        <x:v>g</x:v>
      </x:c>
      <x:c r="E851" t="str">
        <x:v>https://www.webonary.org/marubo/gb00faf0f-2868-4c0a-8a27-593d7f060857/</x:v>
      </x:c>
      <x:c r="F851" t="str">
        <x:v>gb693b9b1-2bae-436e-9eed-3cd474760ae9</x:v>
      </x:c>
      <x:c r="G851" s="20" t="n">
        <x:v>46003.93487005787</x:v>
      </x:c>
    </x:row>
    <x:row r="852">
      <x:c r="A852" s="18" t="str">
        <x:v>gênero de música</x:v>
      </x:c>
      <x:c r="B852" s="18" t="str">
        <x:v>wai ikí | vake koka ishõa</x:v>
      </x:c>
      <x:c r="C852" s="19" t="n">
        <x:f>IF(B852="",0,(LEN(B852)-LEN(SUBSTITUTE(B852," | ","")))/3+1)</x:f>
        <x:v>2</x:v>
      </x:c>
      <x:c r="D852" t="str">
        <x:v>g</x:v>
      </x:c>
      <x:c r="E852" t="str">
        <x:v>https://www.webonary.org/marubo/g1920b07d-c4d1-4c2f-bb87-b9e4c4dfd1e0/</x:v>
      </x:c>
      <x:c r="F852" t="str">
        <x:v>g34289dc8-3f69-4159-933a-b0d079c8ff37</x:v>
      </x:c>
      <x:c r="G852" s="20" t="n">
        <x:v>46003.93487005787</x:v>
      </x:c>
    </x:row>
    <x:row r="853">
      <x:c r="A853" s="18" t="str">
        <x:v>genero de música cantada</x:v>
      </x:c>
      <x:c r="B853" s="18" t="str">
        <x:v>saiti</x:v>
      </x:c>
      <x:c r="C853" s="19" t="n">
        <x:f>IF(B853="",0,(LEN(B853)-LEN(SUBSTITUTE(B853," | ","")))/3+1)</x:f>
        <x:v>1</x:v>
      </x:c>
      <x:c r="D853" t="str">
        <x:v>g</x:v>
      </x:c>
      <x:c r="E853" t="str">
        <x:v>https://www.webonary.org/marubo/g0a050535-813b-4ab2-88bd-4940c7a75828/</x:v>
      </x:c>
      <x:c r="F853" t="str">
        <x:v>ged38c7a6-217d-471c-b057-f69bcdea0827</x:v>
      </x:c>
      <x:c r="G853" s="20" t="n">
        <x:v>46003.93487005787</x:v>
      </x:c>
    </x:row>
    <x:row r="854">
      <x:c r="A854" s="18" t="str">
        <x:v>gênero de música para chamar espíritos</x:v>
      </x:c>
      <x:c r="B854" s="18" t="str">
        <x:v>ini ikí</x:v>
      </x:c>
      <x:c r="C854" s="19" t="n">
        <x:f>IF(B854="",0,(LEN(B854)-LEN(SUBSTITUTE(B854," | ","")))/3+1)</x:f>
        <x:v>1</x:v>
      </x:c>
      <x:c r="D854" t="str">
        <x:v>g</x:v>
      </x:c>
      <x:c r="E854" t="str">
        <x:v>https://www.webonary.org/marubo/g56ec7b0b-e1ad-4bf7-a5e0-b589a6f4e4f4/</x:v>
      </x:c>
      <x:c r="F854" t="str">
        <x:v>g3b1b1609-fcfc-4e2f-ad74-15073f054396</x:v>
      </x:c>
      <x:c r="G854" s="20" t="n">
        <x:v>46003.93487005787</x:v>
      </x:c>
    </x:row>
    <x:row r="855">
      <x:c r="A855" s="18" t="str">
        <x:v>gengibre</x:v>
      </x:c>
      <x:c r="B855" s="18" t="str">
        <x:v>võkíchi</x:v>
      </x:c>
      <x:c r="C855" s="19" t="n">
        <x:f>IF(B855="",0,(LEN(B855)-LEN(SUBSTITUTE(B855," | ","")))/3+1)</x:f>
        <x:v>1</x:v>
      </x:c>
      <x:c r="D855" t="str">
        <x:v>g</x:v>
      </x:c>
      <x:c r="E855" t="str">
        <x:v>https://www.webonary.org/marubo/g0b2b3ffa-958a-4521-a5b4-026cc50599e9/</x:v>
      </x:c>
      <x:c r="F855" t="str">
        <x:v>g23c0c452-2711-4aeb-acce-160b5a7a2fd5</x:v>
      </x:c>
      <x:c r="G855" s="20" t="n">
        <x:v>46003.93487005787</x:v>
      </x:c>
    </x:row>
    <x:row r="856">
      <x:c r="A856" s="18" t="str">
        <x:v>genipapo</x:v>
      </x:c>
      <x:c r="B856" s="18" t="str">
        <x:v>nane | 1</x:v>
      </x:c>
      <x:c r="C856" s="19" t="n">
        <x:f>IF(B856="",0,(LEN(B856)-LEN(SUBSTITUTE(B856," | ","")))/3+1)</x:f>
        <x:v>2</x:v>
      </x:c>
      <x:c r="D856" t="str">
        <x:v>g</x:v>
      </x:c>
      <x:c r="E856" t="str">
        <x:v>https://www.webonary.org/marubo/g40c7c854-4209-4afc-9754-d5371446d667/</x:v>
      </x:c>
      <x:c r="F856" t="str">
        <x:v>gcc33738e-1533-4a96-a23c-10969bbad593</x:v>
      </x:c>
      <x:c r="G856" s="20" t="n">
        <x:v>46003.934876886575</x:v>
      </x:c>
    </x:row>
    <x:row r="857">
      <x:c r="A857" s="18" t="str">
        <x:v>gilete</x:v>
      </x:c>
      <x:c r="B857" s="18" t="str">
        <x:v>keni weshati | keni vechpiti</x:v>
      </x:c>
      <x:c r="C857" s="19" t="n">
        <x:f>IF(B857="",0,(LEN(B857)-LEN(SUBSTITUTE(B857," | ","")))/3+1)</x:f>
        <x:v>2</x:v>
      </x:c>
      <x:c r="D857" t="str">
        <x:v>g</x:v>
      </x:c>
      <x:c r="E857" t="str">
        <x:v>https://www.webonary.org/marubo/g768b8391-8a23-4055-b1c0-42aa64e5aa4c/</x:v>
      </x:c>
      <x:c r="F857" t="str">
        <x:v>g0bf82a01-6e1f-4f2e-b163-dffe69fe35f3</x:v>
      </x:c>
      <x:c r="G857" s="20" t="n">
        <x:v>46003.934876886575</x:v>
      </x:c>
    </x:row>
    <x:row r="858">
      <x:c r="A858" s="18" t="str">
        <x:v>girar or virar</x:v>
      </x:c>
      <x:c r="B858" s="18" t="str">
        <x:v>sĩki ikí</x:v>
      </x:c>
      <x:c r="C858" s="19" t="n">
        <x:f>IF(B858="",0,(LEN(B858)-LEN(SUBSTITUTE(B858," | ","")))/3+1)</x:f>
        <x:v>1</x:v>
      </x:c>
      <x:c r="D858" t="str">
        <x:v>g</x:v>
      </x:c>
      <x:c r="E858" t="str">
        <x:v>https://www.webonary.org/marubo/ge0364f9f-d287-475d-85d0-cd624e91ce14/</x:v>
      </x:c>
      <x:c r="F858" t="str">
        <x:v>gc7a8f980-4112-41ce-80ac-9f36ea15e68e</x:v>
      </x:c>
      <x:c r="G858" s="20" t="n">
        <x:v>46003.934876886575</x:v>
      </x:c>
    </x:row>
    <x:row r="859">
      <x:c r="A859" s="18" t="str">
        <x:v>goiaba</x:v>
      </x:c>
      <x:c r="B859" s="18" t="str">
        <x:v>yõká</x:v>
      </x:c>
      <x:c r="C859" s="19" t="n">
        <x:f>IF(B859="",0,(LEN(B859)-LEN(SUBSTITUTE(B859," | ","")))/3+1)</x:f>
        <x:v>1</x:v>
      </x:c>
      <x:c r="D859" t="str">
        <x:v>g</x:v>
      </x:c>
      <x:c r="E859" t="str">
        <x:v>https://www.webonary.org/marubo/gb68924c1-e938-4ef6-8e86-715f1de41c3d/</x:v>
      </x:c>
      <x:c r="F859" t="str">
        <x:v>gcff24dcd-e7f1-48a7-b21b-7e596eaa122c</x:v>
      </x:c>
      <x:c r="G859" s="20" t="n">
        <x:v>46003.934876886575</x:v>
      </x:c>
    </x:row>
    <x:row r="860">
      <x:c r="A860" s="18" t="str">
        <x:v>goma</x:v>
      </x:c>
      <x:c r="B860" s="18" t="str">
        <x:v>atsa temi</x:v>
      </x:c>
      <x:c r="C860" s="19" t="n">
        <x:f>IF(B860="",0,(LEN(B860)-LEN(SUBSTITUTE(B860," | ","")))/3+1)</x:f>
        <x:v>1</x:v>
      </x:c>
      <x:c r="D860" t="str">
        <x:v>g</x:v>
      </x:c>
      <x:c r="E860" t="str">
        <x:v>https://www.webonary.org/marubo/gd54e2674-1384-4338-80f7-d0ce944ce1b8/</x:v>
      </x:c>
      <x:c r="F860" t="str">
        <x:v>g6c7e5cb5-783c-4c86-9d55-eef571f4435e</x:v>
      </x:c>
      <x:c r="G860" s="20" t="n">
        <x:v>46003.934876886575</x:v>
      </x:c>
    </x:row>
    <x:row r="861">
      <x:c r="A861" s="18" t="str">
        <x:v>gordo</x:v>
      </x:c>
      <x:c r="B861" s="18" t="str">
        <x:v>chaoka</x:v>
      </x:c>
      <x:c r="C861" s="19" t="n">
        <x:f>IF(B861="",0,(LEN(B861)-LEN(SUBSTITUTE(B861," | ","")))/3+1)</x:f>
        <x:v>1</x:v>
      </x:c>
      <x:c r="D861" t="str">
        <x:v>g</x:v>
      </x:c>
      <x:c r="E861" t="str">
        <x:v>https://www.webonary.org/marubo/gd16b01c7-33d8-4a28-b1df-02583c941d21/</x:v>
      </x:c>
      <x:c r="F861" t="str">
        <x:v>g13d49a0a-2221-49bb-befe-aacdec17c108</x:v>
      </x:c>
      <x:c r="G861" s="20" t="n">
        <x:v>46003.934876886575</x:v>
      </x:c>
    </x:row>
    <x:row r="862">
      <x:c r="A862" s="18" t="str">
        <x:v>gordura</x:v>
      </x:c>
      <x:c r="B862" s="18" t="str">
        <x:v>sheni</x:v>
      </x:c>
      <x:c r="C862" s="19" t="n">
        <x:f>IF(B862="",0,(LEN(B862)-LEN(SUBSTITUTE(B862," | ","")))/3+1)</x:f>
        <x:v>1</x:v>
      </x:c>
      <x:c r="D862" t="str">
        <x:v>g</x:v>
      </x:c>
      <x:c r="E862" t="str">
        <x:v>https://www.webonary.org/marubo/gb6a67942-7008-4688-afe9-4d39fe321e60/</x:v>
      </x:c>
      <x:c r="F862" t="str">
        <x:v>gb580b465-e095-4cc8-957a-c499d0a1fb43</x:v>
      </x:c>
      <x:c r="G862" s="20" t="n">
        <x:v>46003.934876886575</x:v>
      </x:c>
    </x:row>
    <x:row r="863">
      <x:c r="A863" s="18" t="str">
        <x:v>gostar</x:v>
      </x:c>
      <x:c r="B863" s="18" t="str">
        <x:v>rayáka</x:v>
      </x:c>
      <x:c r="C863" s="19" t="n">
        <x:f>IF(B863="",0,(LEN(B863)-LEN(SUBSTITUTE(B863," | ","")))/3+1)</x:f>
        <x:v>1</x:v>
      </x:c>
      <x:c r="D863" t="str">
        <x:v>g</x:v>
      </x:c>
      <x:c r="E863" t="str">
        <x:v>https://www.webonary.org/marubo/gac0772cb-12de-40eb-a8e7-2c3da038555b/</x:v>
      </x:c>
      <x:c r="F863" t="str">
        <x:v>ge0dc9044-7f52-48e2-8785-b4efa06173ba</x:v>
      </x:c>
      <x:c r="G863" s="20" t="n">
        <x:v>46003.934876886575</x:v>
      </x:c>
    </x:row>
    <x:row r="864">
      <x:c r="A864" s="18" t="str">
        <x:v>gracejar</x:v>
      </x:c>
      <x:c r="B864" s="18" t="str">
        <x:v>vechtia</x:v>
      </x:c>
      <x:c r="C864" s="19" t="n">
        <x:f>IF(B864="",0,(LEN(B864)-LEN(SUBSTITUTE(B864," | ","")))/3+1)</x:f>
        <x:v>1</x:v>
      </x:c>
      <x:c r="D864" t="str">
        <x:v>g</x:v>
      </x:c>
      <x:c r="E864" t="str">
        <x:v>https://www.webonary.org/marubo/g438910dd-fc49-46f6-9d8a-dd3588235165/</x:v>
      </x:c>
      <x:c r="F864" t="str">
        <x:v>g40456a6f-30a6-4f03-85db-6d24554b7f08</x:v>
      </x:c>
      <x:c r="G864" s="20" t="n">
        <x:v>46003.934876886575</x:v>
      </x:c>
    </x:row>
    <x:row r="865">
      <x:c r="A865" s="18" t="str">
        <x:v>grama</x:v>
      </x:c>
      <x:c r="B865" s="18" t="str">
        <x:v>wasi</x:v>
      </x:c>
      <x:c r="C865" s="19" t="n">
        <x:f>IF(B865="",0,(LEN(B865)-LEN(SUBSTITUTE(B865," | ","")))/3+1)</x:f>
        <x:v>1</x:v>
      </x:c>
      <x:c r="D865" t="str">
        <x:v>g</x:v>
      </x:c>
      <x:c r="E865" t="str">
        <x:v>https://www.webonary.org/marubo/gaf3c6f21-1f16-42e4-8ba7-26c66d6f5ab8/</x:v>
      </x:c>
      <x:c r="F865" t="str">
        <x:v>gf872be1a-35ef-4328-8ad7-04489f3b66c5</x:v>
      </x:c>
      <x:c r="G865" s="20" t="n">
        <x:v>46003.934876886575</x:v>
      </x:c>
    </x:row>
    <x:row r="866">
      <x:c r="A866" s="18" t="str">
        <x:v>grande</x:v>
      </x:c>
      <x:c r="B866" s="18" t="str">
        <x:v>veneka | anika</x:v>
      </x:c>
      <x:c r="C866" s="19" t="n">
        <x:f>IF(B866="",0,(LEN(B866)-LEN(SUBSTITUTE(B866," | ","")))/3+1)</x:f>
        <x:v>2</x:v>
      </x:c>
      <x:c r="D866" t="str">
        <x:v>g</x:v>
      </x:c>
      <x:c r="E866" t="str">
        <x:v>https://www.webonary.org/marubo/g6e511d79-d33d-4dd9-85ad-5e56e83150a8/</x:v>
      </x:c>
      <x:c r="F866" t="str">
        <x:v>g5905d594-81df-43cc-811d-c2303733449b</x:v>
      </x:c>
      <x:c r="G866" s="20" t="n">
        <x:v>46003.934876886575</x:v>
      </x:c>
    </x:row>
    <x:row r="867">
      <x:c r="A867" s="18" t="str">
        <x:v>grande tatu de nariz comprido</x:v>
      </x:c>
      <x:c r="B867" s="18" t="str">
        <x:v>yawichi awã</x:v>
      </x:c>
      <x:c r="C867" s="19" t="n">
        <x:f>IF(B867="",0,(LEN(B867)-LEN(SUBSTITUTE(B867," | ","")))/3+1)</x:f>
        <x:v>1</x:v>
      </x:c>
      <x:c r="D867" t="str">
        <x:v>g</x:v>
      </x:c>
      <x:c r="E867" t="str">
        <x:v>https://www.webonary.org/marubo/g9d57db33-2aee-4746-b981-a82557f5604d/</x:v>
      </x:c>
      <x:c r="F867" t="str">
        <x:v>gac6eef55-aeb7-480b-8d4e-8c78c06e0f95</x:v>
      </x:c>
      <x:c r="G867" s="20" t="n">
        <x:v>46003.934876886575</x:v>
      </x:c>
    </x:row>
    <x:row r="868">
      <x:c r="A868" s="18" t="str">
        <x:v>granuloso</x:v>
      </x:c>
      <x:c r="B868" s="18" t="str">
        <x:v>yareka</x:v>
      </x:c>
      <x:c r="C868" s="19" t="n">
        <x:f>IF(B868="",0,(LEN(B868)-LEN(SUBSTITUTE(B868," | ","")))/3+1)</x:f>
        <x:v>1</x:v>
      </x:c>
      <x:c r="D868" t="str">
        <x:v>g</x:v>
      </x:c>
      <x:c r="E868" t="str">
        <x:v>https://www.webonary.org/marubo/g4322e9cc-a22a-4c1b-a59c-63eddcf592c6/</x:v>
      </x:c>
      <x:c r="F868" t="str">
        <x:v>g16e4914a-c0e6-45e2-9891-40ff71a2f409</x:v>
      </x:c>
      <x:c r="G868" s="20" t="n">
        <x:v>46003.934876886575</x:v>
      </x:c>
    </x:row>
    <x:row r="869">
      <x:c r="A869" s="18" t="str">
        <x:v>graviola</x:v>
      </x:c>
      <x:c r="B869" s="18" t="str">
        <x:v>shai</x:v>
      </x:c>
      <x:c r="C869" s="19" t="n">
        <x:f>IF(B869="",0,(LEN(B869)-LEN(SUBSTITUTE(B869," | ","")))/3+1)</x:f>
        <x:v>1</x:v>
      </x:c>
      <x:c r="D869" t="str">
        <x:v>g</x:v>
      </x:c>
      <x:c r="E869" t="str">
        <x:v>https://www.webonary.org/marubo/gc8d41215-1463-4a27-b29f-bd27ff84182f/</x:v>
      </x:c>
      <x:c r="F869" t="str">
        <x:v>gc1a5bec1-9580-401b-ac6d-0bdf100e5133</x:v>
      </x:c>
      <x:c r="G869" s="20" t="n">
        <x:v>46003.934876886575</x:v>
      </x:c>
    </x:row>
    <x:row r="870">
      <x:c r="A870" s="18" t="str">
        <x:v>grilo</x:v>
      </x:c>
      <x:c r="B870" s="18" t="str">
        <x:v>txãpo</x:v>
      </x:c>
      <x:c r="C870" s="19" t="n">
        <x:f>IF(B870="",0,(LEN(B870)-LEN(SUBSTITUTE(B870," | ","")))/3+1)</x:f>
        <x:v>1</x:v>
      </x:c>
      <x:c r="D870" t="str">
        <x:v>g</x:v>
      </x:c>
      <x:c r="E870" t="str">
        <x:v>https://www.webonary.org/marubo/ga6fac48c-01e5-449f-a9b3-7ec29b7bc65b/</x:v>
      </x:c>
      <x:c r="F870" t="str">
        <x:v>g97fc9910-f238-4153-b974-db8c3bd90dfb</x:v>
      </x:c>
      <x:c r="G870" s="20" t="n">
        <x:v>46003.934876886575</x:v>
      </x:c>
    </x:row>
    <x:row r="871">
      <x:c r="A871" s="18" t="str">
        <x:v>gritar</x:v>
      </x:c>
      <x:c r="B871" s="18" t="str">
        <x:v>txakar ikí</x:v>
      </x:c>
      <x:c r="C871" s="19" t="n">
        <x:f>IF(B871="",0,(LEN(B871)-LEN(SUBSTITUTE(B871," | ","")))/3+1)</x:f>
        <x:v>1</x:v>
      </x:c>
      <x:c r="D871" t="str">
        <x:v>g</x:v>
      </x:c>
      <x:c r="E871" t="str">
        <x:v>https://www.webonary.org/marubo/g540ce367-df4a-4e96-b66a-44eaacf7a07b/</x:v>
      </x:c>
      <x:c r="F871" t="str">
        <x:v>g3ba43551-9b1d-4544-880c-0d7a2c11bf40</x:v>
      </x:c>
      <x:c r="G871" s="20" t="n">
        <x:v>46003.934876886575</x:v>
      </x:c>
    </x:row>
    <x:row r="872">
      <x:c r="A872" s="18" t="str">
        <x:v>grosso</x:v>
      </x:c>
      <x:c r="B872" s="18" t="str">
        <x:v>semeka | txõtéshka | kevika</x:v>
      </x:c>
      <x:c r="C872" s="19" t="n">
        <x:f>IF(B872="",0,(LEN(B872)-LEN(SUBSTITUTE(B872," | ","")))/3+1)</x:f>
        <x:v>3</x:v>
      </x:c>
      <x:c r="D872" t="str">
        <x:v>g</x:v>
      </x:c>
      <x:c r="E872" t="str">
        <x:v>https://www.webonary.org/marubo/g6ab9662e-a13f-4a1a-83d9-571acb6d43da/</x:v>
      </x:c>
      <x:c r="F872" t="str">
        <x:v>g1a1471f4-2507-4590-b9a3-e368f18d3fcd</x:v>
      </x:c>
      <x:c r="G872" s="20" t="n">
        <x:v>46003.934876886575</x:v>
      </x:c>
    </x:row>
    <x:row r="873">
      <x:c r="A873" s="18" t="str">
        <x:v>grudento</x:v>
      </x:c>
      <x:c r="B873" s="18" t="str">
        <x:v>txõteka</x:v>
      </x:c>
      <x:c r="C873" s="19" t="n">
        <x:f>IF(B873="",0,(LEN(B873)-LEN(SUBSTITUTE(B873," | ","")))/3+1)</x:f>
        <x:v>1</x:v>
      </x:c>
      <x:c r="D873" t="str">
        <x:v>g</x:v>
      </x:c>
      <x:c r="E873" t="str">
        <x:v>https://www.webonary.org/marubo/g8c48a21f-4107-4141-b85d-4e08c5504746/</x:v>
      </x:c>
      <x:c r="F873" t="str">
        <x:v>g9164c1b4-414b-4c90-ba74-b0ec4c8eab88</x:v>
      </x:c>
      <x:c r="G873" s="20" t="n">
        <x:v>46003.934876886575</x:v>
      </x:c>
    </x:row>
    <x:row r="874">
      <x:c r="A874" s="18" t="str">
        <x:v>guardar</x:v>
      </x:c>
      <x:c r="B874" s="18" t="str">
        <x:v>mekea</x:v>
      </x:c>
      <x:c r="C874" s="19" t="n">
        <x:f>IF(B874="",0,(LEN(B874)-LEN(SUBSTITUTE(B874," | ","")))/3+1)</x:f>
        <x:v>1</x:v>
      </x:c>
      <x:c r="D874" t="str">
        <x:v>g</x:v>
      </x:c>
      <x:c r="E874" t="str">
        <x:v>https://www.webonary.org/marubo/g61eb2767-2120-4e3e-8c3e-acd888af8b9c/</x:v>
      </x:c>
      <x:c r="F874" t="str">
        <x:v>gb83316a9-ab34-439a-95cc-f63756c29a1e</x:v>
      </x:c>
      <x:c r="G874" s="20" t="n">
        <x:v>46003.934876886575</x:v>
      </x:c>
    </x:row>
    <x:row r="875">
      <x:c r="A875" s="18" t="str">
        <x:v>guariba</x:v>
      </x:c>
      <x:c r="B875" s="18" t="str">
        <x:v>roo | 1</x:v>
      </x:c>
      <x:c r="C875" s="19" t="n">
        <x:f>IF(B875="",0,(LEN(B875)-LEN(SUBSTITUTE(B875," | ","")))/3+1)</x:f>
        <x:v>2</x:v>
      </x:c>
      <x:c r="D875" t="str">
        <x:v>g</x:v>
      </x:c>
      <x:c r="E875" t="str">
        <x:v>https://www.webonary.org/marubo/gaae9bce1-dec3-4c06-a7ac-81dcc1fa66d0/</x:v>
      </x:c>
      <x:c r="F875" t="str">
        <x:v>g26ebda77-3717-43cb-9d7d-2ce12519b367</x:v>
      </x:c>
      <x:c r="G875" s="20" t="n">
        <x:v>46003.934876886575</x:v>
      </x:c>
    </x:row>
    <x:row r="876">
      <x:c r="A876" s="18" t="str">
        <x:v>HAB</x:v>
      </x:c>
      <x:c r="B876" s="18" t="str">
        <x:v>-mis | -mtsãwã</x:v>
      </x:c>
      <x:c r="C876" s="19" t="n">
        <x:f>IF(B876="",0,(LEN(B876)-LEN(SUBSTITUTE(B876," | ","")))/3+1)</x:f>
        <x:v>2</x:v>
      </x:c>
      <x:c r="D876" t="str">
        <x:v>h</x:v>
      </x:c>
      <x:c r="E876" t="str">
        <x:v>https://www.webonary.org/marubo/ge51fccfd-d476-4cc4-987c-4e04930f0666/</x:v>
      </x:c>
      <x:c r="F876" t="str">
        <x:v>gc02e8c12-d547-4e00-949f-e124ce92bc67</x:v>
      </x:c>
      <x:c r="G876" s="20" t="n">
        <x:v>46003.934876886575</x:v>
      </x:c>
    </x:row>
    <x:row r="877">
      <x:c r="A877" s="18" t="str">
        <x:v>haste</x:v>
      </x:c>
      <x:c r="B877" s="18" t="str">
        <x:v>txĩti</x:v>
      </x:c>
      <x:c r="C877" s="19" t="n">
        <x:f>IF(B877="",0,(LEN(B877)-LEN(SUBSTITUTE(B877," | ","")))/3+1)</x:f>
        <x:v>1</x:v>
      </x:c>
      <x:c r="D877" t="str">
        <x:v>h</x:v>
      </x:c>
      <x:c r="E877" t="str">
        <x:v>https://www.webonary.org/marubo/ga8410985-2936-45ef-9c13-8c6274a959b7/</x:v>
      </x:c>
      <x:c r="F877" t="str">
        <x:v>g4b6aa602-2040-4cbe-957e-5451796626c5</x:v>
      </x:c>
      <x:c r="G877" s="20" t="n">
        <x:v>46003.934876886575</x:v>
      </x:c>
    </x:row>
    <x:row r="878">
      <x:c r="A878" s="18" t="str">
        <x:v>herécori</x:v>
      </x:c>
      <x:c r="B878" s="18" t="str">
        <x:v>piti | 2</x:v>
      </x:c>
      <x:c r="C878" s="19" t="n">
        <x:f>IF(B878="",0,(LEN(B878)-LEN(SUBSTITUTE(B878," | ","")))/3+1)</x:f>
        <x:v>2</x:v>
      </x:c>
      <x:c r="D878" t="str">
        <x:v>h</x:v>
      </x:c>
      <x:c r="E878" t="str">
        <x:v>https://www.webonary.org/marubo/gb51e5443-4bbc-4534-bd35-3355c6876540/</x:v>
      </x:c>
      <x:c r="F878" t="str">
        <x:v>gded29870-f75a-4225-9ab2-54c1b838e633</x:v>
      </x:c>
      <x:c r="G878" s="20" t="n">
        <x:v>46003.934876886575</x:v>
      </x:c>
    </x:row>
    <x:row r="879">
      <x:c r="A879" s="18" t="str">
        <x:v>HIP</x:v>
      </x:c>
      <x:c r="B879" s="18" t="str">
        <x:v>-kenkẽa | -kẽa</x:v>
      </x:c>
      <x:c r="C879" s="19" t="n">
        <x:f>IF(B879="",0,(LEN(B879)-LEN(SUBSTITUTE(B879," | ","")))/3+1)</x:f>
        <x:v>2</x:v>
      </x:c>
      <x:c r="D879" t="str">
        <x:v>h</x:v>
      </x:c>
      <x:c r="E879" t="str">
        <x:v>https://www.webonary.org/marubo/g290e4e70-2939-4bdc-9410-73ee313aaf34/</x:v>
      </x:c>
      <x:c r="F879" t="str">
        <x:v>g9411e94a-63ca-4c10-9918-a6eddf0e060e</x:v>
      </x:c>
      <x:c r="G879" s="20" t="n">
        <x:v>46003.934876886575</x:v>
      </x:c>
    </x:row>
    <x:row r="880">
      <x:c r="A880" s="18" t="str">
        <x:v>HOD</x:v>
      </x:c>
      <x:c r="B880" s="18" t="str">
        <x:v>-ai</x:v>
      </x:c>
      <x:c r="C880" s="19" t="n">
        <x:f>IF(B880="",0,(LEN(B880)-LEN(SUBSTITUTE(B880," | ","")))/3+1)</x:f>
        <x:v>1</x:v>
      </x:c>
      <x:c r="D880" t="str">
        <x:v>h</x:v>
      </x:c>
      <x:c r="E880" t="str">
        <x:v>https://www.webonary.org/marubo/g57665998-3506-4983-b043-a7c91efb3499/</x:v>
      </x:c>
      <x:c r="F880" t="str">
        <x:v>g9fe82443-1560-4189-8a27-d00ae1e78e24</x:v>
      </x:c>
      <x:c r="G880" s="20" t="n">
        <x:v>46003.934876886575</x:v>
      </x:c>
    </x:row>
    <x:row r="881">
      <x:c r="A881" s="18" t="str">
        <x:v>hoje</x:v>
      </x:c>
      <x:c r="B881" s="18" t="str">
        <x:v>rama</x:v>
      </x:c>
      <x:c r="C881" s="19" t="n">
        <x:f>IF(B881="",0,(LEN(B881)-LEN(SUBSTITUTE(B881," | ","")))/3+1)</x:f>
        <x:v>1</x:v>
      </x:c>
      <x:c r="D881" t="str">
        <x:v>h</x:v>
      </x:c>
      <x:c r="E881" t="str">
        <x:v>https://www.webonary.org/marubo/g67d05de2-000b-46b8-8b80-b608f45d4efc/</x:v>
      </x:c>
      <x:c r="F881" t="str">
        <x:v>g5346777c-118b-4e57-98ed-7d8dfd2a1ae0</x:v>
      </x:c>
      <x:c r="G881" s="20" t="n">
        <x:v>46003.934876886575</x:v>
      </x:c>
    </x:row>
    <x:row r="882">
      <x:c r="A882" s="18" t="str">
        <x:v>homem</x:v>
      </x:c>
      <x:c r="B882" s="18" t="str">
        <x:v>vene</x:v>
      </x:c>
      <x:c r="C882" s="19" t="n">
        <x:f>IF(B882="",0,(LEN(B882)-LEN(SUBSTITUTE(B882," | ","")))/3+1)</x:f>
        <x:v>1</x:v>
      </x:c>
      <x:c r="D882" t="str">
        <x:v>h</x:v>
      </x:c>
      <x:c r="E882" t="str">
        <x:v>https://www.webonary.org/marubo/gf3072b38-ec78-4a76-bc18-47b720693afb/</x:v>
      </x:c>
      <x:c r="F882" t="str">
        <x:v>g078e96c6-9d74-40a7-8ef6-bba922bb7592</x:v>
      </x:c>
      <x:c r="G882" s="20" t="n">
        <x:v>46003.934876886575</x:v>
      </x:c>
    </x:row>
    <x:row r="883">
      <x:c r="A883" s="18" t="str">
        <x:v>HON</x:v>
      </x:c>
      <x:c r="B883" s="18" t="str">
        <x:v>-txo | 2</x:v>
      </x:c>
      <x:c r="C883" s="19" t="n">
        <x:f>IF(B883="",0,(LEN(B883)-LEN(SUBSTITUTE(B883," | ","")))/3+1)</x:f>
        <x:v>2</x:v>
      </x:c>
      <x:c r="D883" t="str">
        <x:v>h</x:v>
      </x:c>
      <x:c r="E883" t="str">
        <x:v>https://www.webonary.org/marubo/gfe64a38c-31ea-41f1-b73f-941f68eaed5f/</x:v>
      </x:c>
      <x:c r="F883" t="str">
        <x:v>g629bfe1d-6da2-4916-a0a2-afacefa44a76</x:v>
      </x:c>
      <x:c r="G883" s="20" t="n">
        <x:v>46003.934876886575</x:v>
      </x:c>
    </x:row>
    <x:row r="884">
      <x:c r="A884" s="18" t="str">
        <x:v>honorífico</x:v>
      </x:c>
      <x:c r="B884" s="18" t="str">
        <x:v>-txo | 1</x:v>
      </x:c>
      <x:c r="C884" s="19" t="n">
        <x:f>IF(B884="",0,(LEN(B884)-LEN(SUBSTITUTE(B884," | ","")))/3+1)</x:f>
        <x:v>2</x:v>
      </x:c>
      <x:c r="D884" t="str">
        <x:v>h</x:v>
      </x:c>
      <x:c r="E884" t="str">
        <x:v>https://www.webonary.org/marubo/g57bd0563-8d13-4e24-b59c-aebcd9cdd46c/</x:v>
      </x:c>
      <x:c r="F884" t="str">
        <x:v>g8c3845ac-4396-4fde-b8e1-d2215ddc3328</x:v>
      </x:c>
      <x:c r="G884" s="20" t="n">
        <x:v>46003.934876886575</x:v>
      </x:c>
    </x:row>
    <x:row r="885">
      <x:c r="A885" s="18" t="str">
        <x:v>igarapé</x:v>
      </x:c>
      <x:c r="B885" s="18" t="str">
        <x:v>teã</x:v>
      </x:c>
      <x:c r="C885" s="19" t="n">
        <x:f>IF(B885="",0,(LEN(B885)-LEN(SUBSTITUTE(B885," | ","")))/3+1)</x:f>
        <x:v>1</x:v>
      </x:c>
      <x:c r="D885" t="str">
        <x:v>i</x:v>
      </x:c>
      <x:c r="E885" t="str">
        <x:v>https://www.webonary.org/marubo/g861d2952-f737-4437-91f5-2e17670d8228/</x:v>
      </x:c>
      <x:c r="F885" t="str">
        <x:v>g9b8f96fa-3ad5-4756-a086-eb0a3213f38d</x:v>
      </x:c>
      <x:c r="G885" s="20" t="n">
        <x:v>46003.934876886575</x:v>
      </x:c>
    </x:row>
    <x:row r="886">
      <x:c r="A886" s="18" t="str">
        <x:v>iguana</x:v>
      </x:c>
      <x:c r="B886" s="18" t="str">
        <x:v>sheké</x:v>
      </x:c>
      <x:c r="C886" s="19" t="n">
        <x:f>IF(B886="",0,(LEN(B886)-LEN(SUBSTITUTE(B886," | ","")))/3+1)</x:f>
        <x:v>1</x:v>
      </x:c>
      <x:c r="D886" t="str">
        <x:v>i</x:v>
      </x:c>
      <x:c r="E886" t="str">
        <x:v>https://www.webonary.org/marubo/g43645b4b-e166-48bb-8453-21881fed454b/</x:v>
      </x:c>
      <x:c r="F886" t="str">
        <x:v>g7e56bcd6-044c-4e28-955a-ea0256d38bac</x:v>
      </x:c>
      <x:c r="G886" s="20" t="n">
        <x:v>46003.934876886575</x:v>
      </x:c>
    </x:row>
    <x:row r="887">
      <x:c r="A887" s="18" t="str">
        <x:v>imagem</x:v>
      </x:c>
      <x:c r="B887" s="18" t="str">
        <x:v>yochĩ</x:v>
      </x:c>
      <x:c r="C887" s="19" t="n">
        <x:f>IF(B887="",0,(LEN(B887)-LEN(SUBSTITUTE(B887," | ","")))/3+1)</x:f>
        <x:v>1</x:v>
      </x:c>
      <x:c r="D887" t="str">
        <x:v>i</x:v>
      </x:c>
      <x:c r="E887" t="str">
        <x:v>https://www.webonary.org/marubo/g3084a2cd-2015-4ad4-955e-e2b91d1b2ba9/</x:v>
      </x:c>
      <x:c r="F887" t="str">
        <x:v>g94f85641-115e-49b8-890f-d66b0dc3a6d4</x:v>
      </x:c>
      <x:c r="G887" s="20" t="n">
        <x:v>46003.934876886575</x:v>
      </x:c>
    </x:row>
    <x:row r="888">
      <x:c r="A888" s="18" t="str">
        <x:v>imitar</x:v>
      </x:c>
      <x:c r="B888" s="18" t="str">
        <x:v>naroa</x:v>
      </x:c>
      <x:c r="C888" s="19" t="n">
        <x:f>IF(B888="",0,(LEN(B888)-LEN(SUBSTITUTE(B888," | ","")))/3+1)</x:f>
        <x:v>1</x:v>
      </x:c>
      <x:c r="D888" t="str">
        <x:v>i</x:v>
      </x:c>
      <x:c r="E888" t="str">
        <x:v>https://www.webonary.org/marubo/g0138cfa2-7b27-406d-9852-6b8cb175fe28/</x:v>
      </x:c>
      <x:c r="F888" t="str">
        <x:v>g3191ecf9-2d2d-436e-8624-f83eb2fd2f71</x:v>
      </x:c>
      <x:c r="G888" s="20" t="n">
        <x:v>46003.934876886575</x:v>
      </x:c>
    </x:row>
    <x:row r="889">
      <x:c r="A889" s="18" t="str">
        <x:v>IMP</x:v>
      </x:c>
      <x:c r="B889" s="18" t="str">
        <x:v>-tso</x:v>
      </x:c>
      <x:c r="C889" s="19" t="n">
        <x:f>IF(B889="",0,(LEN(B889)-LEN(SUBSTITUTE(B889," | ","")))/3+1)</x:f>
        <x:v>1</x:v>
      </x:c>
      <x:c r="D889" t="str">
        <x:v>i</x:v>
      </x:c>
      <x:c r="E889" t="str">
        <x:v>https://www.webonary.org/marubo/gb5b2d647-4b79-48b8-a406-72e6edb7f919/</x:v>
      </x:c>
      <x:c r="F889" t="str">
        <x:v>ga5f26c6e-00f6-4feb-bb66-0017f43b7392</x:v>
      </x:c>
      <x:c r="G889" s="20" t="n">
        <x:v>46003.934876886575</x:v>
      </x:c>
    </x:row>
    <x:row r="890">
      <x:c r="A890" s="18" t="str">
        <x:v>IMPOS</x:v>
      </x:c>
      <x:c r="B890" s="18" t="str">
        <x:v>-tĩpa</x:v>
      </x:c>
      <x:c r="C890" s="19" t="n">
        <x:f>IF(B890="",0,(LEN(B890)-LEN(SUBSTITUTE(B890," | ","")))/3+1)</x:f>
        <x:v>1</x:v>
      </x:c>
      <x:c r="D890" t="str">
        <x:v>i</x:v>
      </x:c>
      <x:c r="E890" t="str">
        <x:v>https://www.webonary.org/marubo/g2e4d2075-008f-44ad-b6ee-99ed01fe2f1d/</x:v>
      </x:c>
      <x:c r="F890" t="str">
        <x:v>g15207459-1d35-4f61-9b09-696eaec43136</x:v>
      </x:c>
      <x:c r="G890" s="20" t="n">
        <x:v>46003.934876886575</x:v>
      </x:c>
    </x:row>
    <x:row r="891">
      <x:c r="A891" s="18" t="str">
        <x:v>inambu</x:v>
      </x:c>
      <x:c r="B891" s="18" t="str">
        <x:v>koma | 1</x:v>
      </x:c>
      <x:c r="C891" s="19" t="n">
        <x:f>IF(B891="",0,(LEN(B891)-LEN(SUBSTITUTE(B891," | ","")))/3+1)</x:f>
        <x:v>2</x:v>
      </x:c>
      <x:c r="D891" t="str">
        <x:v>i</x:v>
      </x:c>
      <x:c r="E891" t="str">
        <x:v>https://www.webonary.org/marubo/g411e9950-55f5-4c46-918b-c9383f7dd326/</x:v>
      </x:c>
      <x:c r="F891" t="str">
        <x:v>ga0c8f8d4-5af2-4083-abcb-677b4f08121a</x:v>
      </x:c>
      <x:c r="G891" s="20" t="n">
        <x:v>46003.934876886575</x:v>
      </x:c>
    </x:row>
    <x:row r="892">
      <x:c r="A892" s="18" t="str">
        <x:v>incendiar</x:v>
      </x:c>
      <x:c r="B892" s="18" t="str">
        <x:v>ee ikí</x:v>
      </x:c>
      <x:c r="C892" s="19" t="n">
        <x:f>IF(B892="",0,(LEN(B892)-LEN(SUBSTITUTE(B892," | ","")))/3+1)</x:f>
        <x:v>1</x:v>
      </x:c>
      <x:c r="D892" t="str">
        <x:v>i</x:v>
      </x:c>
      <x:c r="E892" t="str">
        <x:v>https://www.webonary.org/marubo/gcd2a0062-f72b-43df-8025-c9d9c6510ccb/</x:v>
      </x:c>
      <x:c r="F892" t="str">
        <x:v>ge36bdc42-9bd6-476b-9458-05b251676062</x:v>
      </x:c>
      <x:c r="G892" s="20" t="n">
        <x:v>46003.934876886575</x:v>
      </x:c>
    </x:row>
    <x:row r="893">
      <x:c r="A893" s="18" t="str">
        <x:v>inchado</x:v>
      </x:c>
      <x:c r="B893" s="18" t="str">
        <x:v>soroka</x:v>
      </x:c>
      <x:c r="C893" s="19" t="n">
        <x:f>IF(B893="",0,(LEN(B893)-LEN(SUBSTITUTE(B893," | ","")))/3+1)</x:f>
        <x:v>1</x:v>
      </x:c>
      <x:c r="D893" t="str">
        <x:v>i</x:v>
      </x:c>
      <x:c r="E893" t="str">
        <x:v>https://www.webonary.org/marubo/gee82a5fa-7e01-4863-978f-c4420e1370a0/</x:v>
      </x:c>
      <x:c r="F893" t="str">
        <x:v>g136c04ac-8219-447c-93c1-b03f7e2ec2b7</x:v>
      </x:c>
      <x:c r="G893" s="20" t="n">
        <x:v>46003.934876886575</x:v>
      </x:c>
    </x:row>
    <x:row r="894">
      <x:c r="A894" s="18" t="str">
        <x:v>inclinado</x:v>
      </x:c>
      <x:c r="B894" s="18" t="str">
        <x:v>keshkã</x:v>
      </x:c>
      <x:c r="C894" s="19" t="n">
        <x:f>IF(B894="",0,(LEN(B894)-LEN(SUBSTITUTE(B894," | ","")))/3+1)</x:f>
        <x:v>1</x:v>
      </x:c>
      <x:c r="D894" t="str">
        <x:v>i</x:v>
      </x:c>
      <x:c r="E894" t="str">
        <x:v>https://www.webonary.org/marubo/gb3fd28ae-21cb-4af0-b1dc-d803106fddb5/</x:v>
      </x:c>
      <x:c r="F894" t="str">
        <x:v>g75ed6479-5b8a-4bb8-a608-7bd9288956f7</x:v>
      </x:c>
      <x:c r="G894" s="20" t="n">
        <x:v>46003.934876886575</x:v>
      </x:c>
    </x:row>
    <x:row r="895">
      <x:c r="A895" s="18" t="str">
        <x:v>indicar</x:v>
      </x:c>
      <x:c r="B895" s="18" t="str">
        <x:v>yoia | 2</x:v>
      </x:c>
      <x:c r="C895" s="19" t="n">
        <x:f>IF(B895="",0,(LEN(B895)-LEN(SUBSTITUTE(B895," | ","")))/3+1)</x:f>
        <x:v>2</x:v>
      </x:c>
      <x:c r="D895" t="str">
        <x:v>i</x:v>
      </x:c>
      <x:c r="E895" t="str">
        <x:v>https://www.webonary.org/marubo/g252c3f38-86a7-47df-bd5a-6d95dc188d1f/</x:v>
      </x:c>
      <x:c r="F895" t="str">
        <x:v>ge6963b89-c352-4f4b-a296-58dd551f02ef</x:v>
      </x:c>
      <x:c r="G895" s="20" t="n">
        <x:v>46003.934876886575</x:v>
      </x:c>
    </x:row>
    <x:row r="896">
      <x:c r="A896" s="18" t="str">
        <x:v>INF</x:v>
      </x:c>
      <x:c r="B896" s="18" t="str">
        <x:v>-ká</x:v>
      </x:c>
      <x:c r="C896" s="19" t="n">
        <x:f>IF(B896="",0,(LEN(B896)-LEN(SUBSTITUTE(B896," | ","")))/3+1)</x:f>
        <x:v>1</x:v>
      </x:c>
      <x:c r="D896" t="str">
        <x:v>i</x:v>
      </x:c>
      <x:c r="E896" t="str">
        <x:v>https://www.webonary.org/marubo/gc2b6cd20-7c76-48de-ae47-d33357b4e969/</x:v>
      </x:c>
      <x:c r="F896" t="str">
        <x:v>g515e664b-2d3b-48c0-a833-6be9e70a7f93</x:v>
      </x:c>
      <x:c r="G896" s="20" t="n">
        <x:v>46003.934876886575</x:v>
      </x:c>
    </x:row>
    <x:row r="897">
      <x:c r="A897" s="18" t="str">
        <x:v>infeccionar</x:v>
      </x:c>
      <x:c r="B897" s="18" t="str">
        <x:v>pochia</x:v>
      </x:c>
      <x:c r="C897" s="19" t="n">
        <x:f>IF(B897="",0,(LEN(B897)-LEN(SUBSTITUTE(B897," | ","")))/3+1)</x:f>
        <x:v>1</x:v>
      </x:c>
      <x:c r="D897" t="str">
        <x:v>i</x:v>
      </x:c>
      <x:c r="E897" t="str">
        <x:v>https://www.webonary.org/marubo/g9505ac5f-6fb9-4e04-8295-5d73fcab7e73/</x:v>
      </x:c>
      <x:c r="F897" t="str">
        <x:v>gbe8382ca-818f-4974-8235-21a5d73e94a0</x:v>
      </x:c>
      <x:c r="G897" s="20" t="n">
        <x:v>46003.934876886575</x:v>
      </x:c>
    </x:row>
    <x:row r="898">
      <x:c r="A898" s="18" t="str">
        <x:v>INFER</x:v>
      </x:c>
      <x:c r="B898" s="18" t="str">
        <x:v>taíse</x:v>
      </x:c>
      <x:c r="C898" s="19" t="n">
        <x:f>IF(B898="",0,(LEN(B898)-LEN(SUBSTITUTE(B898," | ","")))/3+1)</x:f>
        <x:v>1</x:v>
      </x:c>
      <x:c r="D898" t="str">
        <x:v>i</x:v>
      </x:c>
      <x:c r="E898" t="str">
        <x:v>https://www.webonary.org/marubo/gdb8645c8-ff31-49ee-bfea-6bebc5ce39b6/</x:v>
      </x:c>
      <x:c r="F898" t="str">
        <x:v>gf57bbfa1-567b-407b-ab5b-ab5d880998e7</x:v>
      </x:c>
      <x:c r="G898" s="20" t="n">
        <x:v>46003.934876886575</x:v>
      </x:c>
    </x:row>
    <x:row r="899">
      <x:c r="A899" s="18" t="str">
        <x:v>INFPREV</x:v>
      </x:c>
      <x:c r="B899" s="18" t="str">
        <x:v>-tĩ</x:v>
      </x:c>
      <x:c r="C899" s="19" t="n">
        <x:f>IF(B899="",0,(LEN(B899)-LEN(SUBSTITUTE(B899," | ","")))/3+1)</x:f>
        <x:v>1</x:v>
      </x:c>
      <x:c r="D899" t="str">
        <x:v>i</x:v>
      </x:c>
      <x:c r="E899" t="str">
        <x:v>https://www.webonary.org/marubo/gbd2826b4-06ca-45ef-b6c3-f9df76ccd19a/</x:v>
      </x:c>
      <x:c r="F899" t="str">
        <x:v>g4e978bf3-fcab-4342-9c24-f84730f86ee5</x:v>
      </x:c>
      <x:c r="G899" s="20" t="n">
        <x:v>46003.934876886575</x:v>
      </x:c>
    </x:row>
    <x:row r="900">
      <x:c r="A900" s="18" t="str">
        <x:v>ingá</x:v>
      </x:c>
      <x:c r="B900" s="18" t="str">
        <x:v>shenã</x:v>
      </x:c>
      <x:c r="C900" s="19" t="n">
        <x:f>IF(B900="",0,(LEN(B900)-LEN(SUBSTITUTE(B900," | ","")))/3+1)</x:f>
        <x:v>1</x:v>
      </x:c>
      <x:c r="D900" t="str">
        <x:v>i</x:v>
      </x:c>
      <x:c r="E900" t="str">
        <x:v>https://www.webonary.org/marubo/ga85c20fe-f94e-4af0-a34a-7ee6f505a38b/</x:v>
      </x:c>
      <x:c r="F900" t="str">
        <x:v>g3e3706da-784b-447e-a956-8f6881b6f3e1</x:v>
      </x:c>
      <x:c r="G900" s="20" t="n">
        <x:v>46003.934876886575</x:v>
      </x:c>
    </x:row>
    <x:row r="901">
      <x:c r="A901" s="18" t="str">
        <x:v>inhãmbú</x:v>
      </x:c>
      <x:c r="B901" s="18" t="str">
        <x:v>yapãshoa</x:v>
      </x:c>
      <x:c r="C901" s="19" t="n">
        <x:f>IF(B901="",0,(LEN(B901)-LEN(SUBSTITUTE(B901," | ","")))/3+1)</x:f>
        <x:v>1</x:v>
      </x:c>
      <x:c r="D901" t="str">
        <x:v>i</x:v>
      </x:c>
      <x:c r="E901" t="str">
        <x:v>https://www.webonary.org/marubo/g9cef63f8-7f09-4da9-9738-74d79d879f29/</x:v>
      </x:c>
      <x:c r="F901" t="str">
        <x:v>g9a63a3b8-bb49-42dc-a4c1-6e7e0d04d84c</x:v>
      </x:c>
      <x:c r="G901" s="20" t="n">
        <x:v>46003.934876886575</x:v>
      </x:c>
    </x:row>
    <x:row r="902">
      <x:c r="A902" s="18" t="str">
        <x:v>inhame</x:v>
      </x:c>
      <x:c r="B902" s="18" t="str">
        <x:v>poa | yovĩ</x:v>
      </x:c>
      <x:c r="C902" s="19" t="n">
        <x:f>IF(B902="",0,(LEN(B902)-LEN(SUBSTITUTE(B902," | ","")))/3+1)</x:f>
        <x:v>2</x:v>
      </x:c>
      <x:c r="D902" t="str">
        <x:v>i</x:v>
      </x:c>
      <x:c r="E902" t="str">
        <x:v>https://www.webonary.org/marubo/g3764f533-64e6-4794-9f05-98032a45c13b/</x:v>
      </x:c>
      <x:c r="F902" t="str">
        <x:v>gcfe35a71-6af3-4638-ae4b-17071d97ffe7</x:v>
      </x:c>
      <x:c r="G902" s="20" t="n">
        <x:v>46003.934876886575</x:v>
      </x:c>
    </x:row>
    <x:row r="903">
      <x:c r="A903" s="18" t="str">
        <x:v>ínicio</x:v>
      </x:c>
      <x:c r="B903" s="18" t="str">
        <x:v>txitavía</x:v>
      </x:c>
      <x:c r="C903" s="19" t="n">
        <x:f>IF(B903="",0,(LEN(B903)-LEN(SUBSTITUTE(B903," | ","")))/3+1)</x:f>
        <x:v>1</x:v>
      </x:c>
      <x:c r="D903" t="str">
        <x:v>i</x:v>
      </x:c>
      <x:c r="E903" t="str">
        <x:v>https://www.webonary.org/marubo/g8e3ec459-2b42-446b-bc69-c80409f5cfd7/</x:v>
      </x:c>
      <x:c r="F903" t="str">
        <x:v>g779de6cd-177a-4120-904d-3adb2a5fbd2b</x:v>
      </x:c>
      <x:c r="G903" s="20" t="n">
        <x:v>46003.934876886575</x:v>
      </x:c>
    </x:row>
    <x:row r="904">
      <x:c r="A904" s="18" t="str">
        <x:v>INSTR</x:v>
      </x:c>
      <x:c r="B904" s="18" t="str">
        <x:v>-̃ | 1</x:v>
      </x:c>
      <x:c r="C904" s="19" t="n">
        <x:f>IF(B904="",0,(LEN(B904)-LEN(SUBSTITUTE(B904," | ","")))/3+1)</x:f>
        <x:v>2</x:v>
      </x:c>
      <x:c r="D904" t="str">
        <x:v>i</x:v>
      </x:c>
      <x:c r="E904" t="str">
        <x:v>https://www.webonary.org/marubo/ge5574373-c798-47cb-b6b3-4f22161e9728/</x:v>
      </x:c>
      <x:c r="F904" t="str">
        <x:v>g18cf6460-af97-47d2-9119-ae9a5a7172ee</x:v>
      </x:c>
      <x:c r="G904" s="20" t="n">
        <x:v>46003.934876886575</x:v>
      </x:c>
    </x:row>
    <x:row r="905">
      <x:c r="A905" s="18" t="str">
        <x:v>INT</x:v>
      </x:c>
      <x:c r="B905" s="18" t="str">
        <x:v>yai | -nõ | 1</x:v>
      </x:c>
      <x:c r="C905" s="19" t="n">
        <x:f>IF(B905="",0,(LEN(B905)-LEN(SUBSTITUTE(B905," | ","")))/3+1)</x:f>
        <x:v>3</x:v>
      </x:c>
      <x:c r="D905" t="str">
        <x:v>i</x:v>
      </x:c>
      <x:c r="E905" t="str">
        <x:v>https://www.webonary.org/marubo/g5820ad83-ccdf-4ab2-bbce-19d4ea0766d3/</x:v>
      </x:c>
      <x:c r="F905" t="str">
        <x:v>g5e93349a-07a1-4aa0-a4be-a33f9276329d</x:v>
      </x:c>
      <x:c r="G905" s="20" t="n">
        <x:v>46003.934876886575</x:v>
      </x:c>
    </x:row>
    <x:row r="906">
      <x:c r="A906" s="18" t="str">
        <x:v>INTER</x:v>
      </x:c>
      <x:c r="B906" s="18" t="str">
        <x:f>"=ra"</x:f>
        <x:v>=ra</x:v>
      </x:c>
      <x:c r="C906" s="19" t="n">
        <x:f>IF(B906="",0,(LEN(B906)-LEN(SUBSTITUTE(B906," | ","")))/3+1)</x:f>
        <x:v>1</x:v>
      </x:c>
      <x:c r="D906" t="str">
        <x:v>i</x:v>
      </x:c>
      <x:c r="E906" t="str">
        <x:v>https://www.webonary.org/marubo/g48f04105-a074-4475-b2e0-d294d3ae1724/</x:v>
      </x:c>
      <x:c r="F906" t="str">
        <x:v>g3418dd92-a5e0-4e42-af7f-6919751aa549</x:v>
      </x:c>
      <x:c r="G906" s="20" t="n">
        <x:v>46003.9348841088</x:v>
      </x:c>
    </x:row>
    <x:row r="907">
      <x:c r="A907" s="18" t="str">
        <x:v>interromper</x:v>
      </x:c>
      <x:c r="B907" s="18" t="str">
        <x:v>voshtẽa</x:v>
      </x:c>
      <x:c r="C907" s="19" t="n">
        <x:f>IF(B907="",0,(LEN(B907)-LEN(SUBSTITUTE(B907," | ","")))/3+1)</x:f>
        <x:v>1</x:v>
      </x:c>
      <x:c r="D907" t="str">
        <x:v>i</x:v>
      </x:c>
      <x:c r="E907" t="str">
        <x:v>https://www.webonary.org/marubo/g626599ac-29d1-4993-889e-d301c32f9759/</x:v>
      </x:c>
      <x:c r="F907" t="str">
        <x:v>g7b79367c-c70f-4484-b059-efae3dcc41cf</x:v>
      </x:c>
      <x:c r="G907" s="20" t="n">
        <x:v>46003.9348841088</x:v>
      </x:c>
    </x:row>
    <x:row r="908">
      <x:c r="A908" s="18" t="str">
        <x:v>intestino delgado</x:v>
      </x:c>
      <x:c r="B908" s="18" t="str">
        <x:v>poko osho</x:v>
      </x:c>
      <x:c r="C908" s="19" t="n">
        <x:f>IF(B908="",0,(LEN(B908)-LEN(SUBSTITUTE(B908," | ","")))/3+1)</x:f>
        <x:v>1</x:v>
      </x:c>
      <x:c r="D908" t="str">
        <x:v>i</x:v>
      </x:c>
      <x:c r="E908" t="str">
        <x:v>https://www.webonary.org/marubo/g12adf7c8-3a0c-468c-bd5c-bd71366910b2/</x:v>
      </x:c>
      <x:c r="F908" t="str">
        <x:v>ga7845c12-d3da-4dbd-937b-5d8983398ab4</x:v>
      </x:c>
      <x:c r="G908" s="20" t="n">
        <x:v>46003.9348841088</x:v>
      </x:c>
    </x:row>
    <x:row r="909">
      <x:c r="A909" s="18" t="str">
        <x:v>intestino grosso</x:v>
      </x:c>
      <x:c r="B909" s="18" t="str">
        <x:v>poko txeshe</x:v>
      </x:c>
      <x:c r="C909" s="19" t="n">
        <x:f>IF(B909="",0,(LEN(B909)-LEN(SUBSTITUTE(B909," | ","")))/3+1)</x:f>
        <x:v>1</x:v>
      </x:c>
      <x:c r="D909" t="str">
        <x:v>i</x:v>
      </x:c>
      <x:c r="E909" t="str">
        <x:v>https://www.webonary.org/marubo/gd8629401-0343-4886-8962-938ee2be0f09/</x:v>
      </x:c>
      <x:c r="F909" t="str">
        <x:v>g1317f30e-a899-4ce1-aa6c-132b51cefac3</x:v>
      </x:c>
      <x:c r="G909" s="20" t="n">
        <x:v>46003.9348841088</x:v>
      </x:c>
    </x:row>
    <x:row r="910">
      <x:c r="A910" s="18" t="str">
        <x:v>intestinos</x:v>
      </x:c>
      <x:c r="B910" s="18" t="str">
        <x:v>poko</x:v>
      </x:c>
      <x:c r="C910" s="19" t="n">
        <x:f>IF(B910="",0,(LEN(B910)-LEN(SUBSTITUTE(B910," | ","")))/3+1)</x:f>
        <x:v>1</x:v>
      </x:c>
      <x:c r="D910" t="str">
        <x:v>i</x:v>
      </x:c>
      <x:c r="E910" t="str">
        <x:v>https://www.webonary.org/marubo/g695d0fc0-59cb-40ee-a4ba-60d92c059403/</x:v>
      </x:c>
      <x:c r="F910" t="str">
        <x:v>g8e2f9551-7ebf-439f-918d-5a87cadcca6d</x:v>
      </x:c>
      <x:c r="G910" s="20" t="n">
        <x:v>46003.9348841088</x:v>
      </x:c>
    </x:row>
    <x:row r="911">
      <x:c r="A911" s="18" t="str">
        <x:v>INTF</x:v>
      </x:c>
      <x:c r="B911" s="18" t="str">
        <x:v>-pa | 1</x:v>
      </x:c>
      <x:c r="C911" s="19" t="n">
        <x:f>IF(B911="",0,(LEN(B911)-LEN(SUBSTITUTE(B911," | ","")))/3+1)</x:f>
        <x:v>2</x:v>
      </x:c>
      <x:c r="D911" t="str">
        <x:v>i</x:v>
      </x:c>
      <x:c r="E911" t="str">
        <x:v>https://www.webonary.org/marubo/ge0bce0e6-cc08-4074-9ffb-cdd017f30895/</x:v>
      </x:c>
      <x:c r="F911" t="str">
        <x:v>ge012a297-e883-4af4-b57d-9289b7f7a0b1</x:v>
      </x:c>
      <x:c r="G911" s="20" t="n">
        <x:v>46003.9348841088</x:v>
      </x:c>
    </x:row>
    <x:row r="912">
      <x:c r="A912" s="18" t="str">
        <x:v>invejar</x:v>
      </x:c>
      <x:c r="B912" s="18" t="str">
        <x:v>naia</x:v>
      </x:c>
      <x:c r="C912" s="19" t="n">
        <x:f>IF(B912="",0,(LEN(B912)-LEN(SUBSTITUTE(B912," | ","")))/3+1)</x:f>
        <x:v>1</x:v>
      </x:c>
      <x:c r="D912" t="str">
        <x:v>i</x:v>
      </x:c>
      <x:c r="E912" t="str">
        <x:v>https://www.webonary.org/marubo/gfc38cc26-2d4e-45a2-b277-ac70ab01693f/</x:v>
      </x:c>
      <x:c r="F912" t="str">
        <x:v>gcf6b0dac-149a-4d93-9bdb-1a1bd29f0fe0</x:v>
      </x:c>
      <x:c r="G912" s="20" t="n">
        <x:v>46003.9348841088</x:v>
      </x:c>
    </x:row>
    <x:row r="913">
      <x:c r="A913" s="18" t="str">
        <x:v>ir</x:v>
      </x:c>
      <x:c r="B913" s="18" t="str">
        <x:v>kaa</x:v>
      </x:c>
      <x:c r="C913" s="19" t="n">
        <x:f>IF(B913="",0,(LEN(B913)-LEN(SUBSTITUTE(B913," | ","")))/3+1)</x:f>
        <x:v>1</x:v>
      </x:c>
      <x:c r="D913" t="str">
        <x:v>i</x:v>
      </x:c>
      <x:c r="E913" t="str">
        <x:v>https://www.webonary.org/marubo/g6d6798c2-624d-49fb-9d92-f6cd3d2f7181/</x:v>
      </x:c>
      <x:c r="F913" t="str">
        <x:v>g2f7bc035-bec5-4d36-aab0-c4ae1b17851e</x:v>
      </x:c>
      <x:c r="G913" s="20" t="n">
        <x:v>46003.9348841088</x:v>
      </x:c>
    </x:row>
    <x:row r="914">
      <x:c r="A914" s="18" t="str">
        <x:v>ir (plural)</x:v>
      </x:c>
      <x:c r="B914" s="18" t="str">
        <x:v>voa | 1</x:v>
      </x:c>
      <x:c r="C914" s="19" t="n">
        <x:f>IF(B914="",0,(LEN(B914)-LEN(SUBSTITUTE(B914," | ","")))/3+1)</x:f>
        <x:v>2</x:v>
      </x:c>
      <x:c r="D914" t="str">
        <x:v>i</x:v>
      </x:c>
      <x:c r="E914" t="str">
        <x:v>https://www.webonary.org/marubo/gb8f7a8bb-2cff-457c-8d32-5d116b6b1ddb/</x:v>
      </x:c>
      <x:c r="F914" t="str">
        <x:v>geb48b40d-9044-49ed-ad98-1b9368803031</x:v>
      </x:c>
      <x:c r="G914" s="20" t="n">
        <x:v>46003.9348841088</x:v>
      </x:c>
    </x:row>
    <x:row r="915">
      <x:c r="A915" s="18" t="str">
        <x:v>ir entre</x:v>
      </x:c>
      <x:c r="B915" s="18" t="str">
        <x:v>shawapa kao</x:v>
      </x:c>
      <x:c r="C915" s="19" t="n">
        <x:f>IF(B915="",0,(LEN(B915)-LEN(SUBSTITUTE(B915," | ","")))/3+1)</x:f>
        <x:v>1</x:v>
      </x:c>
      <x:c r="D915" t="str">
        <x:v>i</x:v>
      </x:c>
      <x:c r="E915" t="str">
        <x:v>https://www.webonary.org/marubo/g4af98322-9651-4174-b0fb-60180b12c555/</x:v>
      </x:c>
      <x:c r="F915" t="str">
        <x:v>ga436ec34-b8c6-49d0-b8a2-a4ff6e2e42c0</x:v>
      </x:c>
      <x:c r="G915" s="20" t="n">
        <x:v>46003.9348841088</x:v>
      </x:c>
    </x:row>
    <x:row r="916">
      <x:c r="A916" s="18" t="str">
        <x:v>irára</x:v>
      </x:c>
      <x:c r="B916" s="18" t="str">
        <x:v>voka</x:v>
      </x:c>
      <x:c r="C916" s="19" t="n">
        <x:f>IF(B916="",0,(LEN(B916)-LEN(SUBSTITUTE(B916," | ","")))/3+1)</x:f>
        <x:v>1</x:v>
      </x:c>
      <x:c r="D916" t="str">
        <x:v>i</x:v>
      </x:c>
      <x:c r="E916" t="str">
        <x:v>https://www.webonary.org/marubo/gac4a9378-a43b-44a4-a6b9-615495606f11/</x:v>
      </x:c>
      <x:c r="F916" t="str">
        <x:v>geb63b778-dd33-4f62-82c4-5a94bdb067db</x:v>
      </x:c>
      <x:c r="G916" s="20" t="n">
        <x:v>46003.9348841088</x:v>
      </x:c>
    </x:row>
    <x:row r="917">
      <x:c r="A917" s="18" t="str">
        <x:v>irmã</x:v>
      </x:c>
      <x:c r="B917" s="18" t="str">
        <x:v>take aĩvake | aweshavo</x:v>
      </x:c>
      <x:c r="C917" s="19" t="n">
        <x:f>IF(B917="",0,(LEN(B917)-LEN(SUBSTITUTE(B917," | ","")))/3+1)</x:f>
        <x:v>2</x:v>
      </x:c>
      <x:c r="D917" t="str">
        <x:v>i</x:v>
      </x:c>
      <x:c r="E917" t="str">
        <x:v>https://www.webonary.org/marubo/gd4b3d64b-8cfd-4219-9103-216a4af3bfc1/</x:v>
      </x:c>
      <x:c r="F917" t="str">
        <x:v>g6cd4a3f8-eaa2-4cdb-9981-61f2eabb64b3</x:v>
      </x:c>
      <x:c r="G917" s="20" t="n">
        <x:v>46003.9348841088</x:v>
      </x:c>
    </x:row>
    <x:row r="918">
      <x:c r="A918" s="18" t="str">
        <x:v>irmã mais nova</x:v>
      </x:c>
      <x:c r="B918" s="18" t="str">
        <x:v>txira</x:v>
      </x:c>
      <x:c r="C918" s="19" t="n">
        <x:f>IF(B918="",0,(LEN(B918)-LEN(SUBSTITUTE(B918," | ","")))/3+1)</x:f>
        <x:v>1</x:v>
      </x:c>
      <x:c r="D918" t="str">
        <x:v>i</x:v>
      </x:c>
      <x:c r="E918" t="str">
        <x:v>https://www.webonary.org/marubo/g0733dfc8-f9e2-4937-95b6-ab5022064c7e/</x:v>
      </x:c>
      <x:c r="F918" t="str">
        <x:v>g2c34596c-3836-4f2d-9898-1d376168462a</x:v>
      </x:c>
      <x:c r="G918" s="20" t="n">
        <x:v>46003.9348841088</x:v>
      </x:c>
    </x:row>
    <x:row r="919">
      <x:c r="A919" s="18" t="str">
        <x:v>irmão</x:v>
      </x:c>
      <x:c r="B919" s="18" t="str">
        <x:v>take | take venevake</x:v>
      </x:c>
      <x:c r="C919" s="19" t="n">
        <x:f>IF(B919="",0,(LEN(B919)-LEN(SUBSTITUTE(B919," | ","")))/3+1)</x:f>
        <x:v>2</x:v>
      </x:c>
      <x:c r="D919" t="str">
        <x:v>i</x:v>
      </x:c>
      <x:c r="E919" t="str">
        <x:v>https://www.webonary.org/marubo/ga6e64a2d-6fc3-4886-885e-518d98cfdd2f/</x:v>
      </x:c>
      <x:c r="F919" t="str">
        <x:v>g022f6eba-8a28-4fc2-8642-bb19bf83de44</x:v>
      </x:c>
      <x:c r="G919" s="20" t="n">
        <x:v>46003.9348841088</x:v>
      </x:c>
    </x:row>
    <x:row r="920">
      <x:c r="A920" s="18" t="str">
        <x:v>irmão mais novo</x:v>
      </x:c>
      <x:c r="B920" s="18" t="str">
        <x:v>vicha</x:v>
      </x:c>
      <x:c r="C920" s="19" t="n">
        <x:f>IF(B920="",0,(LEN(B920)-LEN(SUBSTITUTE(B920," | ","")))/3+1)</x:f>
        <x:v>1</x:v>
      </x:c>
      <x:c r="D920" t="str">
        <x:v>i</x:v>
      </x:c>
      <x:c r="E920" t="str">
        <x:v>https://www.webonary.org/marubo/gc1895cea-222c-4927-bcd6-d833060ffd68/</x:v>
      </x:c>
      <x:c r="F920" t="str">
        <x:v>ge2bb02f3-c07b-401d-a9d1-cf77e03966ba</x:v>
      </x:c>
      <x:c r="G920" s="20" t="n">
        <x:v>46003.9348841088</x:v>
      </x:c>
    </x:row>
    <x:row r="921">
      <x:c r="A921" s="18" t="str">
        <x:v>irmão mais velho</x:v>
      </x:c>
      <x:c r="B921" s="18" t="str">
        <x:v>otxi</x:v>
      </x:c>
      <x:c r="C921" s="19" t="n">
        <x:f>IF(B921="",0,(LEN(B921)-LEN(SUBSTITUTE(B921," | ","")))/3+1)</x:f>
        <x:v>1</x:v>
      </x:c>
      <x:c r="D921" t="str">
        <x:v>i</x:v>
      </x:c>
      <x:c r="E921" t="str">
        <x:v>https://www.webonary.org/marubo/gfb8d3a63-b7d5-452b-8124-90b7bbad87d1/</x:v>
      </x:c>
      <x:c r="F921" t="str">
        <x:v>g0f1057e2-a8b3-46f2-8b70-3596cefed03b</x:v>
      </x:c>
      <x:c r="G921" s="20" t="n">
        <x:v>46003.9348841088</x:v>
      </x:c>
    </x:row>
    <x:row r="922">
      <x:c r="A922" s="18" t="str">
        <x:v>irmãos mais novo</x:v>
      </x:c>
      <x:c r="B922" s="18" t="str">
        <x:v>poko shate</x:v>
      </x:c>
      <x:c r="C922" s="19" t="n">
        <x:f>IF(B922="",0,(LEN(B922)-LEN(SUBSTITUTE(B922," | ","")))/3+1)</x:f>
        <x:v>1</x:v>
      </x:c>
      <x:c r="D922" t="str">
        <x:v>i</x:v>
      </x:c>
      <x:c r="E922" t="str">
        <x:v>https://www.webonary.org/marubo/g8aab2940-9d74-47df-9158-9615814809a8/</x:v>
      </x:c>
      <x:c r="F922" t="str">
        <x:v>g913c78af-6fa2-4e22-9805-b94b992c92ce</x:v>
      </x:c>
      <x:c r="G922" s="20" t="n">
        <x:v>46003.9348841088</x:v>
      </x:c>
    </x:row>
    <x:row r="923">
      <x:c r="A923" s="18" t="str">
        <x:v>irmãos nascidos do segundo ou mais casamentos</x:v>
      </x:c>
      <x:c r="B923" s="18" t="str">
        <x:v>evé merá</x:v>
      </x:c>
      <x:c r="C923" s="19" t="n">
        <x:f>IF(B923="",0,(LEN(B923)-LEN(SUBSTITUTE(B923," | ","")))/3+1)</x:f>
        <x:v>1</x:v>
      </x:c>
      <x:c r="D923" t="str">
        <x:v>i</x:v>
      </x:c>
      <x:c r="E923" t="str">
        <x:v>https://www.webonary.org/marubo/g821fbac0-573d-4e81-8081-7f4b80b58076/</x:v>
      </x:c>
      <x:c r="F923" t="str">
        <x:v>gcec945dd-7ea8-46cd-a013-d39d9fe05ee6</x:v>
      </x:c>
      <x:c r="G923" s="20" t="n">
        <x:v>46003.9348841088</x:v>
      </x:c>
    </x:row>
    <x:row r="924">
      <x:c r="A924" s="18" t="str">
        <x:v>irmãs nascidas do segundo ou mais casamentos</x:v>
      </x:c>
      <x:c r="B924" s="18" t="str">
        <x:v>evé merá shavo</x:v>
      </x:c>
      <x:c r="C924" s="19" t="n">
        <x:f>IF(B924="",0,(LEN(B924)-LEN(SUBSTITUTE(B924," | ","")))/3+1)</x:f>
        <x:v>1</x:v>
      </x:c>
      <x:c r="D924" t="str">
        <x:v>i</x:v>
      </x:c>
      <x:c r="E924" t="str">
        <x:v>https://www.webonary.org/marubo/g6b74ef87-4cf6-4cac-a7fd-72ff61a7cf76/</x:v>
      </x:c>
      <x:c r="F924" t="str">
        <x:v>g5f8c7ac1-62ed-4982-b6ad-844a121e307a</x:v>
      </x:c>
      <x:c r="G924" s="20" t="n">
        <x:v>46003.9348841088</x:v>
      </x:c>
    </x:row>
    <x:row r="925">
      <x:c r="A925" s="18" t="str">
        <x:v>IRR</x:v>
      </x:c>
      <x:c r="B925" s="18" t="str">
        <x:v>-ti | 1 | -kĩ | 3</x:v>
      </x:c>
      <x:c r="C925" s="19" t="n">
        <x:f>IF(B925="",0,(LEN(B925)-LEN(SUBSTITUTE(B925," | ","")))/3+1)</x:f>
        <x:v>4</x:v>
      </x:c>
      <x:c r="D925" t="str">
        <x:v>i</x:v>
      </x:c>
      <x:c r="E925" t="str">
        <x:v>https://www.webonary.org/marubo/g1d8629e2-b346-40c6-9f32-f0f8edad57c1/</x:v>
      </x:c>
      <x:c r="F925" t="str">
        <x:v>g7ca0b7b2-22dd-4f9e-b28b-3721960c8254</x:v>
      </x:c>
      <x:c r="G925" s="20" t="n">
        <x:v>46003.9348841088</x:v>
      </x:c>
    </x:row>
    <x:row r="926">
      <x:c r="A926" s="18" t="str">
        <x:v>já</x:v>
      </x:c>
      <x:c r="B926" s="18" t="str">
        <x:v>ma</x:v>
      </x:c>
      <x:c r="C926" s="19" t="n">
        <x:f>IF(B926="",0,(LEN(B926)-LEN(SUBSTITUTE(B926," | ","")))/3+1)</x:f>
        <x:v>1</x:v>
      </x:c>
      <x:c r="D926" t="str">
        <x:v>j</x:v>
      </x:c>
      <x:c r="E926" t="str">
        <x:v>https://www.webonary.org/marubo/gadd61ac4-d963-49ba-871f-1b3c3edfb0e8/</x:v>
      </x:c>
      <x:c r="F926" t="str">
        <x:v>g4375f4e4-a55a-4e4d-95ec-479a43d5a382</x:v>
      </x:c>
      <x:c r="G926" s="20" t="n">
        <x:v>46003.9348841088</x:v>
      </x:c>
    </x:row>
    <x:row r="927">
      <x:c r="A927" s="18" t="str">
        <x:v>jaburu</x:v>
      </x:c>
      <x:c r="B927" s="18" t="str">
        <x:v>ave</x:v>
      </x:c>
      <x:c r="C927" s="19" t="n">
        <x:f>IF(B927="",0,(LEN(B927)-LEN(SUBSTITUTE(B927," | ","")))/3+1)</x:f>
        <x:v>1</x:v>
      </x:c>
      <x:c r="D927" t="str">
        <x:v>j</x:v>
      </x:c>
      <x:c r="E927" t="str">
        <x:v>https://www.webonary.org/marubo/g33103093-6807-4639-a345-fb389d42e4b5/</x:v>
      </x:c>
      <x:c r="F927" t="str">
        <x:v>g7663a841-d014-49b4-adfc-b3dfc05dadf7</x:v>
      </x:c>
      <x:c r="G927" s="20" t="n">
        <x:v>46003.9348841088</x:v>
      </x:c>
    </x:row>
    <x:row r="928">
      <x:c r="A928" s="18" t="str">
        <x:v>jabuti</x:v>
      </x:c>
      <x:c r="B928" s="18" t="str">
        <x:v>shawe | 1</x:v>
      </x:c>
      <x:c r="C928" s="19" t="n">
        <x:f>IF(B928="",0,(LEN(B928)-LEN(SUBSTITUTE(B928," | ","")))/3+1)</x:f>
        <x:v>2</x:v>
      </x:c>
      <x:c r="D928" t="str">
        <x:v>j</x:v>
      </x:c>
      <x:c r="E928" t="str">
        <x:v>https://www.webonary.org/marubo/gf2574c4f-2a21-400b-b470-d5743c425d9d/</x:v>
      </x:c>
      <x:c r="F928" t="str">
        <x:v>gb4f6084e-6226-49cc-8d73-1b531f6e9a32</x:v>
      </x:c>
      <x:c r="G928" s="20" t="n">
        <x:v>46003.9348841088</x:v>
      </x:c>
    </x:row>
    <x:row r="929">
      <x:c r="A929" s="18" t="str">
        <x:v>jaca</x:v>
      </x:c>
      <x:c r="B929" s="18" t="str">
        <x:v>chaka</x:v>
      </x:c>
      <x:c r="C929" s="19" t="n">
        <x:f>IF(B929="",0,(LEN(B929)-LEN(SUBSTITUTE(B929," | ","")))/3+1)</x:f>
        <x:v>1</x:v>
      </x:c>
      <x:c r="D929" t="str">
        <x:v>j</x:v>
      </x:c>
      <x:c r="E929" t="str">
        <x:v>https://www.webonary.org/marubo/g65bda69f-285e-49b6-bb8a-84ba1bfaa5d8/</x:v>
      </x:c>
      <x:c r="F929" t="str">
        <x:v>gc70037da-6377-4db0-9109-0bf6ee4f4c18</x:v>
      </x:c>
      <x:c r="G929" s="20" t="n">
        <x:v>46003.9348841088</x:v>
      </x:c>
    </x:row>
    <x:row r="930">
      <x:c r="A930" s="18" t="str">
        <x:v>jacamim</x:v>
      </x:c>
      <x:c r="B930" s="18" t="str">
        <x:v>nea | 1</x:v>
      </x:c>
      <x:c r="C930" s="19" t="n">
        <x:f>IF(B930="",0,(LEN(B930)-LEN(SUBSTITUTE(B930," | ","")))/3+1)</x:f>
        <x:v>2</x:v>
      </x:c>
      <x:c r="D930" t="str">
        <x:v>j</x:v>
      </x:c>
      <x:c r="E930" t="str">
        <x:v>https://www.webonary.org/marubo/ge95980fa-a422-4fa9-9e13-45e6e903d7a9/</x:v>
      </x:c>
      <x:c r="F930" t="str">
        <x:v>g80347fbd-b33b-4bb0-bdae-8b6cb64a19cd</x:v>
      </x:c>
      <x:c r="G930" s="20" t="n">
        <x:v>46003.9348841088</x:v>
      </x:c>
    </x:row>
    <x:row r="931">
      <x:c r="A931" s="18" t="str">
        <x:v>jacaré</x:v>
      </x:c>
      <x:c r="B931" s="18" t="str">
        <x:v>kapé</x:v>
      </x:c>
      <x:c r="C931" s="19" t="n">
        <x:f>IF(B931="",0,(LEN(B931)-LEN(SUBSTITUTE(B931," | ","")))/3+1)</x:f>
        <x:v>1</x:v>
      </x:c>
      <x:c r="D931" t="str">
        <x:v>j</x:v>
      </x:c>
      <x:c r="E931" t="str">
        <x:v>https://www.webonary.org/marubo/g7adca4a0-92c7-45ae-b464-b68068f9ff54/</x:v>
      </x:c>
      <x:c r="F931" t="str">
        <x:v>gd5e9d395-a9f5-4135-a019-e95d02814270</x:v>
      </x:c>
      <x:c r="G931" s="20" t="n">
        <x:v>46003.9348841088</x:v>
      </x:c>
    </x:row>
    <x:row r="932">
      <x:c r="A932" s="18" t="str">
        <x:v>jacu</x:v>
      </x:c>
      <x:c r="B932" s="18" t="str">
        <x:v>kevo | 1</x:v>
      </x:c>
      <x:c r="C932" s="19" t="n">
        <x:f>IF(B932="",0,(LEN(B932)-LEN(SUBSTITUTE(B932," | ","")))/3+1)</x:f>
        <x:v>2</x:v>
      </x:c>
      <x:c r="D932" t="str">
        <x:v>j</x:v>
      </x:c>
      <x:c r="E932" t="str">
        <x:v>https://www.webonary.org/marubo/g50461032-e78e-4079-8d1d-5f80ce1122b7/</x:v>
      </x:c>
      <x:c r="F932" t="str">
        <x:v>gfcc68ac1-3398-407c-a553-6befcd751e2b</x:v>
      </x:c>
      <x:c r="G932" s="20" t="n">
        <x:v>46003.9348841088</x:v>
      </x:c>
    </x:row>
    <x:row r="933">
      <x:c r="A933" s="18" t="str">
        <x:v>jaguatirica</x:v>
      </x:c>
      <x:c r="B933" s="18" t="str">
        <x:v>shawa kamã</x:v>
      </x:c>
      <x:c r="C933" s="19" t="n">
        <x:f>IF(B933="",0,(LEN(B933)-LEN(SUBSTITUTE(B933," | ","")))/3+1)</x:f>
        <x:v>1</x:v>
      </x:c>
      <x:c r="D933" t="str">
        <x:v>j</x:v>
      </x:c>
      <x:c r="E933" t="str">
        <x:v>https://www.webonary.org/marubo/g9f9611fc-2ae6-4f1d-8fb9-2795a11b5416/</x:v>
      </x:c>
      <x:c r="F933" t="str">
        <x:v>g03da3e05-e9fb-46f4-9583-2f75627a7630</x:v>
      </x:c>
      <x:c r="G933" s="20" t="n">
        <x:v>46003.9348841088</x:v>
      </x:c>
    </x:row>
    <x:row r="934">
      <x:c r="A934" s="18" t="str">
        <x:v>jambo</x:v>
      </x:c>
      <x:c r="B934" s="18" t="str">
        <x:v>chãpo</x:v>
      </x:c>
      <x:c r="C934" s="19" t="n">
        <x:f>IF(B934="",0,(LEN(B934)-LEN(SUBSTITUTE(B934," | ","")))/3+1)</x:f>
        <x:v>1</x:v>
      </x:c>
      <x:c r="D934" t="str">
        <x:v>j</x:v>
      </x:c>
      <x:c r="E934" t="str">
        <x:v>https://www.webonary.org/marubo/g56681f16-27fa-406c-b555-191e7cdb21e1/</x:v>
      </x:c>
      <x:c r="F934" t="str">
        <x:v>g0288a50f-fbc9-4b50-a3bb-4ce31a662bf6</x:v>
      </x:c>
      <x:c r="G934" s="20" t="n">
        <x:v>46003.9348841088</x:v>
      </x:c>
    </x:row>
    <x:row r="935">
      <x:c r="A935" s="18" t="str">
        <x:v>janela</x:v>
      </x:c>
      <x:c r="B935" s="18" t="str">
        <x:v>kepoti</x:v>
      </x:c>
      <x:c r="C935" s="19" t="n">
        <x:f>IF(B935="",0,(LEN(B935)-LEN(SUBSTITUTE(B935," | ","")))/3+1)</x:f>
        <x:v>1</x:v>
      </x:c>
      <x:c r="D935" t="str">
        <x:v>j</x:v>
      </x:c>
      <x:c r="E935" t="str">
        <x:v>https://www.webonary.org/marubo/g0fa1da93-a438-46ba-8dad-75f555df75d0/</x:v>
      </x:c>
      <x:c r="F935" t="str">
        <x:v>gf87faa0a-1768-498b-aaab-d76e48be8ee9</x:v>
      </x:c>
      <x:c r="G935" s="20" t="n">
        <x:v>46003.9348841088</x:v>
      </x:c>
    </x:row>
    <x:row r="936">
      <x:c r="A936" s="18" t="str">
        <x:v>japó</x:v>
      </x:c>
      <x:c r="B936" s="18" t="str">
        <x:v>isko | 1</x:v>
      </x:c>
      <x:c r="C936" s="19" t="n">
        <x:f>IF(B936="",0,(LEN(B936)-LEN(SUBSTITUTE(B936," | ","")))/3+1)</x:f>
        <x:v>2</x:v>
      </x:c>
      <x:c r="D936" t="str">
        <x:v>j</x:v>
      </x:c>
      <x:c r="E936" t="str">
        <x:v>https://www.webonary.org/marubo/g5de7d61b-dca4-4536-a97d-b5394785d16c/</x:v>
      </x:c>
      <x:c r="F936" t="str">
        <x:v>g129a4fbe-3129-4330-875a-d8114afa3b8d</x:v>
      </x:c>
      <x:c r="G936" s="20" t="n">
        <x:v>46003.9348841088</x:v>
      </x:c>
    </x:row>
    <x:row r="937">
      <x:c r="A937" s="18" t="str">
        <x:v>japu</x:v>
      </x:c>
      <x:c r="B937" s="18" t="str">
        <x:v>txana | 1</x:v>
      </x:c>
      <x:c r="C937" s="19" t="n">
        <x:f>IF(B937="",0,(LEN(B937)-LEN(SUBSTITUTE(B937," | ","")))/3+1)</x:f>
        <x:v>2</x:v>
      </x:c>
      <x:c r="D937" t="str">
        <x:v>j</x:v>
      </x:c>
      <x:c r="E937" t="str">
        <x:v>https://www.webonary.org/marubo/g941fef92-60c3-4d34-84cd-1affe92c3fdf/</x:v>
      </x:c>
      <x:c r="F937" t="str">
        <x:v>ged39d239-4335-4e99-8256-0bd57251d9b1</x:v>
      </x:c>
      <x:c r="G937" s="20" t="n">
        <x:v>46003.9348841088</x:v>
      </x:c>
    </x:row>
    <x:row r="938">
      <x:c r="A938" s="18" t="str">
        <x:v>jararaca</x:v>
      </x:c>
      <x:c r="B938" s="18" t="str">
        <x:v>iko rono</x:v>
      </x:c>
      <x:c r="C938" s="19" t="n">
        <x:f>IF(B938="",0,(LEN(B938)-LEN(SUBSTITUTE(B938," | ","")))/3+1)</x:f>
        <x:v>1</x:v>
      </x:c>
      <x:c r="D938" t="str">
        <x:v>j</x:v>
      </x:c>
      <x:c r="E938" t="str">
        <x:v>https://www.webonary.org/marubo/g5a2942dd-1cfe-4e89-8a5c-169c7e56e2a5/</x:v>
      </x:c>
      <x:c r="F938" t="str">
        <x:v>g7125b80c-8b2e-470a-95e7-0ba8dd594ebb</x:v>
      </x:c>
      <x:c r="G938" s="20" t="n">
        <x:v>46003.9348841088</x:v>
      </x:c>
    </x:row>
    <x:row r="939">
      <x:c r="A939" s="18" t="str">
        <x:v>jarina</x:v>
      </x:c>
      <x:c r="B939" s="18" t="str">
        <x:v>epe</x:v>
      </x:c>
      <x:c r="C939" s="19" t="n">
        <x:f>IF(B939="",0,(LEN(B939)-LEN(SUBSTITUTE(B939," | ","")))/3+1)</x:f>
        <x:v>1</x:v>
      </x:c>
      <x:c r="D939" t="str">
        <x:v>j</x:v>
      </x:c>
      <x:c r="E939" t="str">
        <x:v>https://www.webonary.org/marubo/g04268e8a-103c-442d-8c5c-6b9b5504d3b8/</x:v>
      </x:c>
      <x:c r="F939" t="str">
        <x:v>g40147c90-e370-4c46-bff9-4b0700e540f5</x:v>
      </x:c>
      <x:c r="G939" s="20" t="n">
        <x:v>46003.9348841088</x:v>
      </x:c>
    </x:row>
    <x:row r="940">
      <x:c r="A940" s="18" t="str">
        <x:v>jarra de barro</x:v>
      </x:c>
      <x:c r="B940" s="18" t="str">
        <x:v>chomo</x:v>
      </x:c>
      <x:c r="C940" s="19" t="n">
        <x:f>IF(B940="",0,(LEN(B940)-LEN(SUBSTITUTE(B940," | ","")))/3+1)</x:f>
        <x:v>1</x:v>
      </x:c>
      <x:c r="D940" t="str">
        <x:v>j</x:v>
      </x:c>
      <x:c r="E940" t="str">
        <x:v>https://www.webonary.org/marubo/g49f419d3-56e3-435b-b72c-4ab75ddaa080/</x:v>
      </x:c>
      <x:c r="F940" t="str">
        <x:v>g850bc45f-1c11-4df9-b865-7fd386b08846</x:v>
      </x:c>
      <x:c r="G940" s="20" t="n">
        <x:v>46003.9348841088</x:v>
      </x:c>
    </x:row>
    <x:row r="941">
      <x:c r="A941" s="18" t="str">
        <x:v>jibóia</x:v>
      </x:c>
      <x:c r="B941" s="18" t="str">
        <x:v>manã vesha</x:v>
      </x:c>
      <x:c r="C941" s="19" t="n">
        <x:f>IF(B941="",0,(LEN(B941)-LEN(SUBSTITUTE(B941," | ","")))/3+1)</x:f>
        <x:v>1</x:v>
      </x:c>
      <x:c r="D941" t="str">
        <x:v>j</x:v>
      </x:c>
      <x:c r="E941" t="str">
        <x:v>https://www.webonary.org/marubo/g36e7fa4b-1c17-4ce5-879e-1fa42afc8f55/</x:v>
      </x:c>
      <x:c r="F941" t="str">
        <x:v>g4ed7e86d-cdf9-4bef-a768-02ad98410359</x:v>
      </x:c>
      <x:c r="G941" s="20" t="n">
        <x:v>46003.9348841088</x:v>
      </x:c>
    </x:row>
    <x:row r="942">
      <x:c r="A942" s="18" t="str">
        <x:v>joelho</x:v>
      </x:c>
      <x:c r="B942" s="18" t="str">
        <x:v>ravoshe</x:v>
      </x:c>
      <x:c r="C942" s="19" t="n">
        <x:f>IF(B942="",0,(LEN(B942)-LEN(SUBSTITUTE(B942," | ","")))/3+1)</x:f>
        <x:v>1</x:v>
      </x:c>
      <x:c r="D942" t="str">
        <x:v>j</x:v>
      </x:c>
      <x:c r="E942" t="str">
        <x:v>https://www.webonary.org/marubo/gaac62989-4c73-41ff-b7ea-19c47d3816e5/</x:v>
      </x:c>
      <x:c r="F942" t="str">
        <x:v>g64e374e1-774c-4585-80a6-5c4c48dddaf0</x:v>
      </x:c>
      <x:c r="G942" s="20" t="n">
        <x:v>46003.9348841088</x:v>
      </x:c>
    </x:row>
    <x:row r="943">
      <x:c r="A943" s="18" t="str">
        <x:v>jogar</x:v>
      </x:c>
      <x:c r="B943" s="18" t="str">
        <x:v>yavía | õtxia</x:v>
      </x:c>
      <x:c r="C943" s="19" t="n">
        <x:f>IF(B943="",0,(LEN(B943)-LEN(SUBSTITUTE(B943," | ","")))/3+1)</x:f>
        <x:v>2</x:v>
      </x:c>
      <x:c r="D943" t="str">
        <x:v>j</x:v>
      </x:c>
      <x:c r="E943" t="str">
        <x:v>https://www.webonary.org/marubo/g0d8c338f-d951-4f76-a53a-9da15cf771e9/</x:v>
      </x:c>
      <x:c r="F943" t="str">
        <x:v>g960d361d-7420-46b9-ba37-418384320573</x:v>
      </x:c>
      <x:c r="G943" s="20" t="n">
        <x:v>46003.9348841088</x:v>
      </x:c>
    </x:row>
    <x:row r="944">
      <x:c r="A944" s="18" t="str">
        <x:v>jogar água</x:v>
      </x:c>
      <x:c r="B944" s="18" t="str">
        <x:v>voia</x:v>
      </x:c>
      <x:c r="C944" s="19" t="n">
        <x:f>IF(B944="",0,(LEN(B944)-LEN(SUBSTITUTE(B944," | ","")))/3+1)</x:f>
        <x:v>1</x:v>
      </x:c>
      <x:c r="D944" t="str">
        <x:v>j</x:v>
      </x:c>
      <x:c r="E944" t="str">
        <x:v>https://www.webonary.org/marubo/g9b4c12c7-fde5-4952-9ca2-720af58d9b0f/</x:v>
      </x:c>
      <x:c r="F944" t="str">
        <x:v>g04db4ea3-151a-4173-a3e5-9c132979e08a</x:v>
      </x:c>
      <x:c r="G944" s="20" t="n">
        <x:v>46003.9348841088</x:v>
      </x:c>
    </x:row>
    <x:row r="945">
      <x:c r="A945" s="18" t="str">
        <x:v>jogar culpa</x:v>
      </x:c>
      <x:c r="B945" s="18" t="str">
        <x:v>pacha | 2</x:v>
      </x:c>
      <x:c r="C945" s="19" t="n">
        <x:f>IF(B945="",0,(LEN(B945)-LEN(SUBSTITUTE(B945," | ","")))/3+1)</x:f>
        <x:v>2</x:v>
      </x:c>
      <x:c r="D945" t="str">
        <x:v>j</x:v>
      </x:c>
      <x:c r="E945" t="str">
        <x:v>https://www.webonary.org/marubo/g7f2d15f5-a4b7-4320-873a-7a7ec8ad381e/</x:v>
      </x:c>
      <x:c r="F945" t="str">
        <x:v>g4b654a0b-df7c-4549-bb9d-5bd52fa30f13</x:v>
      </x:c>
      <x:c r="G945" s="20" t="n">
        <x:v>46003.9348841088</x:v>
      </x:c>
    </x:row>
    <x:row r="946">
      <x:c r="A946" s="18" t="str">
        <x:v>jogar líquido</x:v>
      </x:c>
      <x:c r="B946" s="18" t="str">
        <x:v>voi</x:v>
      </x:c>
      <x:c r="C946" s="19" t="n">
        <x:f>IF(B946="",0,(LEN(B946)-LEN(SUBSTITUTE(B946," | ","")))/3+1)</x:f>
        <x:v>1</x:v>
      </x:c>
      <x:c r="D946" t="str">
        <x:v>j</x:v>
      </x:c>
      <x:c r="E946" t="str">
        <x:v>https://www.webonary.org/marubo/g346afdc9-52cf-4cba-a8b2-7ba5f71b237e/</x:v>
      </x:c>
      <x:c r="F946" t="str">
        <x:v>g007fe2c2-d4e0-4808-84ff-c16973f42884</x:v>
      </x:c>
      <x:c r="G946" s="20" t="n">
        <x:v>46003.9348841088</x:v>
      </x:c>
    </x:row>
    <x:row r="947">
      <x:c r="A947" s="18" t="str">
        <x:v>jogar sal algo nos olhos</x:v>
      </x:c>
      <x:c r="B947" s="18" t="str">
        <x:v>vepó ikí</x:v>
      </x:c>
      <x:c r="C947" s="19" t="n">
        <x:f>IF(B947="",0,(LEN(B947)-LEN(SUBSTITUTE(B947," | ","")))/3+1)</x:f>
        <x:v>1</x:v>
      </x:c>
      <x:c r="D947" t="str">
        <x:v>j</x:v>
      </x:c>
      <x:c r="E947" t="str">
        <x:v>https://www.webonary.org/marubo/gd4839900-01d1-4378-9880-1008dc66105d/</x:v>
      </x:c>
      <x:c r="F947" t="str">
        <x:v>g57829aab-17dc-43bf-8e0b-9ea4571a03cf</x:v>
      </x:c>
      <x:c r="G947" s="20" t="n">
        <x:v>46003.9348841088</x:v>
      </x:c>
    </x:row>
    <x:row r="948">
      <x:c r="A948" s="18" t="str">
        <x:v>jovem masculino</x:v>
      </x:c>
      <x:c r="B948" s="18" t="str">
        <x:v>verone</x:v>
      </x:c>
      <x:c r="C948" s="19" t="n">
        <x:f>IF(B948="",0,(LEN(B948)-LEN(SUBSTITUTE(B948," | ","")))/3+1)</x:f>
        <x:v>1</x:v>
      </x:c>
      <x:c r="D948" t="str">
        <x:v>j</x:v>
      </x:c>
      <x:c r="E948" t="str">
        <x:v>https://www.webonary.org/marubo/g82719879-a3fe-4711-b478-e3cd36a315cb/</x:v>
      </x:c>
      <x:c r="F948" t="str">
        <x:v>g52f72b29-b2a7-4d1f-85b2-6abc0529acf1</x:v>
      </x:c>
      <x:c r="G948" s="20" t="n">
        <x:v>46003.9348841088</x:v>
      </x:c>
    </x:row>
    <x:row r="949">
      <x:c r="A949" s="18" t="str">
        <x:v>junta</x:v>
      </x:c>
      <x:c r="B949" s="18" t="str">
        <x:v>txiwá | 1</x:v>
      </x:c>
      <x:c r="C949" s="19" t="n">
        <x:f>IF(B949="",0,(LEN(B949)-LEN(SUBSTITUTE(B949," | ","")))/3+1)</x:f>
        <x:v>2</x:v>
      </x:c>
      <x:c r="D949" t="str">
        <x:v>j</x:v>
      </x:c>
      <x:c r="E949" t="str">
        <x:v>https://www.webonary.org/marubo/g688d695c-2dac-4869-a100-bb3563d4fa79/</x:v>
      </x:c>
      <x:c r="F949" t="str">
        <x:v>g08b484ae-204b-44c4-a458-fc200fd39d9b</x:v>
      </x:c>
      <x:c r="G949" s="20" t="n">
        <x:v>46003.9348841088</x:v>
      </x:c>
    </x:row>
    <x:row r="950">
      <x:c r="A950" s="18" t="str">
        <x:v>juntar</x:v>
      </x:c>
      <x:c r="B950" s="18" t="str">
        <x:v>soa | txiwá | 2 | kãtxia</x:v>
      </x:c>
      <x:c r="C950" s="19" t="n">
        <x:f>IF(B950="",0,(LEN(B950)-LEN(SUBSTITUTE(B950," | ","")))/3+1)</x:f>
        <x:v>4</x:v>
      </x:c>
      <x:c r="D950" t="str">
        <x:v>j</x:v>
      </x:c>
      <x:c r="E950" t="str">
        <x:v>https://www.webonary.org/marubo/g1988c93a-8425-4071-82a8-995c02ceb53e/</x:v>
      </x:c>
      <x:c r="F950" t="str">
        <x:v>g6e2d8b3f-2a26-41f8-86d4-38356ebaef0d</x:v>
      </x:c>
      <x:c r="G950" s="20" t="n">
        <x:v>46003.9348841088</x:v>
      </x:c>
    </x:row>
    <x:row r="951">
      <x:c r="A951" s="18" t="str">
        <x:v>junto</x:v>
      </x:c>
      <x:c r="B951" s="18" t="str">
        <x:v>avé</x:v>
      </x:c>
      <x:c r="C951" s="19" t="n">
        <x:f>IF(B951="",0,(LEN(B951)-LEN(SUBSTITUTE(B951," | ","")))/3+1)</x:f>
        <x:v>1</x:v>
      </x:c>
      <x:c r="D951" t="str">
        <x:v>j</x:v>
      </x:c>
      <x:c r="E951" t="str">
        <x:v>https://www.webonary.org/marubo/g2219a29b-9210-4b69-a4e0-13bac6a17322/</x:v>
      </x:c>
      <x:c r="F951" t="str">
        <x:v>g264774cf-68f4-4956-aa09-a60d5a51b094</x:v>
      </x:c>
      <x:c r="G951" s="20" t="n">
        <x:v>46003.9348841088</x:v>
      </x:c>
    </x:row>
    <x:row r="952">
      <x:c r="A952" s="18" t="str">
        <x:v>juntos</x:v>
      </x:c>
      <x:c r="B952" s="18" t="str">
        <x:v>shokoa | ashkã</x:v>
      </x:c>
      <x:c r="C952" s="19" t="n">
        <x:f>IF(B952="",0,(LEN(B952)-LEN(SUBSTITUTE(B952," | ","")))/3+1)</x:f>
        <x:v>2</x:v>
      </x:c>
      <x:c r="D952" t="str">
        <x:v>j</x:v>
      </x:c>
      <x:c r="E952" t="str">
        <x:v>https://www.webonary.org/marubo/g6951ba43-446c-4534-8431-061debf9a0de/</x:v>
      </x:c>
      <x:c r="F952" t="str">
        <x:v>g93a2f57c-68e5-4673-89f5-deb4fee0ddfd</x:v>
      </x:c>
      <x:c r="G952" s="20" t="n">
        <x:v>46003.9348841088</x:v>
      </x:c>
    </x:row>
    <x:row r="953">
      <x:c r="A953" s="18" t="str">
        <x:v>juruva ruiva</x:v>
      </x:c>
      <x:c r="B953" s="18" t="str">
        <x:v>mãsã oro</x:v>
      </x:c>
      <x:c r="C953" s="19" t="n">
        <x:f>IF(B953="",0,(LEN(B953)-LEN(SUBSTITUTE(B953," | ","")))/3+1)</x:f>
        <x:v>1</x:v>
      </x:c>
      <x:c r="D953" t="str">
        <x:v>j</x:v>
      </x:c>
      <x:c r="E953" t="str">
        <x:v>https://www.webonary.org/marubo/gfcf0372b-d563-4eeb-bf2d-e9ade71e7ca9/</x:v>
      </x:c>
      <x:c r="F953" t="str">
        <x:v>gff0fa203-5d03-499c-a5dd-72dc7d50a073</x:v>
      </x:c>
      <x:c r="G953" s="20" t="n">
        <x:v>46003.9348841088</x:v>
      </x:c>
    </x:row>
    <x:row r="954">
      <x:c r="A954" s="18" t="str">
        <x:v>kairara</x:v>
      </x:c>
      <x:c r="B954" s="18" t="str">
        <x:v>chino osho</x:v>
      </x:c>
      <x:c r="C954" s="19" t="n">
        <x:f>IF(B954="",0,(LEN(B954)-LEN(SUBSTITUTE(B954," | ","")))/3+1)</x:f>
        <x:v>1</x:v>
      </x:c>
      <x:c r="D954" t="str">
        <x:v>k</x:v>
      </x:c>
      <x:c r="E954" t="str">
        <x:v>https://www.webonary.org/marubo/gb09242cf-d775-4ae8-a675-08f5ac6d4772/</x:v>
      </x:c>
      <x:c r="F954" t="str">
        <x:v>gcc334038-1222-41be-a8aa-0c24dba4c365</x:v>
      </x:c>
      <x:c r="G954" s="20" t="n">
        <x:v>46003.9348841088</x:v>
      </x:c>
    </x:row>
    <x:row r="955">
      <x:c r="A955" s="18" t="str">
        <x:v>lá</x:v>
      </x:c>
      <x:c r="B955" s="18" t="str">
        <x:v>ari | 1 | ori | okiri</x:v>
      </x:c>
      <x:c r="C955" s="19" t="n">
        <x:f>IF(B955="",0,(LEN(B955)-LEN(SUBSTITUTE(B955," | ","")))/3+1)</x:f>
        <x:v>4</x:v>
      </x:c>
      <x:c r="D955" t="str">
        <x:v>l</x:v>
      </x:c>
      <x:c r="E955" t="str">
        <x:v>https://www.webonary.org/marubo/g6bbf4d07-361b-47b2-b585-dd5f62d50749/</x:v>
      </x:c>
      <x:c r="F955" t="str">
        <x:v>gd0d65898-2c12-4525-aa77-01e3b9a6f955</x:v>
      </x:c>
      <x:c r="G955" s="20" t="n">
        <x:v>46003.9348841088</x:v>
      </x:c>
    </x:row>
    <x:row r="956">
      <x:c r="A956" s="18" t="str">
        <x:v>labio</x:v>
      </x:c>
      <x:c r="B956" s="18" t="str">
        <x:v>keshá</x:v>
      </x:c>
      <x:c r="C956" s="19" t="n">
        <x:f>IF(B956="",0,(LEN(B956)-LEN(SUBSTITUTE(B956," | ","")))/3+1)</x:f>
        <x:v>1</x:v>
      </x:c>
      <x:c r="D956" t="str">
        <x:v>l</x:v>
      </x:c>
      <x:c r="E956" t="str">
        <x:v>https://www.webonary.org/marubo/gb5ce0535-7d79-4405-8755-243c7090eecc/</x:v>
      </x:c>
      <x:c r="F956" t="str">
        <x:v>g8cac78a2-e724-4666-add9-0ca1df2b5c3b</x:v>
      </x:c>
      <x:c r="G956" s="20" t="n">
        <x:v>46003.934891400466</x:v>
      </x:c>
    </x:row>
    <x:row r="957">
      <x:c r="A957" s="18" t="str">
        <x:v>lábios inchado (depois de ser picado por abelha)</x:v>
      </x:c>
      <x:c r="B957" s="18" t="str">
        <x:v>choróka</x:v>
      </x:c>
      <x:c r="C957" s="19" t="n">
        <x:f>IF(B957="",0,(LEN(B957)-LEN(SUBSTITUTE(B957," | ","")))/3+1)</x:f>
        <x:v>1</x:v>
      </x:c>
      <x:c r="D957" t="str">
        <x:v>l</x:v>
      </x:c>
      <x:c r="E957" t="str">
        <x:v>https://www.webonary.org/marubo/ga6d34fbf-5355-4575-bf03-17a8a54a20ec/</x:v>
      </x:c>
      <x:c r="F957" t="str">
        <x:v>g2fbe5f33-ce00-4a5b-9f3f-e8caace687f4</x:v>
      </x:c>
      <x:c r="G957" s="20" t="n">
        <x:v>46003.934891400466</x:v>
      </x:c>
    </x:row>
    <x:row r="958">
      <x:c r="A958" s="18" t="str">
        <x:v>lacraia</x:v>
      </x:c>
      <x:c r="B958" s="18" t="str">
        <x:v>awáwa</x:v>
      </x:c>
      <x:c r="C958" s="19" t="n">
        <x:f>IF(B958="",0,(LEN(B958)-LEN(SUBSTITUTE(B958," | ","")))/3+1)</x:f>
        <x:v>1</x:v>
      </x:c>
      <x:c r="D958" t="str">
        <x:v>l</x:v>
      </x:c>
      <x:c r="E958" t="str">
        <x:v>https://www.webonary.org/marubo/g2ea797a3-72b9-4afd-b1af-d3da6b69f7fb/</x:v>
      </x:c>
      <x:c r="F958" t="str">
        <x:v>g086c8a4e-a37b-4a9b-a67a-160a71666735</x:v>
      </x:c>
      <x:c r="G958" s="20" t="n">
        <x:v>46003.934891400466</x:v>
      </x:c>
    </x:row>
    <x:row r="959">
      <x:c r="A959" s="18" t="str">
        <x:v>lado</x:v>
      </x:c>
      <x:c r="B959" s="18" t="str">
        <x:v>kesó</x:v>
      </x:c>
      <x:c r="C959" s="19" t="n">
        <x:f>IF(B959="",0,(LEN(B959)-LEN(SUBSTITUTE(B959," | ","")))/3+1)</x:f>
        <x:v>1</x:v>
      </x:c>
      <x:c r="D959" t="str">
        <x:v>l</x:v>
      </x:c>
      <x:c r="E959" t="str">
        <x:v>https://www.webonary.org/marubo/g29990c9d-f414-4a1e-9308-bcafc9dc87f9/</x:v>
      </x:c>
      <x:c r="F959" t="str">
        <x:v>g9bb3b04d-04fb-4d77-9c0f-1fe298a1bbc7</x:v>
      </x:c>
      <x:c r="G959" s="20" t="n">
        <x:v>46003.934891400466</x:v>
      </x:c>
    </x:row>
    <x:row r="960">
      <x:c r="A960" s="18" t="str">
        <x:v>lado extremo</x:v>
      </x:c>
      <x:c r="B960" s="18" t="str">
        <x:v>repi</x:v>
      </x:c>
      <x:c r="C960" s="19" t="n">
        <x:f>IF(B960="",0,(LEN(B960)-LEN(SUBSTITUTE(B960," | ","")))/3+1)</x:f>
        <x:v>1</x:v>
      </x:c>
      <x:c r="D960" t="str">
        <x:v>l</x:v>
      </x:c>
      <x:c r="E960" t="str">
        <x:v>https://www.webonary.org/marubo/ga95ccd54-5282-4ec0-ad45-7ce6e16ed493/</x:v>
      </x:c>
      <x:c r="F960" t="str">
        <x:v>g8c418b07-4299-4ea5-8425-73674756f9cb</x:v>
      </x:c>
      <x:c r="G960" s="20" t="n">
        <x:v>46003.934891400466</x:v>
      </x:c>
    </x:row>
    <x:row r="961">
      <x:c r="A961" s="18" t="str">
        <x:v>lado trazeiro de casa</x:v>
      </x:c>
      <x:c r="B961" s="18" t="str">
        <x:v>repã kãĩ</x:v>
      </x:c>
      <x:c r="C961" s="19" t="n">
        <x:f>IF(B961="",0,(LEN(B961)-LEN(SUBSTITUTE(B961," | ","")))/3+1)</x:f>
        <x:v>1</x:v>
      </x:c>
      <x:c r="D961" t="str">
        <x:v>l</x:v>
      </x:c>
      <x:c r="E961" t="str">
        <x:v>https://www.webonary.org/marubo/g5818408a-3e4e-4c91-a4d7-a73d43c1c6c4/</x:v>
      </x:c>
      <x:c r="F961" t="str">
        <x:v>ga66b09a9-8fd6-4834-be7b-9f38f4d330aa</x:v>
      </x:c>
      <x:c r="G961" s="20" t="n">
        <x:v>46003.934891400466</x:v>
      </x:c>
    </x:row>
    <x:row r="962">
      <x:c r="A962" s="18" t="str">
        <x:v>ladrão</x:v>
      </x:c>
      <x:c r="B962" s="18" t="str">
        <x:v>kerõma</x:v>
      </x:c>
      <x:c r="C962" s="19" t="n">
        <x:f>IF(B962="",0,(LEN(B962)-LEN(SUBSTITUTE(B962," | ","")))/3+1)</x:f>
        <x:v>1</x:v>
      </x:c>
      <x:c r="D962" t="str">
        <x:v>l</x:v>
      </x:c>
      <x:c r="E962" t="str">
        <x:v>https://www.webonary.org/marubo/g95757b4d-cd47-4a15-a00e-11cf5332dc6f/</x:v>
      </x:c>
      <x:c r="F962" t="str">
        <x:v>gfda2db0d-d648-4ab4-8a2c-0315766fe0b7</x:v>
      </x:c>
      <x:c r="G962" s="20" t="n">
        <x:v>46003.934891400466</x:v>
      </x:c>
    </x:row>
    <x:row r="963">
      <x:c r="A963" s="18" t="str">
        <x:v>lagarta</x:v>
      </x:c>
      <x:c r="B963" s="18" t="str">
        <x:v>shako | etxe</x:v>
      </x:c>
      <x:c r="C963" s="19" t="n">
        <x:f>IF(B963="",0,(LEN(B963)-LEN(SUBSTITUTE(B963," | ","")))/3+1)</x:f>
        <x:v>2</x:v>
      </x:c>
      <x:c r="D963" t="str">
        <x:v>l</x:v>
      </x:c>
      <x:c r="E963" t="str">
        <x:v>https://www.webonary.org/marubo/g3e270dd7-bb65-4f7b-909c-a22904f7f464/</x:v>
      </x:c>
      <x:c r="F963" t="str">
        <x:v>g4cb8f5f2-0e72-4fb8-aad3-d460ebed8952</x:v>
      </x:c>
      <x:c r="G963" s="20" t="n">
        <x:v>46003.934891400466</x:v>
      </x:c>
    </x:row>
    <x:row r="964">
      <x:c r="A964" s="18" t="str">
        <x:v>lagarta tatura</x:v>
      </x:c>
      <x:c r="B964" s="18" t="str">
        <x:v>vachíchi</x:v>
      </x:c>
      <x:c r="C964" s="19" t="n">
        <x:f>IF(B964="",0,(LEN(B964)-LEN(SUBSTITUTE(B964," | ","")))/3+1)</x:f>
        <x:v>1</x:v>
      </x:c>
      <x:c r="D964" t="str">
        <x:v>l</x:v>
      </x:c>
      <x:c r="E964" t="str">
        <x:v>https://www.webonary.org/marubo/g39a085f9-c62f-4aba-bc79-5157876f7d49/</x:v>
      </x:c>
      <x:c r="F964" t="str">
        <x:v>gc490cf1a-389f-46f2-97e3-cf4e279de7a6</x:v>
      </x:c>
      <x:c r="G964" s="20" t="n">
        <x:v>46003.934891400466</x:v>
      </x:c>
    </x:row>
    <x:row r="965">
      <x:c r="A965" s="18" t="str">
        <x:v>lagarticha</x:v>
      </x:c>
      <x:c r="B965" s="18" t="str">
        <x:v>shavo</x:v>
      </x:c>
      <x:c r="C965" s="19" t="n">
        <x:f>IF(B965="",0,(LEN(B965)-LEN(SUBSTITUTE(B965," | ","")))/3+1)</x:f>
        <x:v>1</x:v>
      </x:c>
      <x:c r="D965" t="str">
        <x:v>l</x:v>
      </x:c>
      <x:c r="E965" t="str">
        <x:v>https://www.webonary.org/marubo/ga139e645-e990-4676-b591-1116f655f284/</x:v>
      </x:c>
      <x:c r="F965" t="str">
        <x:v>gdca243a9-5f15-4f7c-94c8-21c91e814201</x:v>
      </x:c>
      <x:c r="G965" s="20" t="n">
        <x:v>46003.934891400466</x:v>
      </x:c>
    </x:row>
    <x:row r="966">
      <x:c r="A966" s="18" t="str">
        <x:v>lago</x:v>
      </x:c>
      <x:c r="B966" s="18" t="str">
        <x:v>iyã</x:v>
      </x:c>
      <x:c r="C966" s="19" t="n">
        <x:f>IF(B966="",0,(LEN(B966)-LEN(SUBSTITUTE(B966," | ","")))/3+1)</x:f>
        <x:v>1</x:v>
      </x:c>
      <x:c r="D966" t="str">
        <x:v>l</x:v>
      </x:c>
      <x:c r="E966" t="str">
        <x:v>https://www.webonary.org/marubo/g341efd12-15d7-432e-af93-06945961be3c/</x:v>
      </x:c>
      <x:c r="F966" t="str">
        <x:v>g31c36506-d48f-4afa-857c-117394c60beb</x:v>
      </x:c>
      <x:c r="G966" s="20" t="n">
        <x:v>46003.934891400466</x:v>
      </x:c>
    </x:row>
    <x:row r="967">
      <x:c r="A967" s="18" t="str">
        <x:v>lagrimas</x:v>
      </x:c>
      <x:c r="B967" s="18" t="str">
        <x:v>veõ</x:v>
      </x:c>
      <x:c r="C967" s="19" t="n">
        <x:f>IF(B967="",0,(LEN(B967)-LEN(SUBSTITUTE(B967," | ","")))/3+1)</x:f>
        <x:v>1</x:v>
      </x:c>
      <x:c r="D967" t="str">
        <x:v>l</x:v>
      </x:c>
      <x:c r="E967" t="str">
        <x:v>https://www.webonary.org/marubo/g4123c1c8-e665-4a84-a809-836f4c4141cf/</x:v>
      </x:c>
      <x:c r="F967" t="str">
        <x:v>g2612df1a-9115-4614-8d78-7573764f480f</x:v>
      </x:c>
      <x:c r="G967" s="20" t="n">
        <x:v>46003.934891400466</x:v>
      </x:c>
    </x:row>
    <x:row r="968">
      <x:c r="A968" s="18" t="str">
        <x:v>lápis</x:v>
      </x:c>
      <x:c r="B968" s="18" t="str">
        <x:v>wichati</x:v>
      </x:c>
      <x:c r="C968" s="19" t="n">
        <x:f>IF(B968="",0,(LEN(B968)-LEN(SUBSTITUTE(B968," | ","")))/3+1)</x:f>
        <x:v>1</x:v>
      </x:c>
      <x:c r="D968" t="str">
        <x:v>l</x:v>
      </x:c>
      <x:c r="E968" t="str">
        <x:v>https://www.webonary.org/marubo/g821c2b6f-ca05-4ef5-8016-27078581f545/</x:v>
      </x:c>
      <x:c r="F968" t="str">
        <x:v>gac45c141-fc8e-4f14-85a4-a150ec001092</x:v>
      </x:c>
      <x:c r="G968" s="20" t="n">
        <x:v>46003.934891400466</x:v>
      </x:c>
    </x:row>
    <x:row r="969">
      <x:c r="A969" s="18" t="str">
        <x:v>larínge</x:v>
      </x:c>
      <x:c r="B969" s="18" t="str">
        <x:v>tẽshãti</x:v>
      </x:c>
      <x:c r="C969" s="19" t="n">
        <x:f>IF(B969="",0,(LEN(B969)-LEN(SUBSTITUTE(B969," | ","")))/3+1)</x:f>
        <x:v>1</x:v>
      </x:c>
      <x:c r="D969" t="str">
        <x:v>l</x:v>
      </x:c>
      <x:c r="E969" t="str">
        <x:v>https://www.webonary.org/marubo/g8e9215a7-f2ed-4891-a98f-6454f0020aba/</x:v>
      </x:c>
      <x:c r="F969" t="str">
        <x:v>g9197867f-e053-4666-81de-28aa31f7b0df</x:v>
      </x:c>
      <x:c r="G969" s="20" t="n">
        <x:v>46003.934891400466</x:v>
      </x:c>
    </x:row>
    <x:row r="970">
      <x:c r="A970" s="18" t="str">
        <x:v>larva</x:v>
      </x:c>
      <x:c r="B970" s="18" t="str">
        <x:v>tano</x:v>
      </x:c>
      <x:c r="C970" s="19" t="n">
        <x:f>IF(B970="",0,(LEN(B970)-LEN(SUBSTITUTE(B970," | ","")))/3+1)</x:f>
        <x:v>1</x:v>
      </x:c>
      <x:c r="D970" t="str">
        <x:v>l</x:v>
      </x:c>
      <x:c r="E970" t="str">
        <x:v>https://www.webonary.org/marubo/g5bccfb90-b854-4866-975d-46678d5998a7/</x:v>
      </x:c>
      <x:c r="F970" t="str">
        <x:v>g85381fde-dbfd-4e2c-9c99-365a3bfe4263</x:v>
      </x:c>
      <x:c r="G970" s="20" t="n">
        <x:v>46003.934891400466</x:v>
      </x:c>
    </x:row>
    <x:row r="971">
      <x:c r="A971" s="18" t="str">
        <x:v>lata</x:v>
      </x:c>
      <x:c r="B971" s="18" t="str">
        <x:v>rata</x:v>
      </x:c>
      <x:c r="C971" s="19" t="n">
        <x:f>IF(B971="",0,(LEN(B971)-LEN(SUBSTITUTE(B971," | ","")))/3+1)</x:f>
        <x:v>1</x:v>
      </x:c>
      <x:c r="D971" t="str">
        <x:v>l</x:v>
      </x:c>
      <x:c r="E971" t="str">
        <x:v>https://www.webonary.org/marubo/g275d0cba-77df-4863-bd3f-f72454d36cc3/</x:v>
      </x:c>
      <x:c r="F971" t="str">
        <x:v>gffefe300-716e-418b-9658-6d2edf080ccf</x:v>
      </x:c>
      <x:c r="G971" s="20" t="n">
        <x:v>46003.934891400466</x:v>
      </x:c>
    </x:row>
    <x:row r="972">
      <x:c r="A972" s="18" t="str">
        <x:v>laterna</x:v>
      </x:c>
      <x:c r="B972" s="18" t="str">
        <x:v>amo naoti</x:v>
      </x:c>
      <x:c r="C972" s="19" t="n">
        <x:f>IF(B972="",0,(LEN(B972)-LEN(SUBSTITUTE(B972," | ","")))/3+1)</x:f>
        <x:v>1</x:v>
      </x:c>
      <x:c r="D972" t="str">
        <x:v>l</x:v>
      </x:c>
      <x:c r="E972" t="str">
        <x:v>https://www.webonary.org/marubo/ge3d81577-566e-4949-84dc-17319872243a/</x:v>
      </x:c>
      <x:c r="F972" t="str">
        <x:v>gb51aa20e-9d16-4bd6-89c6-86c4bdf86aaa</x:v>
      </x:c>
      <x:c r="G972" s="20" t="n">
        <x:v>46003.934891400466</x:v>
      </x:c>
    </x:row>
    <x:row r="973">
      <x:c r="A973" s="18" t="str">
        <x:v>latir</x:v>
      </x:c>
      <x:c r="B973" s="18" t="str">
        <x:v>saiki ikí | naas ikí</x:v>
      </x:c>
      <x:c r="C973" s="19" t="n">
        <x:f>IF(B973="",0,(LEN(B973)-LEN(SUBSTITUTE(B973," | ","")))/3+1)</x:f>
        <x:v>2</x:v>
      </x:c>
      <x:c r="D973" t="str">
        <x:v>l</x:v>
      </x:c>
      <x:c r="E973" t="str">
        <x:v>https://www.webonary.org/marubo/gfca340ee-8860-4655-846f-a8059da05a2e/</x:v>
      </x:c>
      <x:c r="F973" t="str">
        <x:v>gda06ce08-4acb-45b8-8f91-9400813d3fbd</x:v>
      </x:c>
      <x:c r="G973" s="20" t="n">
        <x:v>46003.934891400466</x:v>
      </x:c>
    </x:row>
    <x:row r="974">
      <x:c r="A974" s="18" t="str">
        <x:v>lavar</x:v>
      </x:c>
      <x:c r="B974" s="18" t="str">
        <x:v>txoa aká | nãpa</x:v>
      </x:c>
      <x:c r="C974" s="19" t="n">
        <x:f>IF(B974="",0,(LEN(B974)-LEN(SUBSTITUTE(B974," | ","")))/3+1)</x:f>
        <x:v>2</x:v>
      </x:c>
      <x:c r="D974" t="str">
        <x:v>l</x:v>
      </x:c>
      <x:c r="E974" t="str">
        <x:v>https://www.webonary.org/marubo/g754ab4d2-7148-4fab-8f65-8be948f2313f/</x:v>
      </x:c>
      <x:c r="F974" t="str">
        <x:v>gc8d2f7ad-cff1-44e9-a12a-c1962c564cee</x:v>
      </x:c>
      <x:c r="G974" s="20" t="n">
        <x:v>46003.934891400466</x:v>
      </x:c>
    </x:row>
    <x:row r="975">
      <x:c r="A975" s="18" t="str">
        <x:v>lavar as mãos</x:v>
      </x:c>
      <x:c r="B975" s="18" t="str">
        <x:v>mepã ikí</x:v>
      </x:c>
      <x:c r="C975" s="19" t="n">
        <x:f>IF(B975="",0,(LEN(B975)-LEN(SUBSTITUTE(B975," | ","")))/3+1)</x:f>
        <x:v>1</x:v>
      </x:c>
      <x:c r="D975" t="str">
        <x:v>l</x:v>
      </x:c>
      <x:c r="E975" t="str">
        <x:v>https://www.webonary.org/marubo/g230b78b0-8ab0-4489-bc43-34004c61f47c/</x:v>
      </x:c>
      <x:c r="F975" t="str">
        <x:v>g5ac8ad1d-cc81-4ec7-96a8-15ca7720487d</x:v>
      </x:c>
      <x:c r="G975" s="20" t="n">
        <x:v>46003.934891400466</x:v>
      </x:c>
    </x:row>
    <x:row r="976">
      <x:c r="A976" s="18" t="str">
        <x:v>lavar louça</x:v>
      </x:c>
      <x:c r="B976" s="18" t="str">
        <x:v>kẽtxá nãpã</x:v>
      </x:c>
      <x:c r="C976" s="19" t="n">
        <x:f>IF(B976="",0,(LEN(B976)-LEN(SUBSTITUTE(B976," | ","")))/3+1)</x:f>
        <x:v>1</x:v>
      </x:c>
      <x:c r="D976" t="str">
        <x:v>l</x:v>
      </x:c>
      <x:c r="E976" t="str">
        <x:v>https://www.webonary.org/marubo/gf3e1d668-9704-4ed3-94ef-66d9b9d712b6/</x:v>
      </x:c>
      <x:c r="F976" t="str">
        <x:v>gd0392035-4fc2-4a05-82b0-4bd3f3a224cb</x:v>
      </x:c>
      <x:c r="G976" s="20" t="n">
        <x:v>46003.934891400466</x:v>
      </x:c>
    </x:row>
    <x:row r="977">
      <x:c r="A977" s="18" t="str">
        <x:v>lavrar madeira de canoa</x:v>
      </x:c>
      <x:c r="B977" s="18" t="str">
        <x:v>pesha</x:v>
      </x:c>
      <x:c r="C977" s="19" t="n">
        <x:f>IF(B977="",0,(LEN(B977)-LEN(SUBSTITUTE(B977," | ","")))/3+1)</x:f>
        <x:v>1</x:v>
      </x:c>
      <x:c r="D977" t="str">
        <x:v>l</x:v>
      </x:c>
      <x:c r="E977" t="str">
        <x:v>https://www.webonary.org/marubo/ge713595a-608f-420a-8707-f746d32f7638/</x:v>
      </x:c>
      <x:c r="F977" t="str">
        <x:v>gfcfbc850-7cce-4e69-a659-b1b0edc1cf2a</x:v>
      </x:c>
      <x:c r="G977" s="20" t="n">
        <x:v>46003.934891400466</x:v>
      </x:c>
    </x:row>
    <x:row r="978">
      <x:c r="A978" s="18" t="str">
        <x:v>lechmanióse</x:v>
      </x:c>
      <x:c r="B978" s="18" t="str">
        <x:v>oróa | 1</x:v>
      </x:c>
      <x:c r="C978" s="19" t="n">
        <x:f>IF(B978="",0,(LEN(B978)-LEN(SUBSTITUTE(B978," | ","")))/3+1)</x:f>
        <x:v>2</x:v>
      </x:c>
      <x:c r="D978" t="str">
        <x:v>l</x:v>
      </x:c>
      <x:c r="E978" t="str">
        <x:v>https://www.webonary.org/marubo/g6110296f-b91f-44c5-a099-bd41d2d28920/</x:v>
      </x:c>
      <x:c r="F978" t="str">
        <x:v>gf176a991-eade-429b-b40a-621f13775467</x:v>
      </x:c>
      <x:c r="G978" s="20" t="n">
        <x:v>46003.934891400466</x:v>
      </x:c>
    </x:row>
    <x:row r="979">
      <x:c r="A979" s="18" t="str">
        <x:v>lenha</x:v>
      </x:c>
      <x:c r="B979" s="18" t="str">
        <x:v>karo</x:v>
      </x:c>
      <x:c r="C979" s="19" t="n">
        <x:f>IF(B979="",0,(LEN(B979)-LEN(SUBSTITUTE(B979," | ","")))/3+1)</x:f>
        <x:v>1</x:v>
      </x:c>
      <x:c r="D979" t="str">
        <x:v>l</x:v>
      </x:c>
      <x:c r="E979" t="str">
        <x:v>https://www.webonary.org/marubo/g70db0da8-561c-456b-a17a-4bd9fba88207/</x:v>
      </x:c>
      <x:c r="F979" t="str">
        <x:v>gb5110cc3-5857-4348-8679-750f415c5356</x:v>
      </x:c>
      <x:c r="G979" s="20" t="n">
        <x:v>46003.934891400466</x:v>
      </x:c>
    </x:row>
    <x:row r="980">
      <x:c r="A980" s="18" t="str">
        <x:v>lenha da casa</x:v>
      </x:c>
      <x:c r="B980" s="18" t="str">
        <x:v>peshkẽ</x:v>
      </x:c>
      <x:c r="C980" s="19" t="n">
        <x:f>IF(B980="",0,(LEN(B980)-LEN(SUBSTITUTE(B980," | ","")))/3+1)</x:f>
        <x:v>1</x:v>
      </x:c>
      <x:c r="D980" t="str">
        <x:v>l</x:v>
      </x:c>
      <x:c r="E980" t="str">
        <x:v>https://www.webonary.org/marubo/g33c287d9-33f6-4cc0-94e5-a570530f2242/</x:v>
      </x:c>
      <x:c r="F980" t="str">
        <x:v>gcd94ed8c-e0b2-46b6-ad33-ca2a1beb5b26</x:v>
      </x:c>
      <x:c r="G980" s="20" t="n">
        <x:v>46003.934891400466</x:v>
      </x:c>
    </x:row>
    <x:row r="981">
      <x:c r="A981" s="18" t="str">
        <x:v>levantar</x:v>
      </x:c>
      <x:c r="B981" s="18" t="str">
        <x:v>wakení</x:v>
      </x:c>
      <x:c r="C981" s="19" t="n">
        <x:f>IF(B981="",0,(LEN(B981)-LEN(SUBSTITUTE(B981," | ","")))/3+1)</x:f>
        <x:v>1</x:v>
      </x:c>
      <x:c r="D981" t="str">
        <x:v>l</x:v>
      </x:c>
      <x:c r="E981" t="str">
        <x:v>https://www.webonary.org/marubo/g640465fb-8de4-4dce-881d-a3502da3ca74/</x:v>
      </x:c>
      <x:c r="F981" t="str">
        <x:v>gc782e7ba-74e1-40ac-a72c-f9801a155e43</x:v>
      </x:c>
      <x:c r="G981" s="20" t="n">
        <x:v>46003.934891400466</x:v>
      </x:c>
    </x:row>
    <x:row r="982">
      <x:c r="A982" s="18" t="str">
        <x:v>levar</x:v>
      </x:c>
      <x:c r="B982" s="18" t="str">
        <x:v>ewea</x:v>
      </x:c>
      <x:c r="C982" s="19" t="n">
        <x:f>IF(B982="",0,(LEN(B982)-LEN(SUBSTITUTE(B982," | ","")))/3+1)</x:f>
        <x:v>1</x:v>
      </x:c>
      <x:c r="D982" t="str">
        <x:v>l</x:v>
      </x:c>
      <x:c r="E982" t="str">
        <x:v>https://www.webonary.org/marubo/ga29dc514-c1cf-44a1-9a44-9342634331ee/</x:v>
      </x:c>
      <x:c r="F982" t="str">
        <x:v>g4326982f-3d30-4d72-a9c2-9c9267d916ad</x:v>
      </x:c>
      <x:c r="G982" s="20" t="n">
        <x:v>46003.934891400466</x:v>
      </x:c>
    </x:row>
    <x:row r="983">
      <x:c r="A983" s="18" t="str">
        <x:v>libélula</x:v>
      </x:c>
      <x:c r="B983" s="18" t="str">
        <x:v>yopa txano</x:v>
      </x:c>
      <x:c r="C983" s="19" t="n">
        <x:f>IF(B983="",0,(LEN(B983)-LEN(SUBSTITUTE(B983," | ","")))/3+1)</x:f>
        <x:v>1</x:v>
      </x:c>
      <x:c r="D983" t="str">
        <x:v>l</x:v>
      </x:c>
      <x:c r="E983" t="str">
        <x:v>https://www.webonary.org/marubo/gff773af9-1e3a-453f-9ccf-901911155f72/</x:v>
      </x:c>
      <x:c r="F983" t="str">
        <x:v>g2aa90423-ad1b-4655-aa91-f71e855add99</x:v>
      </x:c>
      <x:c r="G983" s="20" t="n">
        <x:v>46003.934891400466</x:v>
      </x:c>
    </x:row>
    <x:row r="984">
      <x:c r="A984" s="18" t="str">
        <x:v>ligar</x:v>
      </x:c>
      <x:c r="B984" s="18" t="str">
        <x:v>ketĩa</x:v>
      </x:c>
      <x:c r="C984" s="19" t="n">
        <x:f>IF(B984="",0,(LEN(B984)-LEN(SUBSTITUTE(B984," | ","")))/3+1)</x:f>
        <x:v>1</x:v>
      </x:c>
      <x:c r="D984" t="str">
        <x:v>l</x:v>
      </x:c>
      <x:c r="E984" t="str">
        <x:v>https://www.webonary.org/marubo/g3eb3c0dd-6b63-44f8-b457-0637ccd990de/</x:v>
      </x:c>
      <x:c r="F984" t="str">
        <x:v>g58744a3c-d349-41f1-ab27-a0bbbb340f6e</x:v>
      </x:c>
      <x:c r="G984" s="20" t="n">
        <x:v>46003.934891400466</x:v>
      </x:c>
    </x:row>
    <x:row r="985">
      <x:c r="A985" s="18" t="str">
        <x:v>ligar (um motor)</x:v>
      </x:c>
      <x:c r="B985" s="18" t="str">
        <x:v>keoa | 1</x:v>
      </x:c>
      <x:c r="C985" s="19" t="n">
        <x:f>IF(B985="",0,(LEN(B985)-LEN(SUBSTITUTE(B985," | ","")))/3+1)</x:f>
        <x:v>2</x:v>
      </x:c>
      <x:c r="D985" t="str">
        <x:v>l</x:v>
      </x:c>
      <x:c r="E985" t="str">
        <x:v>https://www.webonary.org/marubo/ga70ba507-e442-4022-a898-2ef60624a5cb/</x:v>
      </x:c>
      <x:c r="F985" t="str">
        <x:v>gba971eda-4f91-43fe-8714-0bdb8ee87416</x:v>
      </x:c>
      <x:c r="G985" s="20" t="n">
        <x:v>46003.934891400466</x:v>
      </x:c>
    </x:row>
    <x:row r="986">
      <x:c r="A986" s="18" t="str">
        <x:v>limão</x:v>
      </x:c>
      <x:c r="B986" s="18" t="str">
        <x:v>rimõ</x:v>
      </x:c>
      <x:c r="C986" s="19" t="n">
        <x:f>IF(B986="",0,(LEN(B986)-LEN(SUBSTITUTE(B986," | ","")))/3+1)</x:f>
        <x:v>1</x:v>
      </x:c>
      <x:c r="D986" t="str">
        <x:v>l</x:v>
      </x:c>
      <x:c r="E986" t="str">
        <x:v>https://www.webonary.org/marubo/ga28099e7-766f-4681-8014-8ed1213144f9/</x:v>
      </x:c>
      <x:c r="F986" t="str">
        <x:v>gac796808-c84e-45fc-8cd9-efeb1ebb8bac</x:v>
      </x:c>
      <x:c r="G986" s="20" t="n">
        <x:v>46003.934891400466</x:v>
      </x:c>
    </x:row>
    <x:row r="987">
      <x:c r="A987" s="18" t="str">
        <x:v>limpar</x:v>
      </x:c>
      <x:c r="B987" s="18" t="str">
        <x:v>toshko</x:v>
      </x:c>
      <x:c r="C987" s="19" t="n">
        <x:f>IF(B987="",0,(LEN(B987)-LEN(SUBSTITUTE(B987," | ","")))/3+1)</x:f>
        <x:v>1</x:v>
      </x:c>
      <x:c r="D987" t="str">
        <x:v>l</x:v>
      </x:c>
      <x:c r="E987" t="str">
        <x:v>https://www.webonary.org/marubo/g2a26ea32-3c37-472a-a84a-d461e84f76d7/</x:v>
      </x:c>
      <x:c r="F987" t="str">
        <x:v>g8af0283e-9a52-40dc-9d90-4fdca5a65c6d</x:v>
      </x:c>
      <x:c r="G987" s="20" t="n">
        <x:v>46003.934891400466</x:v>
      </x:c>
    </x:row>
    <x:row r="988">
      <x:c r="A988" s="18" t="str">
        <x:v>limpar parte de dentro (espingarda</x:v>
      </x:c>
      <x:c r="B988" s="18" t="str">
        <x:v>nashkia</x:v>
      </x:c>
      <x:c r="C988" s="19" t="n">
        <x:f>IF(B988="",0,(LEN(B988)-LEN(SUBSTITUTE(B988," | ","")))/3+1)</x:f>
        <x:v>1</x:v>
      </x:c>
      <x:c r="D988" t="str">
        <x:v>l</x:v>
      </x:c>
      <x:c r="E988" t="str">
        <x:v>https://www.webonary.org/marubo/g9a554692-278a-4d5e-a8f4-a1f3f4bdf28f/</x:v>
      </x:c>
      <x:c r="F988" t="str">
        <x:v>g9df2d9e8-00df-4a42-9e2d-4c9406888bc5</x:v>
      </x:c>
      <x:c r="G988" s="20" t="n">
        <x:v>46003.934891400466</x:v>
      </x:c>
    </x:row>
    <x:row r="989">
      <x:c r="A989" s="18" t="str">
        <x:v>limpo</x:v>
      </x:c>
      <x:c r="B989" s="18" t="str">
        <x:v>txochtama</x:v>
      </x:c>
      <x:c r="C989" s="19" t="n">
        <x:f>IF(B989="",0,(LEN(B989)-LEN(SUBSTITUTE(B989," | ","")))/3+1)</x:f>
        <x:v>1</x:v>
      </x:c>
      <x:c r="D989" t="str">
        <x:v>l</x:v>
      </x:c>
      <x:c r="E989" t="str">
        <x:v>https://www.webonary.org/marubo/gbbae511f-8ad3-496f-b518-34d9b33bd91d/</x:v>
      </x:c>
      <x:c r="F989" t="str">
        <x:v>gf89e41a6-9b42-4541-b491-176cec350909</x:v>
      </x:c>
      <x:c r="G989" s="20" t="n">
        <x:v>46003.934891400466</x:v>
      </x:c>
    </x:row>
    <x:row r="990">
      <x:c r="A990" s="18" t="str">
        <x:v>língua</x:v>
      </x:c>
      <x:c r="B990" s="18" t="str">
        <x:v>anarevo</x:v>
      </x:c>
      <x:c r="C990" s="19" t="n">
        <x:f>IF(B990="",0,(LEN(B990)-LEN(SUBSTITUTE(B990," | ","")))/3+1)</x:f>
        <x:v>1</x:v>
      </x:c>
      <x:c r="D990" t="str">
        <x:v>l</x:v>
      </x:c>
      <x:c r="E990" t="str">
        <x:v>https://www.webonary.org/marubo/g3a2237c1-11cb-4f47-baf7-34b699710903/</x:v>
      </x:c>
      <x:c r="F990" t="str">
        <x:v>geedc4c22-ed6d-4f25-aed1-6c0378bf2159</x:v>
      </x:c>
      <x:c r="G990" s="20" t="n">
        <x:v>46003.934891400466</x:v>
      </x:c>
    </x:row>
    <x:row r="991">
      <x:c r="A991" s="18" t="str">
        <x:v>língua antiga falado pelos Marubos</x:v>
      </x:c>
      <x:c r="B991" s="18" t="str">
        <x:v>asãki ikí vana</x:v>
      </x:c>
      <x:c r="C991" s="19" t="n">
        <x:f>IF(B991="",0,(LEN(B991)-LEN(SUBSTITUTE(B991," | ","")))/3+1)</x:f>
        <x:v>1</x:v>
      </x:c>
      <x:c r="D991" t="str">
        <x:v>l</x:v>
      </x:c>
      <x:c r="E991" t="str">
        <x:v>https://www.webonary.org/marubo/g6a394837-f98d-4363-986f-19bf53a88716/</x:v>
      </x:c>
      <x:c r="F991" t="str">
        <x:v>gdc863a19-5855-4d0e-b916-1c89c981faee</x:v>
      </x:c>
      <x:c r="G991" s="20" t="n">
        <x:v>46003.934891400466</x:v>
      </x:c>
    </x:row>
    <x:row r="992">
      <x:c r="A992" s="18" t="str">
        <x:v>linha</x:v>
      </x:c>
      <x:c r="B992" s="18" t="str">
        <x:v>resisi</x:v>
      </x:c>
      <x:c r="C992" s="19" t="n">
        <x:f>IF(B992="",0,(LEN(B992)-LEN(SUBSTITUTE(B992," | ","")))/3+1)</x:f>
        <x:v>1</x:v>
      </x:c>
      <x:c r="D992" t="str">
        <x:v>l</x:v>
      </x:c>
      <x:c r="E992" t="str">
        <x:v>https://www.webonary.org/marubo/g5fb1ec06-fde6-4dd0-855e-cce2109692a8/</x:v>
      </x:c>
      <x:c r="F992" t="str">
        <x:v>g4e089958-aa74-401a-b8b3-c600dfb20f70</x:v>
      </x:c>
      <x:c r="G992" s="20" t="n">
        <x:v>46003.934891400466</x:v>
      </x:c>
    </x:row>
    <x:row r="993">
      <x:c r="A993" s="18" t="str">
        <x:v>linha de pesca</x:v>
      </x:c>
      <x:c r="B993" s="18" t="str">
        <x:v>wetati maia</x:v>
      </x:c>
      <x:c r="C993" s="19" t="n">
        <x:f>IF(B993="",0,(LEN(B993)-LEN(SUBSTITUTE(B993," | ","")))/3+1)</x:f>
        <x:v>1</x:v>
      </x:c>
      <x:c r="D993" t="str">
        <x:v>l</x:v>
      </x:c>
      <x:c r="E993" t="str">
        <x:v>https://www.webonary.org/marubo/g05f14680-4da6-456c-bb73-39c62ac64a27/</x:v>
      </x:c>
      <x:c r="F993" t="str">
        <x:v>gecdcad82-d8be-4e9f-b155-3abbcffbc2f2</x:v>
      </x:c>
      <x:c r="G993" s="20" t="n">
        <x:v>46003.934891400466</x:v>
      </x:c>
    </x:row>
    <x:row r="994">
      <x:c r="A994" s="18" t="str">
        <x:v>líquido</x:v>
      </x:c>
      <x:c r="B994" s="18" t="str">
        <x:v>ene</x:v>
      </x:c>
      <x:c r="C994" s="19" t="n">
        <x:f>IF(B994="",0,(LEN(B994)-LEN(SUBSTITUTE(B994," | ","")))/3+1)</x:f>
        <x:v>1</x:v>
      </x:c>
      <x:c r="D994" t="str">
        <x:v>l</x:v>
      </x:c>
      <x:c r="E994" t="str">
        <x:v>https://www.webonary.org/marubo/g77f8c6b1-9e22-4acb-a28d-0319b5a86371/</x:v>
      </x:c>
      <x:c r="F994" t="str">
        <x:v>g68d290fa-0961-4eb2-9c6d-46ac425819fe</x:v>
      </x:c>
      <x:c r="G994" s="20" t="n">
        <x:v>46003.934891400466</x:v>
      </x:c>
    </x:row>
    <x:row r="995">
      <x:c r="A995" s="18" t="str">
        <x:v>liso</x:v>
      </x:c>
      <x:c r="B995" s="18" t="str">
        <x:v>tãyãka | cheroka</x:v>
      </x:c>
      <x:c r="C995" s="19" t="n">
        <x:f>IF(B995="",0,(LEN(B995)-LEN(SUBSTITUTE(B995," | ","")))/3+1)</x:f>
        <x:v>2</x:v>
      </x:c>
      <x:c r="D995" t="str">
        <x:v>l</x:v>
      </x:c>
      <x:c r="E995" t="str">
        <x:v>https://www.webonary.org/marubo/g71440426-b7dd-4b76-8d35-a4e29536c212/</x:v>
      </x:c>
      <x:c r="F995" t="str">
        <x:v>g322bd74d-4e1f-4df7-874e-869e4061cc8f</x:v>
      </x:c>
      <x:c r="G995" s="20" t="n">
        <x:v>46003.934891400466</x:v>
      </x:c>
    </x:row>
    <x:row r="996">
      <x:c r="A996" s="18" t="str">
        <x:v>liso (arvore)</x:v>
      </x:c>
      <x:c r="B996" s="18" t="str">
        <x:v>choika</x:v>
      </x:c>
      <x:c r="C996" s="19" t="n">
        <x:f>IF(B996="",0,(LEN(B996)-LEN(SUBSTITUTE(B996," | ","")))/3+1)</x:f>
        <x:v>1</x:v>
      </x:c>
      <x:c r="D996" t="str">
        <x:v>l</x:v>
      </x:c>
      <x:c r="E996" t="str">
        <x:v>https://www.webonary.org/marubo/ga8e0adf2-26e3-4e39-8b13-b7e9ff68e9e1/</x:v>
      </x:c>
      <x:c r="F996" t="str">
        <x:v>g70156811-d1c8-4654-9887-497d533b91a1</x:v>
      </x:c>
      <x:c r="G996" s="20" t="n">
        <x:v>46003.934891400466</x:v>
      </x:c>
    </x:row>
    <x:row r="997">
      <x:c r="A997" s="18" t="str">
        <x:v>listra padrão na roupa</x:v>
      </x:c>
      <x:c r="B997" s="18" t="str">
        <x:v>oshtõka</x:v>
      </x:c>
      <x:c r="C997" s="19" t="n">
        <x:f>IF(B997="",0,(LEN(B997)-LEN(SUBSTITUTE(B997," | ","")))/3+1)</x:f>
        <x:v>1</x:v>
      </x:c>
      <x:c r="D997" t="str">
        <x:v>l</x:v>
      </x:c>
      <x:c r="E997" t="str">
        <x:v>https://www.webonary.org/marubo/gcfcc2080-911b-42ca-aa81-60a7b47d74c0/</x:v>
      </x:c>
      <x:c r="F997" t="str">
        <x:v>gfcc74011-c936-46c0-94ae-d3f26128e05e</x:v>
      </x:c>
      <x:c r="G997" s="20" t="n">
        <x:v>46003.934891400466</x:v>
      </x:c>
    </x:row>
    <x:row r="998">
      <x:c r="A998" s="18" t="str">
        <x:v>listrado</x:v>
      </x:c>
      <x:c r="B998" s="18" t="str">
        <x:v>pokeya</x:v>
      </x:c>
      <x:c r="C998" s="19" t="n">
        <x:f>IF(B998="",0,(LEN(B998)-LEN(SUBSTITUTE(B998," | ","")))/3+1)</x:f>
        <x:v>1</x:v>
      </x:c>
      <x:c r="D998" t="str">
        <x:v>l</x:v>
      </x:c>
      <x:c r="E998" t="str">
        <x:v>https://www.webonary.org/marubo/g6b3eb331-fbbc-43f2-9dc2-bbb7f622f03b/</x:v>
      </x:c>
      <x:c r="F998" t="str">
        <x:v>g9b0fbc49-5555-4a5e-a119-664590a39c05</x:v>
      </x:c>
      <x:c r="G998" s="20" t="n">
        <x:v>46003.934891400466</x:v>
      </x:c>
    </x:row>
    <x:row r="999">
      <x:c r="A999" s="18" t="str">
        <x:v>livrar prisão de ventre</x:v>
      </x:c>
      <x:c r="B999" s="18" t="str">
        <x:v>txepéa</x:v>
      </x:c>
      <x:c r="C999" s="19" t="n">
        <x:f>IF(B999="",0,(LEN(B999)-LEN(SUBSTITUTE(B999," | ","")))/3+1)</x:f>
        <x:v>1</x:v>
      </x:c>
      <x:c r="D999" t="str">
        <x:v>l</x:v>
      </x:c>
      <x:c r="E999" t="str">
        <x:v>https://www.webonary.org/marubo/g7a2b1089-b67c-4215-ada7-80c2325febaf/</x:v>
      </x:c>
      <x:c r="F999" t="str">
        <x:v>g1ca405b2-c46d-45f6-91d2-b1a98fcfa3fc</x:v>
      </x:c>
      <x:c r="G999" s="20" t="n">
        <x:v>46003.934891400466</x:v>
      </x:c>
    </x:row>
    <x:row r="1000">
      <x:c r="A1000" s="18" t="str">
        <x:v>livro</x:v>
      </x:c>
      <x:c r="B1000" s="18" t="str">
        <x:v>papíri</x:v>
      </x:c>
      <x:c r="C1000" s="19" t="n">
        <x:f>IF(B1000="",0,(LEN(B1000)-LEN(SUBSTITUTE(B1000," | ","")))/3+1)</x:f>
        <x:v>1</x:v>
      </x:c>
      <x:c r="D1000" t="str">
        <x:v>l</x:v>
      </x:c>
      <x:c r="E1000" t="str">
        <x:v>https://www.webonary.org/marubo/g317df89f-e124-4c31-a2d7-59a2108e511b/</x:v>
      </x:c>
      <x:c r="F1000" t="str">
        <x:v>g046a59bd-5495-40d2-863c-30e5d14c050c</x:v>
      </x:c>
      <x:c r="G1000" s="20" t="n">
        <x:v>46003.934891400466</x:v>
      </x:c>
    </x:row>
    <x:row r="1001">
      <x:c r="A1001" s="18" t="str">
        <x:v>LOC</x:v>
      </x:c>
      <x:c r="B1001" s="18" t="str">
        <x:v>-̃ | 2 | -no | -nãmã</x:v>
      </x:c>
      <x:c r="C1001" s="19" t="n">
        <x:f>IF(B1001="",0,(LEN(B1001)-LEN(SUBSTITUTE(B1001," | ","")))/3+1)</x:f>
        <x:v>4</x:v>
      </x:c>
      <x:c r="D1001" t="str">
        <x:v>l</x:v>
      </x:c>
      <x:c r="E1001" t="str">
        <x:v>https://www.webonary.org/marubo/g4583add1-e9a4-43c1-bc3d-a41a93dd18bd/</x:v>
      </x:c>
      <x:c r="F1001" t="str">
        <x:v>gf6197735-061f-4c0b-9af0-e51fe71bc957</x:v>
      </x:c>
      <x:c r="G1001" s="20" t="n">
        <x:v>46003.934891400466</x:v>
      </x:c>
    </x:row>
    <x:row r="1002">
      <x:c r="A1002" s="18" t="str">
        <x:v>local na testa onde ficar as sobrancelhas</x:v>
      </x:c>
      <x:c r="B1002" s="18" t="str">
        <x:v>vero kẽpe</x:v>
      </x:c>
      <x:c r="C1002" s="19" t="n">
        <x:f>IF(B1002="",0,(LEN(B1002)-LEN(SUBSTITUTE(B1002," | ","")))/3+1)</x:f>
        <x:v>1</x:v>
      </x:c>
      <x:c r="D1002" t="str">
        <x:v>l</x:v>
      </x:c>
      <x:c r="E1002" t="str">
        <x:v>https://www.webonary.org/marubo/gd229ed0f-4974-4273-807a-30bf6042818d/</x:v>
      </x:c>
      <x:c r="F1002" t="str">
        <x:v>g4279cfaf-a904-493f-a2da-89133ba8de09</x:v>
      </x:c>
      <x:c r="G1002" s="20" t="n">
        <x:v>46003.934891400466</x:v>
      </x:c>
    </x:row>
    <x:row r="1003">
      <x:c r="A1003" s="18" t="str">
        <x:v>loja</x:v>
      </x:c>
      <x:c r="B1003" s="18" t="str">
        <x:v>aweshovo</x:v>
      </x:c>
      <x:c r="C1003" s="19" t="n">
        <x:f>IF(B1003="",0,(LEN(B1003)-LEN(SUBSTITUTE(B1003," | ","")))/3+1)</x:f>
        <x:v>1</x:v>
      </x:c>
      <x:c r="D1003" t="str">
        <x:v>l</x:v>
      </x:c>
      <x:c r="E1003" t="str">
        <x:v>https://www.webonary.org/marubo/ga8fc9bd2-49c0-4456-9ed0-a095c804419c/</x:v>
      </x:c>
      <x:c r="F1003" t="str">
        <x:v>g396c309e-4c9e-4b5a-853d-89270248d137</x:v>
      </x:c>
      <x:c r="G1003" s="20" t="n">
        <x:v>46003.934891400466</x:v>
      </x:c>
    </x:row>
    <x:row r="1004">
      <x:c r="A1004" s="18" t="str">
        <x:v>longe</x:v>
      </x:c>
      <x:c r="B1004" s="18" t="str">
        <x:v>oraka | ora</x:v>
      </x:c>
      <x:c r="C1004" s="19" t="n">
        <x:f>IF(B1004="",0,(LEN(B1004)-LEN(SUBSTITUTE(B1004," | ","")))/3+1)</x:f>
        <x:v>2</x:v>
      </x:c>
      <x:c r="D1004" t="str">
        <x:v>l</x:v>
      </x:c>
      <x:c r="E1004" t="str">
        <x:v>https://www.webonary.org/marubo/g728c4334-b625-49c9-bc66-0dce75e319c2/</x:v>
      </x:c>
      <x:c r="F1004" t="str">
        <x:v>g22b677b1-84c2-442d-8638-00a49cc15f38</x:v>
      </x:c>
      <x:c r="G1004" s="20" t="n">
        <x:v>46003.934891400466</x:v>
      </x:c>
    </x:row>
    <x:row r="1005">
      <x:c r="A1005" s="18" t="str">
        <x:v>lontra</x:v>
      </x:c>
      <x:c r="B1005" s="18" t="str">
        <x:v>võsĩ</x:v>
      </x:c>
      <x:c r="C1005" s="19" t="n">
        <x:f>IF(B1005="",0,(LEN(B1005)-LEN(SUBSTITUTE(B1005," | ","")))/3+1)</x:f>
        <x:v>1</x:v>
      </x:c>
      <x:c r="D1005" t="str">
        <x:v>l</x:v>
      </x:c>
      <x:c r="E1005" t="str">
        <x:v>https://www.webonary.org/marubo/g84e29e75-bdef-4eac-aa9b-ff24d4385592/</x:v>
      </x:c>
      <x:c r="F1005" t="str">
        <x:v>g4aa2ce93-8c41-427f-9646-0d92a982a1f4</x:v>
      </x:c>
      <x:c r="G1005" s="20" t="n">
        <x:v>46003.934891400466</x:v>
      </x:c>
    </x:row>
    <x:row r="1006">
      <x:c r="A1006" s="18" t="str">
        <x:v>lua</x:v>
      </x:c>
      <x:c r="B1006" s="18" t="str">
        <x:v>oshe</x:v>
      </x:c>
      <x:c r="C1006" s="19" t="n">
        <x:f>IF(B1006="",0,(LEN(B1006)-LEN(SUBSTITUTE(B1006," | ","")))/3+1)</x:f>
        <x:v>1</x:v>
      </x:c>
      <x:c r="D1006" t="str">
        <x:v>l</x:v>
      </x:c>
      <x:c r="E1006" t="str">
        <x:v>https://www.webonary.org/marubo/g725e7384-51ee-4942-a4f3-38f387cc2a1e/</x:v>
      </x:c>
      <x:c r="F1006" t="str">
        <x:v>g206d1fa8-1d2b-4c2c-b809-28a8151de162</x:v>
      </x:c>
      <x:c r="G1006" s="20" t="n">
        <x:v>46003.934901898145</x:v>
      </x:c>
    </x:row>
    <x:row r="1007">
      <x:c r="A1007" s="18" t="str">
        <x:v>lua cheia</x:v>
      </x:c>
      <x:c r="B1007" s="18" t="str">
        <x:v>oshe vero ania</x:v>
      </x:c>
      <x:c r="C1007" s="19" t="n">
        <x:f>IF(B1007="",0,(LEN(B1007)-LEN(SUBSTITUTE(B1007," | ","")))/3+1)</x:f>
        <x:v>1</x:v>
      </x:c>
      <x:c r="D1007" t="str">
        <x:v>l</x:v>
      </x:c>
      <x:c r="E1007" t="str">
        <x:v>https://www.webonary.org/marubo/g109dda3a-0d90-446e-8a09-5d1f7febbef6/</x:v>
      </x:c>
      <x:c r="F1007" t="str">
        <x:v>g19480b2c-8e5c-43c6-8e8c-a38f4364a5ff</x:v>
      </x:c>
      <x:c r="G1007" s="20" t="n">
        <x:v>46003.934901898145</x:v>
      </x:c>
    </x:row>
    <x:row r="1008">
      <x:c r="A1008" s="18" t="str">
        <x:v>lua crescente</x:v>
      </x:c>
      <x:c r="B1008" s="18" t="str">
        <x:v>oshe raka vená</x:v>
      </x:c>
      <x:c r="C1008" s="19" t="n">
        <x:f>IF(B1008="",0,(LEN(B1008)-LEN(SUBSTITUTE(B1008," | ","")))/3+1)</x:f>
        <x:v>1</x:v>
      </x:c>
      <x:c r="D1008" t="str">
        <x:v>l</x:v>
      </x:c>
      <x:c r="E1008" t="str">
        <x:v>https://www.webonary.org/marubo/g947626bf-b491-4a15-9b5a-3075f99418cb/</x:v>
      </x:c>
      <x:c r="F1008" t="str">
        <x:v>gf8f2f7d6-2949-4627-a63c-d77cd6a33dab</x:v>
      </x:c>
      <x:c r="G1008" s="20" t="n">
        <x:v>46003.934901898145</x:v>
      </x:c>
    </x:row>
    <x:row r="1009">
      <x:c r="A1009" s="18" t="str">
        <x:v>lugar</x:v>
      </x:c>
      <x:c r="B1009" s="18" t="str">
        <x:v>sawéa</x:v>
      </x:c>
      <x:c r="C1009" s="19" t="n">
        <x:f>IF(B1009="",0,(LEN(B1009)-LEN(SUBSTITUTE(B1009," | ","")))/3+1)</x:f>
        <x:v>1</x:v>
      </x:c>
      <x:c r="D1009" t="str">
        <x:v>l</x:v>
      </x:c>
      <x:c r="E1009" t="str">
        <x:v>https://www.webonary.org/marubo/g3275b1ea-07eb-48fb-8355-2d61004f67f2/</x:v>
      </x:c>
      <x:c r="F1009" t="str">
        <x:v>g14f827a4-b7aa-4668-9ed7-b9c6d90dfd7c</x:v>
      </x:c>
      <x:c r="G1009" s="20" t="n">
        <x:v>46003.934901898145</x:v>
      </x:c>
    </x:row>
    <x:row r="1010">
      <x:c r="A1010" s="18" t="str">
        <x:v>lugar de encontrar na festa veya</x:v>
      </x:c>
      <x:c r="B1010" s="18" t="str">
        <x:v>veyá mató</x:v>
      </x:c>
      <x:c r="C1010" s="19" t="n">
        <x:f>IF(B1010="",0,(LEN(B1010)-LEN(SUBSTITUTE(B1010," | ","")))/3+1)</x:f>
        <x:v>1</x:v>
      </x:c>
      <x:c r="D1010" t="str">
        <x:v>l</x:v>
      </x:c>
      <x:c r="E1010" t="str">
        <x:v>https://www.webonary.org/marubo/gb787e1b5-0ab3-4319-8c93-4d852f76e6a8/</x:v>
      </x:c>
      <x:c r="F1010" t="str">
        <x:v>g52503a39-48b7-4973-96ca-46da0a525165</x:v>
      </x:c>
      <x:c r="G1010" s="20" t="n">
        <x:v>46003.934901898145</x:v>
      </x:c>
    </x:row>
    <x:row r="1011">
      <x:c r="A1011" s="18" t="str">
        <x:v>lugar onde dorme o inhambu</x:v>
      </x:c>
      <x:c r="B1011" s="18" t="str">
        <x:v>paiti</x:v>
      </x:c>
      <x:c r="C1011" s="19" t="n">
        <x:f>IF(B1011="",0,(LEN(B1011)-LEN(SUBSTITUTE(B1011," | ","")))/3+1)</x:f>
        <x:v>1</x:v>
      </x:c>
      <x:c r="D1011" t="str">
        <x:v>l</x:v>
      </x:c>
      <x:c r="E1011" t="str">
        <x:v>https://www.webonary.org/marubo/gdab1b724-4dfb-48c0-96c3-0cdefb7bd758/</x:v>
      </x:c>
      <x:c r="F1011" t="str">
        <x:v>g0c046a67-9300-45d4-8783-35c6d3c1ec07</x:v>
      </x:c>
      <x:c r="G1011" s="20" t="n">
        <x:v>46003.934901898145</x:v>
      </x:c>
    </x:row>
    <x:row r="1012">
      <x:c r="A1012" s="18" t="str">
        <x:v>luz</x:v>
      </x:c>
      <x:c r="B1012" s="18" t="str">
        <x:v>amo</x:v>
      </x:c>
      <x:c r="C1012" s="19" t="n">
        <x:f>IF(B1012="",0,(LEN(B1012)-LEN(SUBSTITUTE(B1012," | ","")))/3+1)</x:f>
        <x:v>1</x:v>
      </x:c>
      <x:c r="D1012" t="str">
        <x:v>l</x:v>
      </x:c>
      <x:c r="E1012" t="str">
        <x:v>https://www.webonary.org/marubo/ge2ba588b-fff1-4c55-bad6-15826dbb82fb/</x:v>
      </x:c>
      <x:c r="F1012" t="str">
        <x:v>g80208f99-0744-460f-a61e-50ba22e40338</x:v>
      </x:c>
      <x:c r="G1012" s="20" t="n">
        <x:v>46003.934901898145</x:v>
      </x:c>
    </x:row>
    <x:row r="1013">
      <x:c r="A1013" s="18" t="str">
        <x:v>macaco</x:v>
      </x:c>
      <x:c r="B1013" s="18" t="str">
        <x:v>roka voshpo | roka õchĩ | 1 | niro</x:v>
      </x:c>
      <x:c r="C1013" s="19" t="n">
        <x:f>IF(B1013="",0,(LEN(B1013)-LEN(SUBSTITUTE(B1013," | ","")))/3+1)</x:f>
        <x:v>4</x:v>
      </x:c>
      <x:c r="D1013" t="str">
        <x:v>m</x:v>
      </x:c>
      <x:c r="E1013" t="str">
        <x:v>https://www.webonary.org/marubo/gde0e6bfc-1cad-4fbe-bd59-171c8d258a14/</x:v>
      </x:c>
      <x:c r="F1013" t="str">
        <x:v>ge3547bb1-f92d-45d5-8458-5db69f526552</x:v>
      </x:c>
      <x:c r="G1013" s="20" t="n">
        <x:v>46003.934901898145</x:v>
      </x:c>
    </x:row>
    <x:row r="1014">
      <x:c r="A1014" s="18" t="str">
        <x:v>macaco barrigudo</x:v>
      </x:c>
      <x:c r="B1014" s="18" t="str">
        <x:v>txona | 1</x:v>
      </x:c>
      <x:c r="C1014" s="19" t="n">
        <x:f>IF(B1014="",0,(LEN(B1014)-LEN(SUBSTITUTE(B1014," | ","")))/3+1)</x:f>
        <x:v>2</x:v>
      </x:c>
      <x:c r="D1014" t="str">
        <x:v>m</x:v>
      </x:c>
      <x:c r="E1014" t="str">
        <x:v>https://www.webonary.org/marubo/g3f6254d8-7f5d-4125-974d-0134f3d6c9f9/</x:v>
      </x:c>
      <x:c r="F1014" t="str">
        <x:v>gf7e58910-5eb1-4c85-82fd-fcdfe8ca83cb</x:v>
      </x:c>
      <x:c r="G1014" s="20" t="n">
        <x:v>46003.934901898145</x:v>
      </x:c>
    </x:row>
    <x:row r="1015">
      <x:c r="A1015" s="18" t="str">
        <x:v>macaco em geral</x:v>
      </x:c>
      <x:c r="B1015" s="18" t="str">
        <x:v>keyá yoĩni</x:v>
      </x:c>
      <x:c r="C1015" s="19" t="n">
        <x:f>IF(B1015="",0,(LEN(B1015)-LEN(SUBSTITUTE(B1015," | ","")))/3+1)</x:f>
        <x:v>1</x:v>
      </x:c>
      <x:c r="D1015" t="str">
        <x:v>m</x:v>
      </x:c>
      <x:c r="E1015" t="str">
        <x:v>https://www.webonary.org/marubo/g1d45655c-15cc-4443-ae75-54a91708d563/</x:v>
      </x:c>
      <x:c r="F1015" t="str">
        <x:v>g299f28dd-8d7a-4917-aa8c-704af9e091b0</x:v>
      </x:c>
      <x:c r="G1015" s="20" t="n">
        <x:v>46003.934901898145</x:v>
      </x:c>
    </x:row>
    <x:row r="1016">
      <x:c r="A1016" s="18" t="str">
        <x:v>macaco prego</x:v>
      </x:c>
      <x:c r="B1016" s="18" t="str">
        <x:v>chino | 1</x:v>
      </x:c>
      <x:c r="C1016" s="19" t="n">
        <x:f>IF(B1016="",0,(LEN(B1016)-LEN(SUBSTITUTE(B1016," | ","")))/3+1)</x:f>
        <x:v>2</x:v>
      </x:c>
      <x:c r="D1016" t="str">
        <x:v>m</x:v>
      </x:c>
      <x:c r="E1016" t="str">
        <x:v>https://www.webonary.org/marubo/g67b93bde-fa1f-48d8-852a-7415161da4c4/</x:v>
      </x:c>
      <x:c r="F1016" t="str">
        <x:v>ga149e85d-c0b2-4d3d-8223-fa41056ed6ce</x:v>
      </x:c>
      <x:c r="G1016" s="20" t="n">
        <x:v>46003.934901898145</x:v>
      </x:c>
    </x:row>
    <x:row r="1017">
      <x:c r="A1017" s="18" t="str">
        <x:v>macaco preto</x:v>
      </x:c>
      <x:c r="B1017" s="18" t="str">
        <x:v>iso | 1</x:v>
      </x:c>
      <x:c r="C1017" s="19" t="n">
        <x:f>IF(B1017="",0,(LEN(B1017)-LEN(SUBSTITUTE(B1017," | ","")))/3+1)</x:f>
        <x:v>2</x:v>
      </x:c>
      <x:c r="D1017" t="str">
        <x:v>m</x:v>
      </x:c>
      <x:c r="E1017" t="str">
        <x:v>https://www.webonary.org/marubo/gc9eae1ee-90ae-4508-8bcb-f758fbb19898/</x:v>
      </x:c>
      <x:c r="F1017" t="str">
        <x:v>gd19b85e4-0e7e-4860-9553-4cb015caa836</x:v>
      </x:c>
      <x:c r="G1017" s="20" t="n">
        <x:v>46003.934901898145</x:v>
      </x:c>
    </x:row>
    <x:row r="1018">
      <x:c r="A1018" s="18" t="str">
        <x:v>maçaranduba</x:v>
      </x:c>
      <x:c r="B1018" s="18" t="str">
        <x:v>keo</x:v>
      </x:c>
      <x:c r="C1018" s="19" t="n">
        <x:f>IF(B1018="",0,(LEN(B1018)-LEN(SUBSTITUTE(B1018," | ","")))/3+1)</x:f>
        <x:v>1</x:v>
      </x:c>
      <x:c r="D1018" t="str">
        <x:v>m</x:v>
      </x:c>
      <x:c r="E1018" t="str">
        <x:v>https://www.webonary.org/marubo/gc5306fa2-ffda-406f-ad40-6fd19e49402b/</x:v>
      </x:c>
      <x:c r="F1018" t="str">
        <x:v>g7a52ae0b-66f5-47c1-adee-5ddc90866afb</x:v>
      </x:c>
      <x:c r="G1018" s="20" t="n">
        <x:v>46003.934901898145</x:v>
      </x:c>
    </x:row>
    <x:row r="1019">
      <x:c r="A1019" s="18" t="str">
        <x:v>machado</x:v>
      </x:c>
      <x:c r="B1019" s="18" t="str">
        <x:v>roe</x:v>
      </x:c>
      <x:c r="C1019" s="19" t="n">
        <x:f>IF(B1019="",0,(LEN(B1019)-LEN(SUBSTITUTE(B1019," | ","")))/3+1)</x:f>
        <x:v>1</x:v>
      </x:c>
      <x:c r="D1019" t="str">
        <x:v>m</x:v>
      </x:c>
      <x:c r="E1019" t="str">
        <x:v>https://www.webonary.org/marubo/g17ecf91e-64ad-4803-8121-5d4ad868281c/</x:v>
      </x:c>
      <x:c r="F1019" t="str">
        <x:v>g93a04267-705f-4e0d-b44c-9e2452151f04</x:v>
      </x:c>
      <x:c r="G1019" s="20" t="n">
        <x:v>46003.934901898145</x:v>
      </x:c>
    </x:row>
    <x:row r="1020">
      <x:c r="A1020" s="18" t="str">
        <x:v>machado de pedra</x:v>
      </x:c>
      <x:c r="B1020" s="18" t="str">
        <x:v>posti | 1</x:v>
      </x:c>
      <x:c r="C1020" s="19" t="n">
        <x:f>IF(B1020="",0,(LEN(B1020)-LEN(SUBSTITUTE(B1020," | ","")))/3+1)</x:f>
        <x:v>2</x:v>
      </x:c>
      <x:c r="D1020" t="str">
        <x:v>m</x:v>
      </x:c>
      <x:c r="E1020" t="str">
        <x:v>https://www.webonary.org/marubo/g4c7167a8-a4d4-4e3c-89a2-d6dd84871fe5/</x:v>
      </x:c>
      <x:c r="F1020" t="str">
        <x:v>g17ab54c2-ac47-4ef3-9089-749c30daace5</x:v>
      </x:c>
      <x:c r="G1020" s="20" t="n">
        <x:v>46003.934901898145</x:v>
      </x:c>
    </x:row>
    <x:row r="1021">
      <x:c r="A1021" s="18" t="str">
        <x:v>macio</x:v>
      </x:c>
      <x:c r="B1021" s="18" t="str">
        <x:v>patxichta</x:v>
      </x:c>
      <x:c r="C1021" s="19" t="n">
        <x:f>IF(B1021="",0,(LEN(B1021)-LEN(SUBSTITUTE(B1021," | ","")))/3+1)</x:f>
        <x:v>1</x:v>
      </x:c>
      <x:c r="D1021" t="str">
        <x:v>m</x:v>
      </x:c>
      <x:c r="E1021" t="str">
        <x:v>https://www.webonary.org/marubo/gbd0635ae-b3dd-43f2-9322-7e1fd5dbc0f1/</x:v>
      </x:c>
      <x:c r="F1021" t="str">
        <x:v>g66d32963-9a83-421d-a69e-dd41e86fb400</x:v>
      </x:c>
      <x:c r="G1021" s="20" t="n">
        <x:v>46003.934901898145</x:v>
      </x:c>
    </x:row>
    <x:row r="1022">
      <x:c r="A1022" s="18" t="str">
        <x:v>madeira de babaçu para furar aruá</x:v>
      </x:c>
      <x:c r="B1022" s="18" t="str">
        <x:v>chewẽ | 1</x:v>
      </x:c>
      <x:c r="C1022" s="19" t="n">
        <x:f>IF(B1022="",0,(LEN(B1022)-LEN(SUBSTITUTE(B1022," | ","")))/3+1)</x:f>
        <x:v>2</x:v>
      </x:c>
      <x:c r="D1022" t="str">
        <x:v>m</x:v>
      </x:c>
      <x:c r="E1022" t="str">
        <x:v>https://www.webonary.org/marubo/g9735b4dc-0f28-4e80-84d9-d2919f408635/</x:v>
      </x:c>
      <x:c r="F1022" t="str">
        <x:v>g1b314533-62e8-4403-b63b-e593485894c3</x:v>
      </x:c>
      <x:c r="G1022" s="20" t="n">
        <x:v>46003.934901898145</x:v>
      </x:c>
    </x:row>
    <x:row r="1023">
      <x:c r="A1023" s="18" t="str">
        <x:v>maduro</x:v>
      </x:c>
      <x:c r="B1023" s="18" t="str">
        <x:v>tsasiya</x:v>
      </x:c>
      <x:c r="C1023" s="19" t="n">
        <x:f>IF(B1023="",0,(LEN(B1023)-LEN(SUBSTITUTE(B1023," | ","")))/3+1)</x:f>
        <x:v>1</x:v>
      </x:c>
      <x:c r="D1023" t="str">
        <x:v>m</x:v>
      </x:c>
      <x:c r="E1023" t="str">
        <x:v>https://www.webonary.org/marubo/g4bcffd4b-9647-45ab-bbd6-2801026b98a2/</x:v>
      </x:c>
      <x:c r="F1023" t="str">
        <x:v>g23abcfc0-c15e-4fb1-a5e4-fbb3f5024513</x:v>
      </x:c>
      <x:c r="G1023" s="20" t="n">
        <x:v>46003.934901898145</x:v>
      </x:c>
    </x:row>
    <x:row r="1024">
      <x:c r="A1024" s="18" t="str">
        <x:v>mãe</x:v>
      </x:c>
      <x:c r="B1024" s="18" t="str">
        <x:v>ewa</x:v>
      </x:c>
      <x:c r="C1024" s="19" t="n">
        <x:f>IF(B1024="",0,(LEN(B1024)-LEN(SUBSTITUTE(B1024," | ","")))/3+1)</x:f>
        <x:v>1</x:v>
      </x:c>
      <x:c r="D1024" t="str">
        <x:v>m</x:v>
      </x:c>
      <x:c r="E1024" t="str">
        <x:v>https://www.webonary.org/marubo/g349047ed-3551-41eb-a964-08deccd21cb5/</x:v>
      </x:c>
      <x:c r="F1024" t="str">
        <x:v>g162964e9-6deb-4154-8916-c55ed2809113</x:v>
      </x:c>
      <x:c r="G1024" s="20" t="n">
        <x:v>46003.934901898145</x:v>
      </x:c>
    </x:row>
    <x:row r="1025">
      <x:c r="A1025" s="18" t="str">
        <x:v>magro</x:v>
      </x:c>
      <x:c r="B1025" s="18" t="str">
        <x:v>txãti</x:v>
      </x:c>
      <x:c r="C1025" s="19" t="n">
        <x:f>IF(B1025="",0,(LEN(B1025)-LEN(SUBSTITUTE(B1025," | ","")))/3+1)</x:f>
        <x:v>1</x:v>
      </x:c>
      <x:c r="D1025" t="str">
        <x:v>m</x:v>
      </x:c>
      <x:c r="E1025" t="str">
        <x:v>https://www.webonary.org/marubo/g9b1bf06c-aba7-42ba-bb99-e5b221eb0731/</x:v>
      </x:c>
      <x:c r="F1025" t="str">
        <x:v>g44256247-ca42-40e0-bb91-f11fc5cd6f44</x:v>
      </x:c>
      <x:c r="G1025" s="20" t="n">
        <x:v>46003.934901898145</x:v>
      </x:c>
    </x:row>
    <x:row r="1026">
      <x:c r="A1026" s="18" t="str">
        <x:v>mais novo</x:v>
      </x:c>
      <x:c r="B1026" s="18" t="str">
        <x:v>txipoké</x:v>
      </x:c>
      <x:c r="C1026" s="19" t="n">
        <x:f>IF(B1026="",0,(LEN(B1026)-LEN(SUBSTITUTE(B1026," | ","")))/3+1)</x:f>
        <x:v>1</x:v>
      </x:c>
      <x:c r="D1026" t="str">
        <x:v>m</x:v>
      </x:c>
      <x:c r="E1026" t="str">
        <x:v>https://www.webonary.org/marubo/g8be11ab7-d180-41f7-b530-6ae8931f274b/</x:v>
      </x:c>
      <x:c r="F1026" t="str">
        <x:v>g6f82e4b2-cbcb-4ffa-a4d7-273623ca1d9d</x:v>
      </x:c>
      <x:c r="G1026" s="20" t="n">
        <x:v>46003.934901898145</x:v>
      </x:c>
    </x:row>
    <x:row r="1027">
      <x:c r="A1027" s="18" t="str">
        <x:v>mais velho</x:v>
      </x:c>
      <x:c r="B1027" s="18" t="str">
        <x:v>vevoke</x:v>
      </x:c>
      <x:c r="C1027" s="19" t="n">
        <x:f>IF(B1027="",0,(LEN(B1027)-LEN(SUBSTITUTE(B1027," | ","")))/3+1)</x:f>
        <x:v>1</x:v>
      </x:c>
      <x:c r="D1027" t="str">
        <x:v>m</x:v>
      </x:c>
      <x:c r="E1027" t="str">
        <x:v>https://www.webonary.org/marubo/gdbe6932d-49ac-4903-8ec2-c3f86ba8dad0/</x:v>
      </x:c>
      <x:c r="F1027" t="str">
        <x:v>g5529519a-7de2-44d9-baa6-d3f4cc2c6ace</x:v>
      </x:c>
      <x:c r="G1027" s="20" t="n">
        <x:v>46003.934901898145</x:v>
      </x:c>
    </x:row>
    <x:row r="1028">
      <x:c r="A1028" s="18" t="str">
        <x:v>mal</x:v>
      </x:c>
      <x:c r="B1028" s="18" t="str">
        <x:v>ichnáka</x:v>
      </x:c>
      <x:c r="C1028" s="19" t="n">
        <x:f>IF(B1028="",0,(LEN(B1028)-LEN(SUBSTITUTE(B1028," | ","")))/3+1)</x:f>
        <x:v>1</x:v>
      </x:c>
      <x:c r="D1028" t="str">
        <x:v>m</x:v>
      </x:c>
      <x:c r="E1028" t="str">
        <x:v>https://www.webonary.org/marubo/gf30cbea4-8503-4123-b186-cbc8c745a3b5/</x:v>
      </x:c>
      <x:c r="F1028" t="str">
        <x:v>g89e25798-61f1-4241-994c-16d3e408c292</x:v>
      </x:c>
      <x:c r="G1028" s="20" t="n">
        <x:v>46003.934901898145</x:v>
      </x:c>
    </x:row>
    <x:row r="1029">
      <x:c r="A1029" s="18" t="str">
        <x:v>MAL</x:v>
      </x:c>
      <x:c r="B1029" s="18" t="str">
        <x:v>-̃kã</x:v>
      </x:c>
      <x:c r="C1029" s="19" t="n">
        <x:f>IF(B1029="",0,(LEN(B1029)-LEN(SUBSTITUTE(B1029," | ","")))/3+1)</x:f>
        <x:v>1</x:v>
      </x:c>
      <x:c r="D1029" t="str">
        <x:v>m</x:v>
      </x:c>
      <x:c r="E1029" t="str">
        <x:v>https://www.webonary.org/marubo/g65a92032-a01a-4e3a-9c28-80b555e81bdb/</x:v>
      </x:c>
      <x:c r="F1029" t="str">
        <x:v>g28e7cf70-e18a-40d8-89b1-f03adff4d69f</x:v>
      </x:c>
      <x:c r="G1029" s="20" t="n">
        <x:v>46003.934901898145</x:v>
      </x:c>
    </x:row>
    <x:row r="1030">
      <x:c r="A1030" s="18" t="str">
        <x:v>mal cheiro ou gosto para peixe ou cachorro</x:v>
      </x:c>
      <x:c r="B1030" s="18" t="str">
        <x:v>iaka</x:v>
      </x:c>
      <x:c r="C1030" s="19" t="n">
        <x:f>IF(B1030="",0,(LEN(B1030)-LEN(SUBSTITUTE(B1030," | ","")))/3+1)</x:f>
        <x:v>1</x:v>
      </x:c>
      <x:c r="D1030" t="str">
        <x:v>m</x:v>
      </x:c>
      <x:c r="E1030" t="str">
        <x:v>https://www.webonary.org/marubo/g4681f9c6-1abd-46f5-aff4-a0be7bf5b003/</x:v>
      </x:c>
      <x:c r="F1030" t="str">
        <x:v>g6b2af442-1cbb-48ca-9539-90d92927d695</x:v>
      </x:c>
      <x:c r="G1030" s="20" t="n">
        <x:v>46003.934901898145</x:v>
      </x:c>
    </x:row>
    <x:row r="1031">
      <x:c r="A1031" s="18" t="str">
        <x:v>mal mastigar</x:v>
      </x:c>
      <x:c r="B1031" s="18" t="str">
        <x:v>txaro aká</x:v>
      </x:c>
      <x:c r="C1031" s="19" t="n">
        <x:f>IF(B1031="",0,(LEN(B1031)-LEN(SUBSTITUTE(B1031," | ","")))/3+1)</x:f>
        <x:v>1</x:v>
      </x:c>
      <x:c r="D1031" t="str">
        <x:v>m</x:v>
      </x:c>
      <x:c r="E1031" t="str">
        <x:v>https://www.webonary.org/marubo/g4ed3492e-5b04-4d5c-b251-0ebaa42226e7/</x:v>
      </x:c>
      <x:c r="F1031" t="str">
        <x:v>g2fc941e6-b7e6-4f8f-8582-f790abeeff77</x:v>
      </x:c>
      <x:c r="G1031" s="20" t="n">
        <x:v>46003.934901898145</x:v>
      </x:c>
    </x:row>
    <x:row r="1032">
      <x:c r="A1032" s="18" t="str">
        <x:v>malhadeira</x:v>
      </x:c>
      <x:c r="B1032" s="18" t="str">
        <x:v>pameti</x:v>
      </x:c>
      <x:c r="C1032" s="19" t="n">
        <x:f>IF(B1032="",0,(LEN(B1032)-LEN(SUBSTITUTE(B1032," | ","")))/3+1)</x:f>
        <x:v>1</x:v>
      </x:c>
      <x:c r="D1032" t="str">
        <x:v>m</x:v>
      </x:c>
      <x:c r="E1032" t="str">
        <x:v>https://www.webonary.org/marubo/gd1d03496-b1cb-499e-bdbe-bddc3cbeadb8/</x:v>
      </x:c>
      <x:c r="F1032" t="str">
        <x:v>g643a5626-96ac-4f46-8c1c-578557d92dab</x:v>
      </x:c>
      <x:c r="G1032" s="20" t="n">
        <x:v>46003.934901898145</x:v>
      </x:c>
    </x:row>
    <x:row r="1033">
      <x:c r="A1033" s="18" t="str">
        <x:v>maloca</x:v>
      </x:c>
      <x:c r="B1033" s="18" t="str">
        <x:v>shovo</x:v>
      </x:c>
      <x:c r="C1033" s="19" t="n">
        <x:f>IF(B1033="",0,(LEN(B1033)-LEN(SUBSTITUTE(B1033," | ","")))/3+1)</x:f>
        <x:v>1</x:v>
      </x:c>
      <x:c r="D1033" t="str">
        <x:v>m</x:v>
      </x:c>
      <x:c r="E1033" t="str">
        <x:v>https://www.webonary.org/marubo/gd0011508-820b-4f35-b6fb-331e4dd2ecd6/</x:v>
      </x:c>
      <x:c r="F1033" t="str">
        <x:v>g07af2189-0a0c-465b-b762-b4723469f4b7</x:v>
      </x:c>
      <x:c r="G1033" s="20" t="n">
        <x:v>46003.934901898145</x:v>
      </x:c>
    </x:row>
    <x:row r="1034">
      <x:c r="A1034" s="18" t="str">
        <x:v>mamao</x:v>
      </x:c>
      <x:c r="B1034" s="18" t="str">
        <x:v>shõpa</x:v>
      </x:c>
      <x:c r="C1034" s="19" t="n">
        <x:f>IF(B1034="",0,(LEN(B1034)-LEN(SUBSTITUTE(B1034," | ","")))/3+1)</x:f>
        <x:v>1</x:v>
      </x:c>
      <x:c r="D1034" t="str">
        <x:v>m</x:v>
      </x:c>
      <x:c r="E1034" t="str">
        <x:v>https://www.webonary.org/marubo/gb227dd42-cfe9-4a48-8521-afa44ef2612a/</x:v>
      </x:c>
      <x:c r="F1034" t="str">
        <x:v>ga6afe146-e850-45fe-a88b-8cf84a6280b1</x:v>
      </x:c>
      <x:c r="G1034" s="20" t="n">
        <x:v>46003.934901898145</x:v>
      </x:c>
    </x:row>
    <x:row r="1035">
      <x:c r="A1035" s="18" t="str">
        <x:v>manchar</x:v>
      </x:c>
      <x:c r="B1035" s="18" t="str">
        <x:v>tsaká</x:v>
      </x:c>
      <x:c r="C1035" s="19" t="n">
        <x:f>IF(B1035="",0,(LEN(B1035)-LEN(SUBSTITUTE(B1035," | ","")))/3+1)</x:f>
        <x:v>1</x:v>
      </x:c>
      <x:c r="D1035" t="str">
        <x:v>m</x:v>
      </x:c>
      <x:c r="E1035" t="str">
        <x:v>https://www.webonary.org/marubo/gd9f4a37e-7ceb-4805-bd3d-de905b86b5d1/</x:v>
      </x:c>
      <x:c r="F1035" t="str">
        <x:v>g19b92f10-85f6-45fe-b484-df0536b259d0</x:v>
      </x:c>
      <x:c r="G1035" s="20" t="n">
        <x:v>46003.934901898145</x:v>
      </x:c>
    </x:row>
    <x:row r="1036">
      <x:c r="A1036" s="18" t="str">
        <x:v>mandar</x:v>
      </x:c>
      <x:c r="B1036" s="18" t="str">
        <x:v>yonoa</x:v>
      </x:c>
      <x:c r="C1036" s="19" t="n">
        <x:f>IF(B1036="",0,(LEN(B1036)-LEN(SUBSTITUTE(B1036," | ","")))/3+1)</x:f>
        <x:v>1</x:v>
      </x:c>
      <x:c r="D1036" t="str">
        <x:v>m</x:v>
      </x:c>
      <x:c r="E1036" t="str">
        <x:v>https://www.webonary.org/marubo/gba5f8a9e-1121-4702-a558-32fbebcee993/</x:v>
      </x:c>
      <x:c r="F1036" t="str">
        <x:v>g7dbcbbe5-4582-43c7-b2cc-ab19b718a93c</x:v>
      </x:c>
      <x:c r="G1036" s="20" t="n">
        <x:v>46003.934901898145</x:v>
      </x:c>
    </x:row>
    <x:row r="1037">
      <x:c r="A1037" s="18" t="str">
        <x:v>mandar embora</x:v>
      </x:c>
      <x:c r="B1037" s="18" t="str">
        <x:v>kayã</x:v>
      </x:c>
      <x:c r="C1037" s="19" t="n">
        <x:f>IF(B1037="",0,(LEN(B1037)-LEN(SUBSTITUTE(B1037," | ","")))/3+1)</x:f>
        <x:v>1</x:v>
      </x:c>
      <x:c r="D1037" t="str">
        <x:v>m</x:v>
      </x:c>
      <x:c r="E1037" t="str">
        <x:v>https://www.webonary.org/marubo/g71313e50-8f54-4969-a922-b7fdc8884e7f/</x:v>
      </x:c>
      <x:c r="F1037" t="str">
        <x:v>gdcdf35f3-47be-49fc-8282-1473c52c3c14</x:v>
      </x:c>
      <x:c r="G1037" s="20" t="n">
        <x:v>46003.934901898145</x:v>
      </x:c>
    </x:row>
    <x:row r="1038">
      <x:c r="A1038" s="18" t="str">
        <x:v>mandioca</x:v>
      </x:c>
      <x:c r="B1038" s="18" t="str">
        <x:v>atsa</x:v>
      </x:c>
      <x:c r="C1038" s="19" t="n">
        <x:f>IF(B1038="",0,(LEN(B1038)-LEN(SUBSTITUTE(B1038," | ","")))/3+1)</x:f>
        <x:v>1</x:v>
      </x:c>
      <x:c r="D1038" t="str">
        <x:v>m</x:v>
      </x:c>
      <x:c r="E1038" t="str">
        <x:v>https://www.webonary.org/marubo/gd4eefb85-473f-4a72-a444-fbcfb477ec8f/</x:v>
      </x:c>
      <x:c r="F1038" t="str">
        <x:v>gbc6f64d8-e0e0-4235-9e72-76e8dbd1b649</x:v>
      </x:c>
      <x:c r="G1038" s="20" t="n">
        <x:v>46003.934901898145</x:v>
      </x:c>
    </x:row>
    <x:row r="1039">
      <x:c r="A1039" s="18" t="str">
        <x:v>mangar</x:v>
      </x:c>
      <x:c r="B1039" s="18" t="str">
        <x:v>ati aká</x:v>
      </x:c>
      <x:c r="C1039" s="19" t="n">
        <x:f>IF(B1039="",0,(LEN(B1039)-LEN(SUBSTITUTE(B1039," | ","")))/3+1)</x:f>
        <x:v>1</x:v>
      </x:c>
      <x:c r="D1039" t="str">
        <x:v>m</x:v>
      </x:c>
      <x:c r="E1039" t="str">
        <x:v>https://www.webonary.org/marubo/g5308317b-edd7-4aec-b173-7ada3ad4bfa6/</x:v>
      </x:c>
      <x:c r="F1039" t="str">
        <x:v>g06606730-f861-4822-bfd5-01f0eb3d0c1c</x:v>
      </x:c>
      <x:c r="G1039" s="20" t="n">
        <x:v>46003.934901898145</x:v>
      </x:c>
    </x:row>
    <x:row r="1040">
      <x:c r="A1040" s="18" t="str">
        <x:v>manhã</x:v>
      </x:c>
      <x:c r="B1040" s="18" t="str">
        <x:v>shava nakoi</x:v>
      </x:c>
      <x:c r="C1040" s="19" t="n">
        <x:f>IF(B1040="",0,(LEN(B1040)-LEN(SUBSTITUTE(B1040," | ","")))/3+1)</x:f>
        <x:v>1</x:v>
      </x:c>
      <x:c r="D1040" t="str">
        <x:v>m</x:v>
      </x:c>
      <x:c r="E1040" t="str">
        <x:v>https://www.webonary.org/marubo/g30d481b1-5fd5-449a-90af-b3199491a225/</x:v>
      </x:c>
      <x:c r="F1040" t="str">
        <x:v>g1514f91d-7e3e-4679-8c91-dda5c0c42b2a</x:v>
      </x:c>
      <x:c r="G1040" s="20" t="n">
        <x:v>46003.934901898145</x:v>
      </x:c>
    </x:row>
    <x:row r="1041">
      <x:c r="A1041" s="18" t="str">
        <x:v>manso</x:v>
      </x:c>
      <x:c r="B1041" s="18" t="str">
        <x:v>onãmaka</x:v>
      </x:c>
      <x:c r="C1041" s="19" t="n">
        <x:f>IF(B1041="",0,(LEN(B1041)-LEN(SUBSTITUTE(B1041," | ","")))/3+1)</x:f>
        <x:v>1</x:v>
      </x:c>
      <x:c r="D1041" t="str">
        <x:v>m</x:v>
      </x:c>
      <x:c r="E1041" t="str">
        <x:v>https://www.webonary.org/marubo/g347c9b48-fc7c-4e69-9aef-ec9a1b797128/</x:v>
      </x:c>
      <x:c r="F1041" t="str">
        <x:v>gf9cfc686-da5f-42d4-b4dd-5fb330f12715</x:v>
      </x:c>
      <x:c r="G1041" s="20" t="n">
        <x:v>46003.934901898145</x:v>
      </x:c>
    </x:row>
    <x:row r="1042">
      <x:c r="A1042" s="18" t="str">
        <x:v>mão</x:v>
      </x:c>
      <x:c r="B1042" s="18" t="str">
        <x:v>mevi</x:v>
      </x:c>
      <x:c r="C1042" s="19" t="n">
        <x:f>IF(B1042="",0,(LEN(B1042)-LEN(SUBSTITUTE(B1042," | ","")))/3+1)</x:f>
        <x:v>1</x:v>
      </x:c>
      <x:c r="D1042" t="str">
        <x:v>m</x:v>
      </x:c>
      <x:c r="E1042" t="str">
        <x:v>https://www.webonary.org/marubo/g810d9aeb-dbd5-4f3c-8e54-506119367603/</x:v>
      </x:c>
      <x:c r="F1042" t="str">
        <x:v>g18544ace-d230-45ab-94b4-22de6cd3a373</x:v>
      </x:c>
      <x:c r="G1042" s="20" t="n">
        <x:v>46003.934901898145</x:v>
      </x:c>
    </x:row>
    <x:row r="1043">
      <x:c r="A1043" s="18" t="str">
        <x:v>mão de banana</x:v>
      </x:c>
      <x:c r="B1043" s="18" t="str">
        <x:v>mani pashka</x:v>
      </x:c>
      <x:c r="C1043" s="19" t="n">
        <x:f>IF(B1043="",0,(LEN(B1043)-LEN(SUBSTITUTE(B1043," | ","")))/3+1)</x:f>
        <x:v>1</x:v>
      </x:c>
      <x:c r="D1043" t="str">
        <x:v>m</x:v>
      </x:c>
      <x:c r="E1043" t="str">
        <x:v>https://www.webonary.org/marubo/g745f9980-31e7-4d1a-bf35-5ae1522e6a59/</x:v>
      </x:c>
      <x:c r="F1043" t="str">
        <x:v>gc66365e3-2878-491f-9eb1-d018cc03d61b</x:v>
      </x:c>
      <x:c r="G1043" s="20" t="n">
        <x:v>46003.934901898145</x:v>
      </x:c>
    </x:row>
    <x:row r="1044">
      <x:c r="A1044" s="18" t="str">
        <x:v>maracajá peludo</x:v>
      </x:c>
      <x:c r="B1044" s="18" t="str">
        <x:v>ketsĩ</x:v>
      </x:c>
      <x:c r="C1044" s="19" t="n">
        <x:f>IF(B1044="",0,(LEN(B1044)-LEN(SUBSTITUTE(B1044," | ","")))/3+1)</x:f>
        <x:v>1</x:v>
      </x:c>
      <x:c r="D1044" t="str">
        <x:v>m</x:v>
      </x:c>
      <x:c r="E1044" t="str">
        <x:v>https://www.webonary.org/marubo/gfdb15266-03df-4f37-96a1-3dd140308b2c/</x:v>
      </x:c>
      <x:c r="F1044" t="str">
        <x:v>g208106ae-677b-4c22-bdad-867e864d17eb</x:v>
      </x:c>
      <x:c r="G1044" s="20" t="n">
        <x:v>46003.934901898145</x:v>
      </x:c>
    </x:row>
    <x:row r="1045">
      <x:c r="A1045" s="18" t="str">
        <x:v>maracuja</x:v>
      </x:c>
      <x:c r="B1045" s="18" t="str">
        <x:v>shãtá</x:v>
      </x:c>
      <x:c r="C1045" s="19" t="n">
        <x:f>IF(B1045="",0,(LEN(B1045)-LEN(SUBSTITUTE(B1045," | ","")))/3+1)</x:f>
        <x:v>1</x:v>
      </x:c>
      <x:c r="D1045" t="str">
        <x:v>m</x:v>
      </x:c>
      <x:c r="E1045" t="str">
        <x:v>https://www.webonary.org/marubo/g04c1f243-8435-4433-ad14-14301b503c03/</x:v>
      </x:c>
      <x:c r="F1045" t="str">
        <x:v>g6a11a56b-0b2b-465b-802a-cf70a55317a3</x:v>
      </x:c>
      <x:c r="G1045" s="20" t="n">
        <x:v>46003.934901898145</x:v>
      </x:c>
    </x:row>
    <x:row r="1046">
      <x:c r="A1046" s="18" t="str">
        <x:v>marido</x:v>
      </x:c>
      <x:c r="B1046" s="18" t="str">
        <x:v>vene</x:v>
      </x:c>
      <x:c r="C1046" s="19" t="n">
        <x:f>IF(B1046="",0,(LEN(B1046)-LEN(SUBSTITUTE(B1046," | ","")))/3+1)</x:f>
        <x:v>1</x:v>
      </x:c>
      <x:c r="D1046" t="str">
        <x:v>m</x:v>
      </x:c>
      <x:c r="E1046" t="str">
        <x:v>https://www.webonary.org/marubo/gf3072b38-ec78-4a76-bc18-47b720693afb/</x:v>
      </x:c>
      <x:c r="F1046" t="str">
        <x:v>gb9370b4e-94e5-4806-be7d-25d99c3d2a66</x:v>
      </x:c>
      <x:c r="G1046" s="20" t="n">
        <x:v>46003.934901898145</x:v>
      </x:c>
    </x:row>
    <x:row r="1047">
      <x:c r="A1047" s="18" t="str">
        <x:v>mariposa</x:v>
      </x:c>
      <x:c r="B1047" s="18" t="str">
        <x:v>oso</x:v>
      </x:c>
      <x:c r="C1047" s="19" t="n">
        <x:f>IF(B1047="",0,(LEN(B1047)-LEN(SUBSTITUTE(B1047," | ","")))/3+1)</x:f>
        <x:v>1</x:v>
      </x:c>
      <x:c r="D1047" t="str">
        <x:v>m</x:v>
      </x:c>
      <x:c r="E1047" t="str">
        <x:v>https://www.webonary.org/marubo/g9aa68008-305a-45de-83ef-a498c02d65cc/</x:v>
      </x:c>
      <x:c r="F1047" t="str">
        <x:v>g44d7fbc0-fa62-4609-ae1b-9d643b20a9c0</x:v>
      </x:c>
      <x:c r="G1047" s="20" t="n">
        <x:v>46003.934901898145</x:v>
      </x:c>
    </x:row>
    <x:row r="1048">
      <x:c r="A1048" s="18" t="str">
        <x:v>martelo</x:v>
      </x:c>
      <x:c r="B1048" s="18" t="str">
        <x:v>ravo txakati | ravo tsekati</x:v>
      </x:c>
      <x:c r="C1048" s="19" t="n">
        <x:f>IF(B1048="",0,(LEN(B1048)-LEN(SUBSTITUTE(B1048," | ","")))/3+1)</x:f>
        <x:v>2</x:v>
      </x:c>
      <x:c r="D1048" t="str">
        <x:v>m</x:v>
      </x:c>
      <x:c r="E1048" t="str">
        <x:v>https://www.webonary.org/marubo/g99ade36f-bac3-4593-a4e1-07e7c616f933/</x:v>
      </x:c>
      <x:c r="F1048" t="str">
        <x:v>gebd3e0a0-f7d9-4803-8c66-39ea7f543a1a</x:v>
      </x:c>
      <x:c r="G1048" s="20" t="n">
        <x:v>46003.934901898145</x:v>
      </x:c>
    </x:row>
    <x:row r="1049">
      <x:c r="A1049" s="18" t="str">
        <x:v>mastigar</x:v>
      </x:c>
      <x:c r="B1049" s="18" t="str">
        <x:v>tokõa | txako aká</x:v>
      </x:c>
      <x:c r="C1049" s="19" t="n">
        <x:f>IF(B1049="",0,(LEN(B1049)-LEN(SUBSTITUTE(B1049," | ","")))/3+1)</x:f>
        <x:v>2</x:v>
      </x:c>
      <x:c r="D1049" t="str">
        <x:v>m</x:v>
      </x:c>
      <x:c r="E1049" t="str">
        <x:v>https://www.webonary.org/marubo/g0d4bae07-3f6b-4279-8b63-4b0783f442d8/</x:v>
      </x:c>
      <x:c r="F1049" t="str">
        <x:v>g06f296be-5cb0-4d9c-bb53-0a859ec9351c</x:v>
      </x:c>
      <x:c r="G1049" s="20" t="n">
        <x:v>46003.934901898145</x:v>
      </x:c>
    </x:row>
    <x:row r="1050">
      <x:c r="A1050" s="18" t="str">
        <x:v>mata</x:v>
      </x:c>
      <x:c r="B1050" s="18" t="str">
        <x:v>ovẽ | ni</x:v>
      </x:c>
      <x:c r="C1050" s="19" t="n">
        <x:f>IF(B1050="",0,(LEN(B1050)-LEN(SUBSTITUTE(B1050," | ","")))/3+1)</x:f>
        <x:v>2</x:v>
      </x:c>
      <x:c r="D1050" t="str">
        <x:v>m</x:v>
      </x:c>
      <x:c r="E1050" t="str">
        <x:v>https://www.webonary.org/marubo/gb2846753-2bd6-4308-9f6a-9b0c9c68a249/</x:v>
      </x:c>
      <x:c r="F1050" t="str">
        <x:v>g2f11d2c0-264b-4df6-ba16-bed071e40034</x:v>
      </x:c>
      <x:c r="G1050" s="20" t="n">
        <x:v>46003.934901898145</x:v>
      </x:c>
    </x:row>
    <x:row r="1051">
      <x:c r="A1051" s="18" t="str">
        <x:v>matar</x:v>
      </x:c>
      <x:c r="B1051" s="18" t="str">
        <x:v>tenã</x:v>
      </x:c>
      <x:c r="C1051" s="19" t="n">
        <x:f>IF(B1051="",0,(LEN(B1051)-LEN(SUBSTITUTE(B1051," | ","")))/3+1)</x:f>
        <x:v>1</x:v>
      </x:c>
      <x:c r="D1051" t="str">
        <x:v>m</x:v>
      </x:c>
      <x:c r="E1051" t="str">
        <x:v>https://www.webonary.org/marubo/g15a757f6-e31c-411d-8985-6fad6bbb1b62/</x:v>
      </x:c>
      <x:c r="F1051" t="str">
        <x:v>g938c47db-2ed5-4d7c-8ecd-b5402cc7964a</x:v>
      </x:c>
      <x:c r="G1051" s="20" t="n">
        <x:v>46003.934901898145</x:v>
      </x:c>
    </x:row>
    <x:row r="1052">
      <x:c r="A1052" s="18" t="str">
        <x:v>mato fechado</x:v>
      </x:c>
      <x:c r="B1052" s="18" t="str">
        <x:v>tsokóska</x:v>
      </x:c>
      <x:c r="C1052" s="19" t="n">
        <x:f>IF(B1052="",0,(LEN(B1052)-LEN(SUBSTITUTE(B1052," | ","")))/3+1)</x:f>
        <x:v>1</x:v>
      </x:c>
      <x:c r="D1052" t="str">
        <x:v>m</x:v>
      </x:c>
      <x:c r="E1052" t="str">
        <x:v>https://www.webonary.org/marubo/g312d6170-753d-4180-b804-be44ba2b260f/</x:v>
      </x:c>
      <x:c r="F1052" t="str">
        <x:v>gdf95c0bb-d795-41b2-bb84-a8e417d3cf0f</x:v>
      </x:c>
      <x:c r="G1052" s="20" t="n">
        <x:v>46003.934901898145</x:v>
      </x:c>
    </x:row>
    <x:row r="1053">
      <x:c r="A1053" s="18" t="str">
        <x:v>medicina traditional</x:v>
      </x:c>
      <x:c r="B1053" s="18" t="str">
        <x:v>vonã moka</x:v>
      </x:c>
      <x:c r="C1053" s="19" t="n">
        <x:f>IF(B1053="",0,(LEN(B1053)-LEN(SUBSTITUTE(B1053," | ","")))/3+1)</x:f>
        <x:v>1</x:v>
      </x:c>
      <x:c r="D1053" t="str">
        <x:v>m</x:v>
      </x:c>
      <x:c r="E1053" t="str">
        <x:v>https://www.webonary.org/marubo/g9a497606-216e-4737-bd4b-c20fe1dbcf0d/</x:v>
      </x:c>
      <x:c r="F1053" t="str">
        <x:v>gc1d081fb-d65a-4767-994b-911dc810d8c7</x:v>
      </x:c>
      <x:c r="G1053" s="20" t="n">
        <x:v>46003.934901898145</x:v>
      </x:c>
    </x:row>
    <x:row r="1054">
      <x:c r="A1054" s="18" t="str">
        <x:v>medida de altura</x:v>
      </x:c>
      <x:c r="B1054" s="18" t="str">
        <x:v>-tiá</x:v>
      </x:c>
      <x:c r="C1054" s="19" t="n">
        <x:f>IF(B1054="",0,(LEN(B1054)-LEN(SUBSTITUTE(B1054," | ","")))/3+1)</x:f>
        <x:v>1</x:v>
      </x:c>
      <x:c r="D1054" t="str">
        <x:v>m</x:v>
      </x:c>
      <x:c r="E1054" t="str">
        <x:v>https://www.webonary.org/marubo/gc5b0c1b9-14b0-451f-b925-826aee3dddb3/</x:v>
      </x:c>
      <x:c r="F1054" t="str">
        <x:v>ga3452bb4-3c8b-4801-a75d-8197b59d5524</x:v>
      </x:c>
      <x:c r="G1054" s="20" t="n">
        <x:v>46003.934901898145</x:v>
      </x:c>
    </x:row>
    <x:row r="1055">
      <x:c r="A1055" s="18" t="str">
        <x:v>medida de distância</x:v>
      </x:c>
      <x:c r="B1055" s="18" t="str">
        <x:v>awetishõ</x:v>
      </x:c>
      <x:c r="C1055" s="19" t="n">
        <x:f>IF(B1055="",0,(LEN(B1055)-LEN(SUBSTITUTE(B1055," | ","")))/3+1)</x:f>
        <x:v>1</x:v>
      </x:c>
      <x:c r="D1055" t="str">
        <x:v>m</x:v>
      </x:c>
      <x:c r="E1055" t="str">
        <x:v>https://www.webonary.org/marubo/gdc56c156-a599-496b-b0a9-26cd56e4199f/</x:v>
      </x:c>
      <x:c r="F1055" t="str">
        <x:v>ge01bbe22-30da-42e0-ab23-2f3e2ce33591</x:v>
      </x:c>
      <x:c r="G1055" s="20" t="n">
        <x:v>46003.934901898145</x:v>
      </x:c>
    </x:row>
    <x:row r="1056">
      <x:c r="A1056" s="18" t="str">
        <x:v>meia</x:v>
      </x:c>
      <x:c r="B1056" s="18" t="str">
        <x:v>tae naríti</x:v>
      </x:c>
      <x:c r="C1056" s="19" t="n">
        <x:f>IF(B1056="",0,(LEN(B1056)-LEN(SUBSTITUTE(B1056," | ","")))/3+1)</x:f>
        <x:v>1</x:v>
      </x:c>
      <x:c r="D1056" t="str">
        <x:v>m</x:v>
      </x:c>
      <x:c r="E1056" t="str">
        <x:v>https://www.webonary.org/marubo/g14dab60b-1739-4312-97c4-34595ef77c11/</x:v>
      </x:c>
      <x:c r="F1056" t="str">
        <x:v>gc609744e-2bd1-4140-bcc5-ba367bf807be</x:v>
      </x:c>
      <x:c r="G1056" s="20" t="n">
        <x:v>46003.9349116088</x:v>
      </x:c>
    </x:row>
    <x:row r="1057">
      <x:c r="A1057" s="18" t="str">
        <x:v>meio duro (roupa ou cabeça)</x:v>
      </x:c>
      <x:c r="B1057" s="18" t="str">
        <x:v>txoríchka</x:v>
      </x:c>
      <x:c r="C1057" s="19" t="n">
        <x:f>IF(B1057="",0,(LEN(B1057)-LEN(SUBSTITUTE(B1057," | ","")))/3+1)</x:f>
        <x:v>1</x:v>
      </x:c>
      <x:c r="D1057" t="str">
        <x:v>m</x:v>
      </x:c>
      <x:c r="E1057" t="str">
        <x:v>https://www.webonary.org/marubo/g172a1e3e-f29a-4122-b54d-ce30bccc2876/</x:v>
      </x:c>
      <x:c r="F1057" t="str">
        <x:v>g7dc4daa9-262a-4aed-a842-1abeca2fa9e0</x:v>
      </x:c>
      <x:c r="G1057" s="20" t="n">
        <x:v>46003.9349116088</x:v>
      </x:c>
    </x:row>
    <x:row r="1058">
      <x:c r="A1058" s="18" t="str">
        <x:v>mel</x:v>
      </x:c>
      <x:c r="B1058" s="18" t="str">
        <x:v>vona vata | vakõ vata</x:v>
      </x:c>
      <x:c r="C1058" s="19" t="n">
        <x:f>IF(B1058="",0,(LEN(B1058)-LEN(SUBSTITUTE(B1058," | ","")))/3+1)</x:f>
        <x:v>2</x:v>
      </x:c>
      <x:c r="D1058" t="str">
        <x:v>m</x:v>
      </x:c>
      <x:c r="E1058" t="str">
        <x:v>https://www.webonary.org/marubo/g577ca2b3-64ef-4e1b-8469-37682ee2aff5/</x:v>
      </x:c>
      <x:c r="F1058" t="str">
        <x:v>g7a7d4e54-3147-4e9c-99a0-382c469d5cf9</x:v>
      </x:c>
      <x:c r="G1058" s="20" t="n">
        <x:v>46003.9349116088</x:v>
      </x:c>
    </x:row>
    <x:row r="1059">
      <x:c r="A1059" s="18" t="str">
        <x:v>menina</x:v>
      </x:c>
      <x:c r="B1059" s="18" t="str">
        <x:v>aĩvake</x:v>
      </x:c>
      <x:c r="C1059" s="19" t="n">
        <x:f>IF(B1059="",0,(LEN(B1059)-LEN(SUBSTITUTE(B1059," | ","")))/3+1)</x:f>
        <x:v>1</x:v>
      </x:c>
      <x:c r="D1059" t="str">
        <x:v>m</x:v>
      </x:c>
      <x:c r="E1059" t="str">
        <x:v>https://www.webonary.org/marubo/g924baeeb-55f0-4bc8-9731-f1f5f265915b/</x:v>
      </x:c>
      <x:c r="F1059" t="str">
        <x:v>gbf9421db-0dd7-433b-b426-14725e8e9ec9</x:v>
      </x:c>
      <x:c r="G1059" s="20" t="n">
        <x:v>46003.9349116088</x:v>
      </x:c>
    </x:row>
    <x:row r="1060">
      <x:c r="A1060" s="18" t="str">
        <x:v>menino</x:v>
      </x:c>
      <x:c r="B1060" s="18" t="str">
        <x:v>venevake</x:v>
      </x:c>
      <x:c r="C1060" s="19" t="n">
        <x:f>IF(B1060="",0,(LEN(B1060)-LEN(SUBSTITUTE(B1060," | ","")))/3+1)</x:f>
        <x:v>1</x:v>
      </x:c>
      <x:c r="D1060" t="str">
        <x:v>m</x:v>
      </x:c>
      <x:c r="E1060" t="str">
        <x:v>https://www.webonary.org/marubo/g5c3d4d7c-8ad8-4ff4-aafc-f428f2f90cee/</x:v>
      </x:c>
      <x:c r="F1060" t="str">
        <x:v>gc1d55a04-86ca-4086-ac0f-b8fc67521139</x:v>
      </x:c>
      <x:c r="G1060" s="20" t="n">
        <x:v>46003.9349116088</x:v>
      </x:c>
    </x:row>
    <x:row r="1061">
      <x:c r="A1061" s="18" t="str">
        <x:v>mentira</x:v>
      </x:c>
      <x:c r="B1061" s="18" t="str">
        <x:v>yoa</x:v>
      </x:c>
      <x:c r="C1061" s="19" t="n">
        <x:f>IF(B1061="",0,(LEN(B1061)-LEN(SUBSTITUTE(B1061," | ","")))/3+1)</x:f>
        <x:v>1</x:v>
      </x:c>
      <x:c r="D1061" t="str">
        <x:v>m</x:v>
      </x:c>
      <x:c r="E1061" t="str">
        <x:v>https://www.webonary.org/marubo/gc4fed063-4dfc-4b7b-80b2-092076a96157/</x:v>
      </x:c>
      <x:c r="F1061" t="str">
        <x:v>geb15853a-b62e-474b-852d-d693533020f9</x:v>
      </x:c>
      <x:c r="G1061" s="20" t="n">
        <x:v>46003.9349116088</x:v>
      </x:c>
    </x:row>
    <x:row r="1062">
      <x:c r="A1062" s="18" t="str">
        <x:v>mercado</x:v>
      </x:c>
      <x:c r="B1062" s="18" t="str">
        <x:v>aweshovo</x:v>
      </x:c>
      <x:c r="C1062" s="19" t="n">
        <x:f>IF(B1062="",0,(LEN(B1062)-LEN(SUBSTITUTE(B1062," | ","")))/3+1)</x:f>
        <x:v>1</x:v>
      </x:c>
      <x:c r="D1062" t="str">
        <x:v>m</x:v>
      </x:c>
      <x:c r="E1062" t="str">
        <x:v>https://www.webonary.org/marubo/ga8fc9bd2-49c0-4456-9ed0-a095c804419c/</x:v>
      </x:c>
      <x:c r="F1062" t="str">
        <x:v>g4f95746e-23d5-4a6d-9955-c4a558632e21</x:v>
      </x:c>
      <x:c r="G1062" s="20" t="n">
        <x:v>46003.9349116088</x:v>
      </x:c>
    </x:row>
    <x:row r="1063">
      <x:c r="A1063" s="18" t="str">
        <x:v>mergulhar</x:v>
      </x:c>
      <x:c r="B1063" s="18" t="str">
        <x:v>morich ikí</x:v>
      </x:c>
      <x:c r="C1063" s="19" t="n">
        <x:f>IF(B1063="",0,(LEN(B1063)-LEN(SUBSTITUTE(B1063," | ","")))/3+1)</x:f>
        <x:v>1</x:v>
      </x:c>
      <x:c r="D1063" t="str">
        <x:v>m</x:v>
      </x:c>
      <x:c r="E1063" t="str">
        <x:v>https://www.webonary.org/marubo/g65de35af-7ab1-483f-8b75-d8a747d7a1b0/</x:v>
      </x:c>
      <x:c r="F1063" t="str">
        <x:v>g1fc84df0-0a8c-4791-b891-6eb753a8fcb5</x:v>
      </x:c>
      <x:c r="G1063" s="20" t="n">
        <x:v>46003.9349116088</x:v>
      </x:c>
    </x:row>
    <x:row r="1064">
      <x:c r="A1064" s="18" t="str">
        <x:v>meroim</x:v>
      </x:c>
      <x:c r="B1064" s="18" t="str">
        <x:v>chio poto</x:v>
      </x:c>
      <x:c r="C1064" s="19" t="n">
        <x:f>IF(B1064="",0,(LEN(B1064)-LEN(SUBSTITUTE(B1064," | ","")))/3+1)</x:f>
        <x:v>1</x:v>
      </x:c>
      <x:c r="D1064" t="str">
        <x:v>m</x:v>
      </x:c>
      <x:c r="E1064" t="str">
        <x:v>https://www.webonary.org/marubo/g61d34aa6-8faa-42fa-8e42-2a209695fd2f/</x:v>
      </x:c>
      <x:c r="F1064" t="str">
        <x:v>g1d698d94-2ddc-4c00-a7ce-b9deb460b641</x:v>
      </x:c>
      <x:c r="G1064" s="20" t="n">
        <x:v>46003.9349116088</x:v>
      </x:c>
    </x:row>
    <x:row r="1065">
      <x:c r="A1065" s="18" t="str">
        <x:v>mês</x:v>
      </x:c>
      <x:c r="B1065" s="18" t="str">
        <x:v>oshe</x:v>
      </x:c>
      <x:c r="C1065" s="19" t="n">
        <x:f>IF(B1065="",0,(LEN(B1065)-LEN(SUBSTITUTE(B1065," | ","")))/3+1)</x:f>
        <x:v>1</x:v>
      </x:c>
      <x:c r="D1065" t="str">
        <x:v>m</x:v>
      </x:c>
      <x:c r="E1065" t="str">
        <x:v>https://www.webonary.org/marubo/g725e7384-51ee-4942-a4f3-38f387cc2a1e/</x:v>
      </x:c>
      <x:c r="F1065" t="str">
        <x:v>g5b760de7-94c4-46b1-b874-17d9cb73dd08</x:v>
      </x:c>
      <x:c r="G1065" s="20" t="n">
        <x:v>46003.9349116088</x:v>
      </x:c>
    </x:row>
    <x:row r="1066">
      <x:c r="A1066" s="18" t="str">
        <x:v>metatarso</x:v>
      </x:c>
      <x:c r="B1066" s="18" t="str">
        <x:v>tae testó</x:v>
      </x:c>
      <x:c r="C1066" s="19" t="n">
        <x:f>IF(B1066="",0,(LEN(B1066)-LEN(SUBSTITUTE(B1066," | ","")))/3+1)</x:f>
        <x:v>1</x:v>
      </x:c>
      <x:c r="D1066" t="str">
        <x:v>m</x:v>
      </x:c>
      <x:c r="E1066" t="str">
        <x:v>https://www.webonary.org/marubo/gc4ef90af-0940-47c9-9124-310adcf240eb/</x:v>
      </x:c>
      <x:c r="F1066" t="str">
        <x:v>g4579a743-03da-4da2-a880-2d16915337a1</x:v>
      </x:c>
      <x:c r="G1066" s="20" t="n">
        <x:v>46003.9349116088</x:v>
      </x:c>
    </x:row>
    <x:row r="1067">
      <x:c r="A1067" s="18" t="str">
        <x:v>mexer</x:v>
      </x:c>
      <x:c r="B1067" s="18" t="str">
        <x:v>tewẽ | 1 | txẽwẽ́a</x:v>
      </x:c>
      <x:c r="C1067" s="19" t="n">
        <x:f>IF(B1067="",0,(LEN(B1067)-LEN(SUBSTITUTE(B1067," | ","")))/3+1)</x:f>
        <x:v>3</x:v>
      </x:c>
      <x:c r="D1067" t="str">
        <x:v>m</x:v>
      </x:c>
      <x:c r="E1067" t="str">
        <x:v>https://www.webonary.org/marubo/g05060c2d-774d-47a5-99e4-4492f7e04995/</x:v>
      </x:c>
      <x:c r="F1067" t="str">
        <x:v>g43da38f1-ba68-404d-9cb7-05179af846f7</x:v>
      </x:c>
      <x:c r="G1067" s="20" t="n">
        <x:v>46003.9349116088</x:v>
      </x:c>
    </x:row>
    <x:row r="1068">
      <x:c r="A1068" s="18" t="str">
        <x:v>mexer liquido com pé</x:v>
      </x:c>
      <x:c r="B1068" s="18" t="str">
        <x:v>voo aká</x:v>
      </x:c>
      <x:c r="C1068" s="19" t="n">
        <x:f>IF(B1068="",0,(LEN(B1068)-LEN(SUBSTITUTE(B1068," | ","")))/3+1)</x:f>
        <x:v>1</x:v>
      </x:c>
      <x:c r="D1068" t="str">
        <x:v>m</x:v>
      </x:c>
      <x:c r="E1068" t="str">
        <x:v>https://www.webonary.org/marubo/g88bbacc3-791c-497b-8434-e336fb260786/</x:v>
      </x:c>
      <x:c r="F1068" t="str">
        <x:v>g62e096a2-86ff-4380-952f-5b9da265f0c8</x:v>
      </x:c>
      <x:c r="G1068" s="20" t="n">
        <x:v>46003.9349116088</x:v>
      </x:c>
    </x:row>
    <x:row r="1069">
      <x:c r="A1069" s="18" t="str">
        <x:v>miçanga</x:v>
      </x:c>
      <x:c r="B1069" s="18" t="str">
        <x:v>txakíri</x:v>
      </x:c>
      <x:c r="C1069" s="19" t="n">
        <x:f>IF(B1069="",0,(LEN(B1069)-LEN(SUBSTITUTE(B1069," | ","")))/3+1)</x:f>
        <x:v>1</x:v>
      </x:c>
      <x:c r="D1069" t="str">
        <x:v>m</x:v>
      </x:c>
      <x:c r="E1069" t="str">
        <x:v>https://www.webonary.org/marubo/g6ec84a1a-d2c8-4003-8c2a-a7af90a12c40/</x:v>
      </x:c>
      <x:c r="F1069" t="str">
        <x:v>g37fc5dfb-70f8-4eff-9021-3d569920dc73</x:v>
      </x:c>
      <x:c r="G1069" s="20" t="n">
        <x:v>46003.9349116088</x:v>
      </x:c>
    </x:row>
    <x:row r="1070">
      <x:c r="A1070" s="18" t="str">
        <x:v>mico</x:v>
      </x:c>
      <x:c r="B1070" s="18" t="str">
        <x:v>chipi | 1</x:v>
      </x:c>
      <x:c r="C1070" s="19" t="n">
        <x:f>IF(B1070="",0,(LEN(B1070)-LEN(SUBSTITUTE(B1070," | ","")))/3+1)</x:f>
        <x:v>2</x:v>
      </x:c>
      <x:c r="D1070" t="str">
        <x:v>m</x:v>
      </x:c>
      <x:c r="E1070" t="str">
        <x:v>https://www.webonary.org/marubo/gda9b3646-95b6-4b78-9df1-2ad28d4eced4/</x:v>
      </x:c>
      <x:c r="F1070" t="str">
        <x:v>g74770bd1-0bfc-414b-8322-fd9a2b9c8a90</x:v>
      </x:c>
      <x:c r="G1070" s="20" t="n">
        <x:v>46003.9349116088</x:v>
      </x:c>
    </x:row>
    <x:row r="1071">
      <x:c r="A1071" s="18" t="str">
        <x:v>mico leão dourado</x:v>
      </x:c>
      <x:c r="B1071" s="18" t="str">
        <x:v>chipĩwa | 1</x:v>
      </x:c>
      <x:c r="C1071" s="19" t="n">
        <x:f>IF(B1071="",0,(LEN(B1071)-LEN(SUBSTITUTE(B1071," | ","")))/3+1)</x:f>
        <x:v>2</x:v>
      </x:c>
      <x:c r="D1071" t="str">
        <x:v>m</x:v>
      </x:c>
      <x:c r="E1071" t="str">
        <x:v>https://www.webonary.org/marubo/g50e22609-e0e1-409e-a415-d432700190fd/</x:v>
      </x:c>
      <x:c r="F1071" t="str">
        <x:v>g7e460563-d346-40f0-927d-aa7d33212ca9</x:v>
      </x:c>
      <x:c r="G1071" s="20" t="n">
        <x:v>46003.9349116088</x:v>
      </x:c>
    </x:row>
    <x:row r="1072">
      <x:c r="A1072" s="18" t="str">
        <x:v>milho</x:v>
      </x:c>
      <x:c r="B1072" s="18" t="str">
        <x:v>sheki</x:v>
      </x:c>
      <x:c r="C1072" s="19" t="n">
        <x:f>IF(B1072="",0,(LEN(B1072)-LEN(SUBSTITUTE(B1072," | ","")))/3+1)</x:f>
        <x:v>1</x:v>
      </x:c>
      <x:c r="D1072" t="str">
        <x:v>m</x:v>
      </x:c>
      <x:c r="E1072" t="str">
        <x:v>https://www.webonary.org/marubo/gd7b4737d-72c2-4fb2-9041-5745df057f63/</x:v>
      </x:c>
      <x:c r="F1072" t="str">
        <x:v>g84fc0237-c77f-45de-898c-a85b961d5502</x:v>
      </x:c>
      <x:c r="G1072" s="20" t="n">
        <x:v>46003.9349116088</x:v>
      </x:c>
    </x:row>
    <x:row r="1073">
      <x:c r="A1073" s="18" t="str">
        <x:v>milho da cidade</x:v>
      </x:c>
      <x:c r="B1073" s="18" t="str">
        <x:v>tokosheki</x:v>
      </x:c>
      <x:c r="C1073" s="19" t="n">
        <x:f>IF(B1073="",0,(LEN(B1073)-LEN(SUBSTITUTE(B1073," | ","")))/3+1)</x:f>
        <x:v>1</x:v>
      </x:c>
      <x:c r="D1073" t="str">
        <x:v>m</x:v>
      </x:c>
      <x:c r="E1073" t="str">
        <x:v>https://www.webonary.org/marubo/g5381e3ac-a066-4093-833c-825d5136a95c/</x:v>
      </x:c>
      <x:c r="F1073" t="str">
        <x:v>g19f93517-4192-4e31-b821-d76a091a8299</x:v>
      </x:c>
      <x:c r="G1073" s="20" t="n">
        <x:v>46003.9349116088</x:v>
      </x:c>
    </x:row>
    <x:row r="1074">
      <x:c r="A1074" s="18" t="str">
        <x:v>misturar</x:v>
      </x:c>
      <x:c r="B1074" s="18" t="str">
        <x:v>txẽwẽ́a</x:v>
      </x:c>
      <x:c r="C1074" s="19" t="n">
        <x:f>IF(B1074="",0,(LEN(B1074)-LEN(SUBSTITUTE(B1074," | ","")))/3+1)</x:f>
        <x:v>1</x:v>
      </x:c>
      <x:c r="D1074" t="str">
        <x:v>m</x:v>
      </x:c>
      <x:c r="E1074" t="str">
        <x:v>https://www.webonary.org/marubo/g0b7d0216-4e92-4cfa-a916-3c1a9cd63602/</x:v>
      </x:c>
      <x:c r="F1074" t="str">
        <x:v>g2b652e5d-a211-4f8e-aac0-a8a4de90305e</x:v>
      </x:c>
      <x:c r="G1074" s="20" t="n">
        <x:v>46003.9349116088</x:v>
      </x:c>
    </x:row>
    <x:row r="1075">
      <x:c r="A1075" s="18" t="str">
        <x:v>mixturar</x:v>
      </x:c>
      <x:c r="B1075" s="18" t="str">
        <x:v>õsía | motsa</x:v>
      </x:c>
      <x:c r="C1075" s="19" t="n">
        <x:f>IF(B1075="",0,(LEN(B1075)-LEN(SUBSTITUTE(B1075," | ","")))/3+1)</x:f>
        <x:v>2</x:v>
      </x:c>
      <x:c r="D1075" t="str">
        <x:v>m</x:v>
      </x:c>
      <x:c r="E1075" t="str">
        <x:v>https://www.webonary.org/marubo/gcca84789-3b8b-4ffc-a216-72050e581876/</x:v>
      </x:c>
      <x:c r="F1075" t="str">
        <x:v>gae6edcb4-0474-462e-b525-62d4406850b5</x:v>
      </x:c>
      <x:c r="G1075" s="20" t="n">
        <x:v>46003.9349116088</x:v>
      </x:c>
    </x:row>
    <x:row r="1076">
      <x:c r="A1076" s="18" t="str">
        <x:v>mochar</x:v>
      </x:c>
      <x:c r="B1076" s="18" t="str">
        <x:v>tsori ikí | tsoo aká</x:v>
      </x:c>
      <x:c r="C1076" s="19" t="n">
        <x:f>IF(B1076="",0,(LEN(B1076)-LEN(SUBSTITUTE(B1076," | ","")))/3+1)</x:f>
        <x:v>2</x:v>
      </x:c>
      <x:c r="D1076" t="str">
        <x:v>m</x:v>
      </x:c>
      <x:c r="E1076" t="str">
        <x:v>https://www.webonary.org/marubo/gae9b3496-7214-401e-8f37-cead1e28e334/</x:v>
      </x:c>
      <x:c r="F1076" t="str">
        <x:v>gc671b946-e9b8-433f-9b21-219ff4fecf93</x:v>
      </x:c>
      <x:c r="G1076" s="20" t="n">
        <x:v>46003.9349116088</x:v>
      </x:c>
    </x:row>
    <x:row r="1077">
      <x:c r="A1077" s="18" t="str">
        <x:v>mochila trançada</x:v>
      </x:c>
      <x:c r="B1077" s="18" t="str">
        <x:v>tetõ</x:v>
      </x:c>
      <x:c r="C1077" s="19" t="n">
        <x:f>IF(B1077="",0,(LEN(B1077)-LEN(SUBSTITUTE(B1077," | ","")))/3+1)</x:f>
        <x:v>1</x:v>
      </x:c>
      <x:c r="D1077" t="str">
        <x:v>m</x:v>
      </x:c>
      <x:c r="E1077" t="str">
        <x:v>https://www.webonary.org/marubo/gd882833a-28a5-4e1b-98ef-f16550feb9c0/</x:v>
      </x:c>
      <x:c r="F1077" t="str">
        <x:v>g665b280f-7394-4d75-af70-f2bc3d7fdfff</x:v>
      </x:c>
      <x:c r="G1077" s="20" t="n">
        <x:v>46003.9349116088</x:v>
      </x:c>
    </x:row>
    <x:row r="1078">
      <x:c r="A1078" s="18" t="str">
        <x:v>MOD</x:v>
      </x:c>
      <x:c r="B1078" s="18" t="str">
        <x:v>-tsẽ</x:v>
      </x:c>
      <x:c r="C1078" s="19" t="n">
        <x:f>IF(B1078="",0,(LEN(B1078)-LEN(SUBSTITUTE(B1078," | ","")))/3+1)</x:f>
        <x:v>1</x:v>
      </x:c>
      <x:c r="D1078" t="str">
        <x:v>m</x:v>
      </x:c>
      <x:c r="E1078" t="str">
        <x:v>https://www.webonary.org/marubo/g62243ea1-fbd7-4009-b35f-684ae33b474a/</x:v>
      </x:c>
      <x:c r="F1078" t="str">
        <x:v>g9a743dbe-5e87-45a0-beb5-cd2ce785796a</x:v>
      </x:c>
      <x:c r="G1078" s="20" t="n">
        <x:v>46003.9349116088</x:v>
      </x:c>
    </x:row>
    <x:row r="1079">
      <x:c r="A1079" s="18" t="str">
        <x:v>modal</x:v>
      </x:c>
      <x:c r="B1079" s="18" t="str">
        <x:v>-kɨnkẽa</x:v>
      </x:c>
      <x:c r="C1079" s="19" t="n">
        <x:f>IF(B1079="",0,(LEN(B1079)-LEN(SUBSTITUTE(B1079," | ","")))/3+1)</x:f>
        <x:v>1</x:v>
      </x:c>
      <x:c r="D1079" t="str">
        <x:v>m</x:v>
      </x:c>
      <x:c r="E1079" t="str">
        <x:v>https://www.webonary.org/marubo/ga701bfcb-31aa-4dda-aafc-5bd7f579f740/</x:v>
      </x:c>
      <x:c r="F1079" t="str">
        <x:v>gec19809a-dbe3-4574-a6c1-96bc44ffdc72</x:v>
      </x:c>
      <x:c r="G1079" s="20" t="n">
        <x:v>46003.9349116088</x:v>
      </x:c>
    </x:row>
    <x:row r="1080">
      <x:c r="A1080" s="18" t="str">
        <x:v>moela</x:v>
      </x:c>
      <x:c r="B1080" s="18" t="str">
        <x:v>txitá | 1</x:v>
      </x:c>
      <x:c r="C1080" s="19" t="n">
        <x:f>IF(B1080="",0,(LEN(B1080)-LEN(SUBSTITUTE(B1080," | ","")))/3+1)</x:f>
        <x:v>2</x:v>
      </x:c>
      <x:c r="D1080" t="str">
        <x:v>m</x:v>
      </x:c>
      <x:c r="E1080" t="str">
        <x:v>https://www.webonary.org/marubo/gfd80bb77-696a-421d-ae67-86c7c8a1b5b6/</x:v>
      </x:c>
      <x:c r="F1080" t="str">
        <x:v>ge8a26156-b6c7-4423-82fe-7c57e0cd3319</x:v>
      </x:c>
      <x:c r="G1080" s="20" t="n">
        <x:v>46003.9349116088</x:v>
      </x:c>
    </x:row>
    <x:row r="1081">
      <x:c r="A1081" s="18" t="str">
        <x:v>moer</x:v>
      </x:c>
      <x:c r="B1081" s="18" t="str">
        <x:v>renea</x:v>
      </x:c>
      <x:c r="C1081" s="19" t="n">
        <x:f>IF(B1081="",0,(LEN(B1081)-LEN(SUBSTITUTE(B1081," | ","")))/3+1)</x:f>
        <x:v>1</x:v>
      </x:c>
      <x:c r="D1081" t="str">
        <x:v>m</x:v>
      </x:c>
      <x:c r="E1081" t="str">
        <x:v>https://www.webonary.org/marubo/gbc8ce428-44ab-4bdd-b6a2-2c2314294264/</x:v>
      </x:c>
      <x:c r="F1081" t="str">
        <x:v>gcdd34073-bf47-4696-97f1-68574f6ef225</x:v>
      </x:c>
      <x:c r="G1081" s="20" t="n">
        <x:v>46003.9349116088</x:v>
      </x:c>
    </x:row>
    <x:row r="1082">
      <x:c r="A1082" s="18" t="str">
        <x:v>molhado</x:v>
      </x:c>
      <x:c r="B1082" s="18" t="str">
        <x:v>txokoa | metxáka</x:v>
      </x:c>
      <x:c r="C1082" s="19" t="n">
        <x:f>IF(B1082="",0,(LEN(B1082)-LEN(SUBSTITUTE(B1082," | ","")))/3+1)</x:f>
        <x:v>2</x:v>
      </x:c>
      <x:c r="D1082" t="str">
        <x:v>m</x:v>
      </x:c>
      <x:c r="E1082" t="str">
        <x:v>https://www.webonary.org/marubo/g4cd6a867-2503-44df-accd-56b23a08aecf/</x:v>
      </x:c>
      <x:c r="F1082" t="str">
        <x:v>g6a7cce5c-7bb7-42cf-b287-ee34d4d41798</x:v>
      </x:c>
      <x:c r="G1082" s="20" t="n">
        <x:v>46003.9349116088</x:v>
      </x:c>
    </x:row>
    <x:row r="1083">
      <x:c r="A1083" s="18" t="str">
        <x:v>moquear</x:v>
      </x:c>
      <x:c r="B1083" s="18" t="str">
        <x:v>txochi aká</x:v>
      </x:c>
      <x:c r="C1083" s="19" t="n">
        <x:f>IF(B1083="",0,(LEN(B1083)-LEN(SUBSTITUTE(B1083," | ","")))/3+1)</x:f>
        <x:v>1</x:v>
      </x:c>
      <x:c r="D1083" t="str">
        <x:v>m</x:v>
      </x:c>
      <x:c r="E1083" t="str">
        <x:v>https://www.webonary.org/marubo/g6fbebbd5-c334-4ba9-b323-578e6a9c2c7d/</x:v>
      </x:c>
      <x:c r="F1083" t="str">
        <x:v>ge719b869-a6be-4a21-be7a-864fe8a898ef</x:v>
      </x:c>
      <x:c r="G1083" s="20" t="n">
        <x:v>46003.9349116088</x:v>
      </x:c>
    </x:row>
    <x:row r="1084">
      <x:c r="A1084" s="18" t="str">
        <x:v>moquear pupunha</x:v>
      </x:c>
      <x:c r="B1084" s="18" t="str">
        <x:v>wanĩ koro aká</x:v>
      </x:c>
      <x:c r="C1084" s="19" t="n">
        <x:f>IF(B1084="",0,(LEN(B1084)-LEN(SUBSTITUTE(B1084," | ","")))/3+1)</x:f>
        <x:v>1</x:v>
      </x:c>
      <x:c r="D1084" t="str">
        <x:v>m</x:v>
      </x:c>
      <x:c r="E1084" t="str">
        <x:v>https://www.webonary.org/marubo/g79f892cb-e301-4f03-b21e-4f3a117ccfc2/</x:v>
      </x:c>
      <x:c r="F1084" t="str">
        <x:v>gbcff2fb4-19e1-4338-b32d-02de0e27d2f7</x:v>
      </x:c>
      <x:c r="G1084" s="20" t="n">
        <x:v>46003.9349116088</x:v>
      </x:c>
    </x:row>
    <x:row r="1085">
      <x:c r="A1085" s="18" t="str">
        <x:v>morcego</x:v>
      </x:c>
      <x:c r="B1085" s="18" t="str">
        <x:v>kãchi</x:v>
      </x:c>
      <x:c r="C1085" s="19" t="n">
        <x:f>IF(B1085="",0,(LEN(B1085)-LEN(SUBSTITUTE(B1085," | ","")))/3+1)</x:f>
        <x:v>1</x:v>
      </x:c>
      <x:c r="D1085" t="str">
        <x:v>m</x:v>
      </x:c>
      <x:c r="E1085" t="str">
        <x:v>https://www.webonary.org/marubo/g67f98100-783c-45c8-9859-8f08482b40e6/</x:v>
      </x:c>
      <x:c r="F1085" t="str">
        <x:v>gafded1f6-248a-468e-b349-bddd1c554409</x:v>
      </x:c>
      <x:c r="G1085" s="20" t="n">
        <x:v>46003.9349116088</x:v>
      </x:c>
    </x:row>
    <x:row r="1086">
      <x:c r="A1086" s="18" t="str">
        <x:v>morder</x:v>
      </x:c>
      <x:c r="B1086" s="18" t="str">
        <x:v>nacha</x:v>
      </x:c>
      <x:c r="C1086" s="19" t="n">
        <x:f>IF(B1086="",0,(LEN(B1086)-LEN(SUBSTITUTE(B1086," | ","")))/3+1)</x:f>
        <x:v>1</x:v>
      </x:c>
      <x:c r="D1086" t="str">
        <x:v>m</x:v>
      </x:c>
      <x:c r="E1086" t="str">
        <x:v>https://www.webonary.org/marubo/gd7f52020-06a0-4fc5-97e2-2d43059609e4/</x:v>
      </x:c>
      <x:c r="F1086" t="str">
        <x:v>g118314d8-854b-4932-9484-c51da244ea44</x:v>
      </x:c>
      <x:c r="G1086" s="20" t="n">
        <x:v>46003.9349116088</x:v>
      </x:c>
    </x:row>
    <x:row r="1087">
      <x:c r="A1087" s="18" t="str">
        <x:v>morna</x:v>
      </x:c>
      <x:c r="B1087" s="18" t="str">
        <x:v>kãshãka</x:v>
      </x:c>
      <x:c r="C1087" s="19" t="n">
        <x:f>IF(B1087="",0,(LEN(B1087)-LEN(SUBSTITUTE(B1087," | ","")))/3+1)</x:f>
        <x:v>1</x:v>
      </x:c>
      <x:c r="D1087" t="str">
        <x:v>m</x:v>
      </x:c>
      <x:c r="E1087" t="str">
        <x:v>https://www.webonary.org/marubo/g3c6ba849-0a98-4893-8959-c1faf428af46/</x:v>
      </x:c>
      <x:c r="F1087" t="str">
        <x:v>g5e435f5f-eb85-4bce-a0a0-cb69e93f61ad</x:v>
      </x:c>
      <x:c r="G1087" s="20" t="n">
        <x:v>46003.9349116088</x:v>
      </x:c>
    </x:row>
    <x:row r="1088">
      <x:c r="A1088" s="18" t="str">
        <x:v>morrer</x:v>
      </x:c>
      <x:c r="B1088" s="18" t="str">
        <x:v>vopia | yama | ori aká</x:v>
      </x:c>
      <x:c r="C1088" s="19" t="n">
        <x:f>IF(B1088="",0,(LEN(B1088)-LEN(SUBSTITUTE(B1088," | ","")))/3+1)</x:f>
        <x:v>3</x:v>
      </x:c>
      <x:c r="D1088" t="str">
        <x:v>m</x:v>
      </x:c>
      <x:c r="E1088" t="str">
        <x:v>https://www.webonary.org/marubo/gd32a3ec5-cdd5-456f-bff0-a9feea027814/</x:v>
      </x:c>
      <x:c r="F1088" t="str">
        <x:v>g15912d3d-1eab-48a9-bb71-edb4b57955f9</x:v>
      </x:c>
      <x:c r="G1088" s="20" t="n">
        <x:v>46003.9349116088</x:v>
      </x:c>
    </x:row>
    <x:row r="1089">
      <x:c r="A1089" s="18" t="str">
        <x:v>morro</x:v>
      </x:c>
      <x:c r="B1089" s="18" t="str">
        <x:v>mato | 1</x:v>
      </x:c>
      <x:c r="C1089" s="19" t="n">
        <x:f>IF(B1089="",0,(LEN(B1089)-LEN(SUBSTITUTE(B1089," | ","")))/3+1)</x:f>
        <x:v>2</x:v>
      </x:c>
      <x:c r="D1089" t="str">
        <x:v>m</x:v>
      </x:c>
      <x:c r="E1089" t="str">
        <x:v>https://www.webonary.org/marubo/g08fc8381-0718-4591-a41a-9a9c22a3ceed/</x:v>
      </x:c>
      <x:c r="F1089" t="str">
        <x:v>gb51bd444-2e22-44e5-bb4a-d21861488641</x:v>
      </x:c>
      <x:c r="G1089" s="20" t="n">
        <x:v>46003.9349116088</x:v>
      </x:c>
    </x:row>
    <x:row r="1090">
      <x:c r="A1090" s="18" t="str">
        <x:v>morto</x:v>
      </x:c>
      <x:c r="B1090" s="18" t="str">
        <x:v>veiya</x:v>
      </x:c>
      <x:c r="C1090" s="19" t="n">
        <x:f>IF(B1090="",0,(LEN(B1090)-LEN(SUBSTITUTE(B1090," | ","")))/3+1)</x:f>
        <x:v>1</x:v>
      </x:c>
      <x:c r="D1090" t="str">
        <x:v>m</x:v>
      </x:c>
      <x:c r="E1090" t="str">
        <x:v>https://www.webonary.org/marubo/gb50d99bd-cd51-483c-bfb4-6ad52edf71b2/</x:v>
      </x:c>
      <x:c r="F1090" t="str">
        <x:v>g1a56bb19-720f-4120-9e1d-75c4c8ae985d</x:v>
      </x:c>
      <x:c r="G1090" s="20" t="n">
        <x:v>46003.9349116088</x:v>
      </x:c>
    </x:row>
    <x:row r="1091">
      <x:c r="A1091" s="18" t="str">
        <x:v>mosca</x:v>
      </x:c>
      <x:c r="B1091" s="18" t="str">
        <x:v>nape</x:v>
      </x:c>
      <x:c r="C1091" s="19" t="n">
        <x:f>IF(B1091="",0,(LEN(B1091)-LEN(SUBSTITUTE(B1091," | ","")))/3+1)</x:f>
        <x:v>1</x:v>
      </x:c>
      <x:c r="D1091" t="str">
        <x:v>m</x:v>
      </x:c>
      <x:c r="E1091" t="str">
        <x:v>https://www.webonary.org/marubo/g767447c3-559f-4696-9d6f-0d2b7f6fb4a5/</x:v>
      </x:c>
      <x:c r="F1091" t="str">
        <x:v>gc164612f-9493-457f-ba7e-be0ffe52dbfe</x:v>
      </x:c>
      <x:c r="G1091" s="20" t="n">
        <x:v>46003.9349116088</x:v>
      </x:c>
    </x:row>
    <x:row r="1092">
      <x:c r="A1092" s="18" t="str">
        <x:v>mosca verde</x:v>
      </x:c>
      <x:c r="B1092" s="18" t="str">
        <x:v>yawã nape</x:v>
      </x:c>
      <x:c r="C1092" s="19" t="n">
        <x:f>IF(B1092="",0,(LEN(B1092)-LEN(SUBSTITUTE(B1092," | ","")))/3+1)</x:f>
        <x:v>1</x:v>
      </x:c>
      <x:c r="D1092" t="str">
        <x:v>m</x:v>
      </x:c>
      <x:c r="E1092" t="str">
        <x:v>https://www.webonary.org/marubo/g126abb94-2492-4902-980f-540205df8a03/</x:v>
      </x:c>
      <x:c r="F1092" t="str">
        <x:v>g46316135-ae9a-4b2b-9bff-9e24e373c72d</x:v>
      </x:c>
      <x:c r="G1092" s="20" t="n">
        <x:v>46003.9349116088</x:v>
      </x:c>
    </x:row>
    <x:row r="1093">
      <x:c r="A1093" s="18" t="str">
        <x:v>mosquiteiro</x:v>
      </x:c>
      <x:c r="B1093" s="18" t="str">
        <x:v>pãteti</x:v>
      </x:c>
      <x:c r="C1093" s="19" t="n">
        <x:f>IF(B1093="",0,(LEN(B1093)-LEN(SUBSTITUTE(B1093," | ","")))/3+1)</x:f>
        <x:v>1</x:v>
      </x:c>
      <x:c r="D1093" t="str">
        <x:v>m</x:v>
      </x:c>
      <x:c r="E1093" t="str">
        <x:v>https://www.webonary.org/marubo/g121ea82a-07d6-4e0d-8b78-97c3f2fdb7ea/</x:v>
      </x:c>
      <x:c r="F1093" t="str">
        <x:v>g32df7ced-9233-4e40-be16-b8020e769fe2</x:v>
      </x:c>
      <x:c r="G1093" s="20" t="n">
        <x:v>46003.9349116088</x:v>
      </x:c>
    </x:row>
    <x:row r="1094">
      <x:c r="A1094" s="18" t="str">
        <x:v>mosquito</x:v>
      </x:c>
      <x:c r="B1094" s="18" t="str">
        <x:v>vii</x:v>
      </x:c>
      <x:c r="C1094" s="19" t="n">
        <x:f>IF(B1094="",0,(LEN(B1094)-LEN(SUBSTITUTE(B1094," | ","")))/3+1)</x:f>
        <x:v>1</x:v>
      </x:c>
      <x:c r="D1094" t="str">
        <x:v>m</x:v>
      </x:c>
      <x:c r="E1094" t="str">
        <x:v>https://www.webonary.org/marubo/g6021dde6-eddb-4dc8-8012-66983d28432d/</x:v>
      </x:c>
      <x:c r="F1094" t="str">
        <x:v>gedbf835f-f875-4b61-a898-cc204c7eb885</x:v>
      </x:c>
      <x:c r="G1094" s="20" t="n">
        <x:v>46003.9349116088</x:v>
      </x:c>
    </x:row>
    <x:row r="1095">
      <x:c r="A1095" s="18" t="str">
        <x:v>mostrar</x:v>
      </x:c>
      <x:c r="B1095" s="18" t="str">
        <x:v>yoia | 2</x:v>
      </x:c>
      <x:c r="C1095" s="19" t="n">
        <x:f>IF(B1095="",0,(LEN(B1095)-LEN(SUBSTITUTE(B1095," | ","")))/3+1)</x:f>
        <x:v>2</x:v>
      </x:c>
      <x:c r="D1095" t="str">
        <x:v>m</x:v>
      </x:c>
      <x:c r="E1095" t="str">
        <x:v>https://www.webonary.org/marubo/g252c3f38-86a7-47df-bd5a-6d95dc188d1f/</x:v>
      </x:c>
      <x:c r="F1095" t="str">
        <x:v>g9abc7e0b-8850-4871-9327-8da77505fd7e</x:v>
      </x:c>
      <x:c r="G1095" s="20" t="n">
        <x:v>46003.9349116088</x:v>
      </x:c>
    </x:row>
    <x:row r="1096">
      <x:c r="A1096" s="18" t="str">
        <x:v>motor</x:v>
      </x:c>
      <x:c r="B1096" s="18" t="str">
        <x:v>motore</x:v>
      </x:c>
      <x:c r="C1096" s="19" t="n">
        <x:f>IF(B1096="",0,(LEN(B1096)-LEN(SUBSTITUTE(B1096," | ","")))/3+1)</x:f>
        <x:v>1</x:v>
      </x:c>
      <x:c r="D1096" t="str">
        <x:v>m</x:v>
      </x:c>
      <x:c r="E1096" t="str">
        <x:v>https://www.webonary.org/marubo/ge2d99041-5c44-47a1-8823-5e97bceea981/</x:v>
      </x:c>
      <x:c r="F1096" t="str">
        <x:v>gbd225450-edf0-4b0c-9506-50d334d550ef</x:v>
      </x:c>
      <x:c r="G1096" s="20" t="n">
        <x:v>46003.9349116088</x:v>
      </x:c>
    </x:row>
    <x:row r="1097">
      <x:c r="A1097" s="18" t="str">
        <x:v>motoserra</x:v>
      </x:c>
      <x:c r="B1097" s="18" t="str">
        <x:v>iwi nisati</x:v>
      </x:c>
      <x:c r="C1097" s="19" t="n">
        <x:f>IF(B1097="",0,(LEN(B1097)-LEN(SUBSTITUTE(B1097," | ","")))/3+1)</x:f>
        <x:v>1</x:v>
      </x:c>
      <x:c r="D1097" t="str">
        <x:v>m</x:v>
      </x:c>
      <x:c r="E1097" t="str">
        <x:v>https://www.webonary.org/marubo/ge4a11f2a-dec3-47c3-b9d6-d5e32f7b6df4/</x:v>
      </x:c>
      <x:c r="F1097" t="str">
        <x:v>g5ced3b38-016e-4696-8258-2d942bd2a360</x:v>
      </x:c>
      <x:c r="G1097" s="20" t="n">
        <x:v>46003.9349116088</x:v>
      </x:c>
    </x:row>
    <x:row r="1098">
      <x:c r="A1098" s="18" t="str">
        <x:v>mover</x:v>
      </x:c>
      <x:c r="B1098" s="18" t="str">
        <x:v>moía</x:v>
      </x:c>
      <x:c r="C1098" s="19" t="n">
        <x:f>IF(B1098="",0,(LEN(B1098)-LEN(SUBSTITUTE(B1098," | ","")))/3+1)</x:f>
        <x:v>1</x:v>
      </x:c>
      <x:c r="D1098" t="str">
        <x:v>m</x:v>
      </x:c>
      <x:c r="E1098" t="str">
        <x:v>https://www.webonary.org/marubo/gebe82140-a639-4db2-9cca-af1afd1cc550/</x:v>
      </x:c>
      <x:c r="F1098" t="str">
        <x:v>g95bc846b-6fa7-4168-862c-1a67dcdd036b</x:v>
      </x:c>
      <x:c r="G1098" s="20" t="n">
        <x:v>46003.9349116088</x:v>
      </x:c>
    </x:row>
    <x:row r="1099">
      <x:c r="A1099" s="18" t="str">
        <x:v>mover-se</x:v>
      </x:c>
      <x:c r="B1099" s="18" t="str">
        <x:v>kapóa</x:v>
      </x:c>
      <x:c r="C1099" s="19" t="n">
        <x:f>IF(B1099="",0,(LEN(B1099)-LEN(SUBSTITUTE(B1099," | ","")))/3+1)</x:f>
        <x:v>1</x:v>
      </x:c>
      <x:c r="D1099" t="str">
        <x:v>m</x:v>
      </x:c>
      <x:c r="E1099" t="str">
        <x:v>https://www.webonary.org/marubo/g0c203fe2-3702-43e1-9f50-2e98501dbea1/</x:v>
      </x:c>
      <x:c r="F1099" t="str">
        <x:v>gf039a929-6a54-45b5-88c3-cc49ae4ed118</x:v>
      </x:c>
      <x:c r="G1099" s="20" t="n">
        <x:v>46003.9349116088</x:v>
      </x:c>
    </x:row>
    <x:row r="1100">
      <x:c r="A1100" s="18" t="str">
        <x:v>movimento circular de água ou ar</x:v>
      </x:c>
      <x:c r="B1100" s="18" t="str">
        <x:v>chĩkir ikí</x:v>
      </x:c>
      <x:c r="C1100" s="19" t="n">
        <x:f>IF(B1100="",0,(LEN(B1100)-LEN(SUBSTITUTE(B1100," | ","")))/3+1)</x:f>
        <x:v>1</x:v>
      </x:c>
      <x:c r="D1100" t="str">
        <x:v>m</x:v>
      </x:c>
      <x:c r="E1100" t="str">
        <x:v>https://www.webonary.org/marubo/g57056a5f-0af9-4bfb-8b7e-9bdcfffae8bd/</x:v>
      </x:c>
      <x:c r="F1100" t="str">
        <x:v>g682cb586-9b29-471c-b292-427cc9101d1a</x:v>
      </x:c>
      <x:c r="G1100" s="20" t="n">
        <x:v>46003.9349116088</x:v>
      </x:c>
    </x:row>
    <x:row r="1101">
      <x:c r="A1101" s="18" t="str">
        <x:v>movimento da água</x:v>
      </x:c>
      <x:c r="B1101" s="18" t="str">
        <x:v>tsĩki ikí</x:v>
      </x:c>
      <x:c r="C1101" s="19" t="n">
        <x:f>IF(B1101="",0,(LEN(B1101)-LEN(SUBSTITUTE(B1101," | ","")))/3+1)</x:f>
        <x:v>1</x:v>
      </x:c>
      <x:c r="D1101" t="str">
        <x:v>m</x:v>
      </x:c>
      <x:c r="E1101" t="str">
        <x:v>https://www.webonary.org/marubo/gd4a1b3dd-2c50-43fd-9d52-4331332c6fa2/</x:v>
      </x:c>
      <x:c r="F1101" t="str">
        <x:v>g6b1e12e4-ec4e-45e6-93dd-ed9440865936</x:v>
      </x:c>
      <x:c r="G1101" s="20" t="n">
        <x:v>46003.9349116088</x:v>
      </x:c>
    </x:row>
    <x:row r="1102">
      <x:c r="A1102" s="18" t="str">
        <x:v>muco</x:v>
      </x:c>
      <x:c r="B1102" s="18" t="str">
        <x:v>recho</x:v>
      </x:c>
      <x:c r="C1102" s="19" t="n">
        <x:f>IF(B1102="",0,(LEN(B1102)-LEN(SUBSTITUTE(B1102," | ","")))/3+1)</x:f>
        <x:v>1</x:v>
      </x:c>
      <x:c r="D1102" t="str">
        <x:v>m</x:v>
      </x:c>
      <x:c r="E1102" t="str">
        <x:v>https://www.webonary.org/marubo/g416fb653-8022-4617-9051-136d92409fd3/</x:v>
      </x:c>
      <x:c r="F1102" t="str">
        <x:v>gca98c4ba-8375-498b-b97b-059139fc90cc</x:v>
      </x:c>
      <x:c r="G1102" s="20" t="n">
        <x:v>46003.9349116088</x:v>
      </x:c>
    </x:row>
    <x:row r="1103">
      <x:c r="A1103" s="18" t="str">
        <x:v>mucuim</x:v>
      </x:c>
      <x:c r="B1103" s="18" t="str">
        <x:v>õpóshe</x:v>
      </x:c>
      <x:c r="C1103" s="19" t="n">
        <x:f>IF(B1103="",0,(LEN(B1103)-LEN(SUBSTITUTE(B1103," | ","")))/3+1)</x:f>
        <x:v>1</x:v>
      </x:c>
      <x:c r="D1103" t="str">
        <x:v>m</x:v>
      </x:c>
      <x:c r="E1103" t="str">
        <x:v>https://www.webonary.org/marubo/g45169678-1951-47c0-aa21-1e723a038416/</x:v>
      </x:c>
      <x:c r="F1103" t="str">
        <x:v>gc86e34ec-5b58-44fd-9310-586b18171728</x:v>
      </x:c>
      <x:c r="G1103" s="20" t="n">
        <x:v>46003.9349116088</x:v>
      </x:c>
    </x:row>
    <x:row r="1104">
      <x:c r="A1104" s="18" t="str">
        <x:v>mudar</x:v>
      </x:c>
      <x:c r="B1104" s="18" t="str">
        <x:v>tekia</x:v>
      </x:c>
      <x:c r="C1104" s="19" t="n">
        <x:f>IF(B1104="",0,(LEN(B1104)-LEN(SUBSTITUTE(B1104," | ","")))/3+1)</x:f>
        <x:v>1</x:v>
      </x:c>
      <x:c r="D1104" t="str">
        <x:v>m</x:v>
      </x:c>
      <x:c r="E1104" t="str">
        <x:v>https://www.webonary.org/marubo/g0f5d6621-a4aa-4813-951a-32f0dd8e8985/</x:v>
      </x:c>
      <x:c r="F1104" t="str">
        <x:v>g2187e0d5-50c5-4102-b160-340ddc4eae45</x:v>
      </x:c>
      <x:c r="G1104" s="20" t="n">
        <x:v>46003.9349116088</x:v>
      </x:c>
    </x:row>
    <x:row r="1105">
      <x:c r="A1105" s="18" t="str">
        <x:v>mudar de lado ao lado</x:v>
      </x:c>
      <x:c r="B1105" s="18" t="str">
        <x:v>võkéa</x:v>
      </x:c>
      <x:c r="C1105" s="19" t="n">
        <x:f>IF(B1105="",0,(LEN(B1105)-LEN(SUBSTITUTE(B1105," | ","")))/3+1)</x:f>
        <x:v>1</x:v>
      </x:c>
      <x:c r="D1105" t="str">
        <x:v>m</x:v>
      </x:c>
      <x:c r="E1105" t="str">
        <x:v>https://www.webonary.org/marubo/g683e6710-3763-4989-afe3-32de948e222e/</x:v>
      </x:c>
      <x:c r="F1105" t="str">
        <x:v>g59884692-8d3c-4cfe-894e-1131a11da9c6</x:v>
      </x:c>
      <x:c r="G1105" s="20" t="n">
        <x:v>46003.9349116088</x:v>
      </x:c>
    </x:row>
    <x:row r="1106">
      <x:c r="A1106" s="18" t="str">
        <x:v>mudar de lado na rede</x:v>
      </x:c>
      <x:c r="B1106" s="18" t="str">
        <x:v>voso aká</x:v>
      </x:c>
      <x:c r="C1106" s="19" t="n">
        <x:f>IF(B1106="",0,(LEN(B1106)-LEN(SUBSTITUTE(B1106," | ","")))/3+1)</x:f>
        <x:v>1</x:v>
      </x:c>
      <x:c r="D1106" t="str">
        <x:v>m</x:v>
      </x:c>
      <x:c r="E1106" t="str">
        <x:v>https://www.webonary.org/marubo/g1d65f51d-456f-4bd4-b96e-1138c60d4074/</x:v>
      </x:c>
      <x:c r="F1106" t="str">
        <x:v>g3f27aa4e-1dba-49e3-aaa2-929466a43b9b</x:v>
      </x:c>
      <x:c r="G1106" s="20" t="n">
        <x:v>46003.934918645835</x:v>
      </x:c>
    </x:row>
    <x:row r="1107">
      <x:c r="A1107" s="18" t="str">
        <x:v>mudo</x:v>
      </x:c>
      <x:c r="B1107" s="18" t="str">
        <x:v>vanasma | ãcho | 1</x:v>
      </x:c>
      <x:c r="C1107" s="19" t="n">
        <x:f>IF(B1107="",0,(LEN(B1107)-LEN(SUBSTITUTE(B1107," | ","")))/3+1)</x:f>
        <x:v>3</x:v>
      </x:c>
      <x:c r="D1107" t="str">
        <x:v>m</x:v>
      </x:c>
      <x:c r="E1107" t="str">
        <x:v>https://www.webonary.org/marubo/g5a631aa9-c2b9-4cb3-8925-bf0615fe6a9e/</x:v>
      </x:c>
      <x:c r="F1107" t="str">
        <x:v>g2b4d60d7-0156-4190-83fd-82864598a361</x:v>
      </x:c>
      <x:c r="G1107" s="20" t="n">
        <x:v>46003.934918645835</x:v>
      </x:c>
    </x:row>
    <x:row r="1108">
      <x:c r="A1108" s="18" t="str">
        <x:v>muito</x:v>
      </x:c>
      <x:c r="B1108" s="18" t="str">
        <x:v>westíma | ãtsaka | otika</x:v>
      </x:c>
      <x:c r="C1108" s="19" t="n">
        <x:f>IF(B1108="",0,(LEN(B1108)-LEN(SUBSTITUTE(B1108," | ","")))/3+1)</x:f>
        <x:v>3</x:v>
      </x:c>
      <x:c r="D1108" t="str">
        <x:v>m</x:v>
      </x:c>
      <x:c r="E1108" t="str">
        <x:v>https://www.webonary.org/marubo/gb7390d76-7ece-4343-8e80-fd1e4558b858/</x:v>
      </x:c>
      <x:c r="F1108" t="str">
        <x:v>g2bbcc5ee-5841-42a8-8fe3-55893e9d2e24</x:v>
      </x:c>
      <x:c r="G1108" s="20" t="n">
        <x:v>46003.934918645835</x:v>
      </x:c>
    </x:row>
    <x:row r="1109">
      <x:c r="A1109" s="18" t="str">
        <x:v>muito (febre e chuva)</x:v>
      </x:c>
      <x:c r="B1109" s="18" t="str">
        <x:v>aĩka</x:v>
      </x:c>
      <x:c r="C1109" s="19" t="n">
        <x:f>IF(B1109="",0,(LEN(B1109)-LEN(SUBSTITUTE(B1109," | ","")))/3+1)</x:f>
        <x:v>1</x:v>
      </x:c>
      <x:c r="D1109" t="str">
        <x:v>m</x:v>
      </x:c>
      <x:c r="E1109" t="str">
        <x:v>https://www.webonary.org/marubo/g1722aa7c-6a68-4d27-be41-edc5770f8037/</x:v>
      </x:c>
      <x:c r="F1109" t="str">
        <x:v>g1ae83d58-dfe9-4b73-96a1-edf4254f29f4</x:v>
      </x:c>
      <x:c r="G1109" s="20" t="n">
        <x:v>46003.934918645835</x:v>
      </x:c>
    </x:row>
    <x:row r="1110">
      <x:c r="A1110" s="18" t="str">
        <x:v>muito alto</x:v>
      </x:c>
      <x:c r="B1110" s="18" t="str">
        <x:v>tokopáma</x:v>
      </x:c>
      <x:c r="C1110" s="19" t="n">
        <x:f>IF(B1110="",0,(LEN(B1110)-LEN(SUBSTITUTE(B1110," | ","")))/3+1)</x:f>
        <x:v>1</x:v>
      </x:c>
      <x:c r="D1110" t="str">
        <x:v>m</x:v>
      </x:c>
      <x:c r="E1110" t="str">
        <x:v>https://www.webonary.org/marubo/g7adb1e37-a238-46b2-844d-f3486e76627b/</x:v>
      </x:c>
      <x:c r="F1110" t="str">
        <x:v>g730ba646-2bce-4892-ae44-88c419404ba0</x:v>
      </x:c>
      <x:c r="G1110" s="20" t="n">
        <x:v>46003.934918645835</x:v>
      </x:c>
    </x:row>
    <x:row r="1111">
      <x:c r="A1111" s="18" t="str">
        <x:v>muitos</x:v>
      </x:c>
      <x:c r="B1111" s="18" t="str">
        <x:v>ranóma</x:v>
      </x:c>
      <x:c r="C1111" s="19" t="n">
        <x:f>IF(B1111="",0,(LEN(B1111)-LEN(SUBSTITUTE(B1111," | ","")))/3+1)</x:f>
        <x:v>1</x:v>
      </x:c>
      <x:c r="D1111" t="str">
        <x:v>m</x:v>
      </x:c>
      <x:c r="E1111" t="str">
        <x:v>https://www.webonary.org/marubo/g16294e05-6bfe-4cbc-a057-27587a8b4f60/</x:v>
      </x:c>
      <x:c r="F1111" t="str">
        <x:v>g63d36059-cd71-4199-ae16-e2f5e49fbee2</x:v>
      </x:c>
      <x:c r="G1111" s="20" t="n">
        <x:v>46003.934918645835</x:v>
      </x:c>
    </x:row>
    <x:row r="1112">
      <x:c r="A1112" s="18" t="str">
        <x:v>mulher</x:v>
      </x:c>
      <x:c r="B1112" s="18" t="str">
        <x:v>aĩvo</x:v>
      </x:c>
      <x:c r="C1112" s="19" t="n">
        <x:f>IF(B1112="",0,(LEN(B1112)-LEN(SUBSTITUTE(B1112," | ","")))/3+1)</x:f>
        <x:v>1</x:v>
      </x:c>
      <x:c r="D1112" t="str">
        <x:v>m</x:v>
      </x:c>
      <x:c r="E1112" t="str">
        <x:v>https://www.webonary.org/marubo/g1a253e58-870d-4baf-903d-ed388b523977/</x:v>
      </x:c>
      <x:c r="F1112" t="str">
        <x:v>gbc9dd6f8-5eb6-4420-8878-b4a51eaf5efe</x:v>
      </x:c>
      <x:c r="G1112" s="20" t="n">
        <x:v>46003.934918645835</x:v>
      </x:c>
    </x:row>
    <x:row r="1113">
      <x:c r="A1113" s="18" t="str">
        <x:v>mulher (termo de respeito)</x:v>
      </x:c>
      <x:c r="B1113" s="18" t="str">
        <x:v>shavo</x:v>
      </x:c>
      <x:c r="C1113" s="19" t="n">
        <x:f>IF(B1113="",0,(LEN(B1113)-LEN(SUBSTITUTE(B1113," | ","")))/3+1)</x:f>
        <x:v>1</x:v>
      </x:c>
      <x:c r="D1113" t="str">
        <x:v>m</x:v>
      </x:c>
      <x:c r="E1113" t="str">
        <x:v>https://www.webonary.org/marubo/ga139e645-e990-4676-b591-1116f655f284/</x:v>
      </x:c>
      <x:c r="F1113" t="str">
        <x:v>g88ca5c78-e38a-48aa-ae27-42078f35f94c</x:v>
      </x:c>
      <x:c r="G1113" s="20" t="n">
        <x:v>46003.934918645835</x:v>
      </x:c>
    </x:row>
    <x:row r="1114">
      <x:c r="A1114" s="18" t="str">
        <x:v>mulher abandonado</x:v>
      </x:c>
      <x:c r="B1114" s="18" t="str">
        <x:v>meshe ikí</x:v>
      </x:c>
      <x:c r="C1114" s="19" t="n">
        <x:f>IF(B1114="",0,(LEN(B1114)-LEN(SUBSTITUTE(B1114," | ","")))/3+1)</x:f>
        <x:v>1</x:v>
      </x:c>
      <x:c r="D1114" t="str">
        <x:v>m</x:v>
      </x:c>
      <x:c r="E1114" t="str">
        <x:v>https://www.webonary.org/marubo/g5a1954f9-612a-434f-9895-4ce5b3484a72/</x:v>
      </x:c>
      <x:c r="F1114" t="str">
        <x:v>g21de204c-c62a-406d-aa9b-b2422924d499</x:v>
      </x:c>
      <x:c r="G1114" s="20" t="n">
        <x:v>46003.934918645835</x:v>
      </x:c>
    </x:row>
    <x:row r="1115">
      <x:c r="A1115" s="18" t="str">
        <x:v>mulher gestante</x:v>
      </x:c>
      <x:c r="B1115" s="18" t="str">
        <x:v>postoka</x:v>
      </x:c>
      <x:c r="C1115" s="19" t="n">
        <x:f>IF(B1115="",0,(LEN(B1115)-LEN(SUBSTITUTE(B1115," | ","")))/3+1)</x:f>
        <x:v>1</x:v>
      </x:c>
      <x:c r="D1115" t="str">
        <x:v>m</x:v>
      </x:c>
      <x:c r="E1115" t="str">
        <x:v>https://www.webonary.org/marubo/g997776a9-3993-4787-bbfc-ea1b494be5c3/</x:v>
      </x:c>
      <x:c r="F1115" t="str">
        <x:v>geb1c1d6e-0c06-4a4e-87ef-a1d379376db4</x:v>
      </x:c>
      <x:c r="G1115" s="20" t="n">
        <x:v>46003.934918645835</x:v>
      </x:c>
    </x:row>
    <x:row r="1116">
      <x:c r="A1116" s="18" t="str">
        <x:v>mulher melhor de todoas</x:v>
      </x:c>
      <x:c r="B1116" s="18" t="str">
        <x:v>shavo koĩ</x:v>
      </x:c>
      <x:c r="C1116" s="19" t="n">
        <x:f>IF(B1116="",0,(LEN(B1116)-LEN(SUBSTITUTE(B1116," | ","")))/3+1)</x:f>
        <x:v>1</x:v>
      </x:c>
      <x:c r="D1116" t="str">
        <x:v>m</x:v>
      </x:c>
      <x:c r="E1116" t="str">
        <x:v>https://www.webonary.org/marubo/g5587485b-b314-4abe-94d5-a91ec004dc8e/</x:v>
      </x:c>
      <x:c r="F1116" t="str">
        <x:v>gea8c6365-2300-4a46-ac36-a237eff101f0</x:v>
      </x:c>
      <x:c r="G1116" s="20" t="n">
        <x:v>46003.934918645835</x:v>
      </x:c>
    </x:row>
    <x:row r="1117">
      <x:c r="A1117" s="18" t="str">
        <x:v>murmuru (palmeira)</x:v>
      </x:c>
      <x:c r="B1117" s="18" t="str">
        <x:v>pĩtxo</x:v>
      </x:c>
      <x:c r="C1117" s="19" t="n">
        <x:f>IF(B1117="",0,(LEN(B1117)-LEN(SUBSTITUTE(B1117," | ","")))/3+1)</x:f>
        <x:v>1</x:v>
      </x:c>
      <x:c r="D1117" t="str">
        <x:v>m</x:v>
      </x:c>
      <x:c r="E1117" t="str">
        <x:v>https://www.webonary.org/marubo/g60d2078f-2d35-416c-8559-d5676faca919/</x:v>
      </x:c>
      <x:c r="F1117" t="str">
        <x:v>g211bf618-653b-4a39-af12-6003a6dd280e</x:v>
      </x:c>
      <x:c r="G1117" s="20" t="n">
        <x:v>46003.934918645835</x:v>
      </x:c>
    </x:row>
    <x:row r="1118">
      <x:c r="A1118" s="18" t="str">
        <x:v>mutuka</x:v>
      </x:c>
      <x:c r="B1118" s="18" t="str">
        <x:v>txepe</x:v>
      </x:c>
      <x:c r="C1118" s="19" t="n">
        <x:f>IF(B1118="",0,(LEN(B1118)-LEN(SUBSTITUTE(B1118," | ","")))/3+1)</x:f>
        <x:v>1</x:v>
      </x:c>
      <x:c r="D1118" t="str">
        <x:v>m</x:v>
      </x:c>
      <x:c r="E1118" t="str">
        <x:v>https://www.webonary.org/marubo/g610fdb51-d30d-41ed-8b37-b83d0c47eb8a/</x:v>
      </x:c>
      <x:c r="F1118" t="str">
        <x:v>g82308da7-c96c-410d-be57-d92c4813300a</x:v>
      </x:c>
      <x:c r="G1118" s="20" t="n">
        <x:v>46003.934918645835</x:v>
      </x:c>
    </x:row>
    <x:row r="1119">
      <x:c r="A1119" s="18" t="str">
        <x:v>mutum</x:v>
      </x:c>
      <x:c r="B1119" s="18" t="str">
        <x:v>ãsĩ | 1</x:v>
      </x:c>
      <x:c r="C1119" s="19" t="n">
        <x:f>IF(B1119="",0,(LEN(B1119)-LEN(SUBSTITUTE(B1119," | ","")))/3+1)</x:f>
        <x:v>2</x:v>
      </x:c>
      <x:c r="D1119" t="str">
        <x:v>m</x:v>
      </x:c>
      <x:c r="E1119" t="str">
        <x:v>https://www.webonary.org/marubo/g3a822e8c-34d9-48e1-aa0f-ecf9efa16730/</x:v>
      </x:c>
      <x:c r="F1119" t="str">
        <x:v>gb36e2b75-1c50-4857-8c25-0bb08aab3a75</x:v>
      </x:c>
      <x:c r="G1119" s="20" t="n">
        <x:v>46003.934918645835</x:v>
      </x:c>
    </x:row>
    <x:row r="1120">
      <x:c r="A1120" s="18" t="str">
        <x:v>nadar</x:v>
      </x:c>
      <x:c r="B1120" s="18" t="str">
        <x:v>nona kawã</x:v>
      </x:c>
      <x:c r="C1120" s="19" t="n">
        <x:f>IF(B1120="",0,(LEN(B1120)-LEN(SUBSTITUTE(B1120," | ","")))/3+1)</x:f>
        <x:v>1</x:v>
      </x:c>
      <x:c r="D1120" t="str">
        <x:v>n</x:v>
      </x:c>
      <x:c r="E1120" t="str">
        <x:v>https://www.webonary.org/marubo/g4c1a770f-7702-4baf-8763-9305e86d1904/</x:v>
      </x:c>
      <x:c r="F1120" t="str">
        <x:v>g7e6be46c-cc0e-4a47-b227-8bad44703f4f</x:v>
      </x:c>
      <x:c r="G1120" s="20" t="n">
        <x:v>46003.934918645835</x:v>
      </x:c>
    </x:row>
    <x:row r="1121">
      <x:c r="A1121" s="18" t="str">
        <x:v>não ascende</x:v>
      </x:c>
      <x:c r="B1121" s="18" t="str">
        <x:v>veko aká</x:v>
      </x:c>
      <x:c r="C1121" s="19" t="n">
        <x:f>IF(B1121="",0,(LEN(B1121)-LEN(SUBSTITUTE(B1121," | ","")))/3+1)</x:f>
        <x:v>1</x:v>
      </x:c>
      <x:c r="D1121" t="str">
        <x:v>n</x:v>
      </x:c>
      <x:c r="E1121" t="str">
        <x:v>https://www.webonary.org/marubo/g3815f3ff-47e6-4801-ae2a-9d428640a580/</x:v>
      </x:c>
      <x:c r="F1121" t="str">
        <x:v>g634135db-1eec-4215-9687-7519bc900e08</x:v>
      </x:c>
      <x:c r="G1121" s="20" t="n">
        <x:v>46003.934918645835</x:v>
      </x:c>
    </x:row>
    <x:row r="1122">
      <x:c r="A1122" s="18" t="str">
        <x:v>não educado</x:v>
      </x:c>
      <x:c r="B1122" s="18" t="str">
        <x:v>vechtika</x:v>
      </x:c>
      <x:c r="C1122" s="19" t="n">
        <x:f>IF(B1122="",0,(LEN(B1122)-LEN(SUBSTITUTE(B1122," | ","")))/3+1)</x:f>
        <x:v>1</x:v>
      </x:c>
      <x:c r="D1122" t="str">
        <x:v>n</x:v>
      </x:c>
      <x:c r="E1122" t="str">
        <x:v>https://www.webonary.org/marubo/g500839e7-ce04-481e-9aa4-aaf11735798d/</x:v>
      </x:c>
      <x:c r="F1122" t="str">
        <x:v>gd34a678b-f5c1-4c3c-b1c8-72e94bb2ac5b</x:v>
      </x:c>
      <x:c r="G1122" s="20" t="n">
        <x:v>46003.934918645835</x:v>
      </x:c>
    </x:row>
    <x:row r="1123">
      <x:c r="A1123" s="18" t="str">
        <x:v>não estava quando alguem te esperava</x:v>
      </x:c>
      <x:c r="B1123" s="18" t="str">
        <x:v>manoa</x:v>
      </x:c>
      <x:c r="C1123" s="19" t="n">
        <x:f>IF(B1123="",0,(LEN(B1123)-LEN(SUBSTITUTE(B1123," | ","")))/3+1)</x:f>
        <x:v>1</x:v>
      </x:c>
      <x:c r="D1123" t="str">
        <x:v>n</x:v>
      </x:c>
      <x:c r="E1123" t="str">
        <x:v>https://www.webonary.org/marubo/g84861268-c0bf-4018-a51d-e5627f93e6f6/</x:v>
      </x:c>
      <x:c r="F1123" t="str">
        <x:v>g2da6833c-8fe4-401b-a652-f68842644fb1</x:v>
      </x:c>
      <x:c r="G1123" s="20" t="n">
        <x:v>46003.934918645835</x:v>
      </x:c>
    </x:row>
    <x:row r="1124">
      <x:c r="A1124" s="18" t="str">
        <x:v>não fazer</x:v>
      </x:c>
      <x:c r="B1124" s="18" t="str">
        <x:v>iamá</x:v>
      </x:c>
      <x:c r="C1124" s="19" t="n">
        <x:f>IF(B1124="",0,(LEN(B1124)-LEN(SUBSTITUTE(B1124," | ","")))/3+1)</x:f>
        <x:v>1</x:v>
      </x:c>
      <x:c r="D1124" t="str">
        <x:v>n</x:v>
      </x:c>
      <x:c r="E1124" t="str">
        <x:v>https://www.webonary.org/marubo/g57c596ea-103c-4298-9030-3f64c056cb98/</x:v>
      </x:c>
      <x:c r="F1124" t="str">
        <x:v>g57a92aa0-62b0-4a82-80af-265bd2e66e0d</x:v>
      </x:c>
      <x:c r="G1124" s="20" t="n">
        <x:v>46003.934918645835</x:v>
      </x:c>
    </x:row>
    <x:row r="1125">
      <x:c r="A1125" s="18" t="str">
        <x:v>não pegar peixe com waka ou timbó</x:v>
      </x:c>
      <x:c r="B1125" s="18" t="str">
        <x:v>veshnã</x:v>
      </x:c>
      <x:c r="C1125" s="19" t="n">
        <x:f>IF(B1125="",0,(LEN(B1125)-LEN(SUBSTITUTE(B1125," | ","")))/3+1)</x:f>
        <x:v>1</x:v>
      </x:c>
      <x:c r="D1125" t="str">
        <x:v>n</x:v>
      </x:c>
      <x:c r="E1125" t="str">
        <x:v>https://www.webonary.org/marubo/gc3a8aa9d-a5e9-4c56-9fb6-d62a714ac41b/</x:v>
      </x:c>
      <x:c r="F1125" t="str">
        <x:v>g25676617-c9b3-46a4-92bf-b480572d3258</x:v>
      </x:c>
      <x:c r="G1125" s="20" t="n">
        <x:v>46003.934918645835</x:v>
      </x:c>
    </x:row>
    <x:row r="1126">
      <x:c r="A1126" s="18" t="str">
        <x:v>não penteado</x:v>
      </x:c>
      <x:c r="B1126" s="18" t="str">
        <x:v>nashnaka</x:v>
      </x:c>
      <x:c r="C1126" s="19" t="n">
        <x:f>IF(B1126="",0,(LEN(B1126)-LEN(SUBSTITUTE(B1126," | ","")))/3+1)</x:f>
        <x:v>1</x:v>
      </x:c>
      <x:c r="D1126" t="str">
        <x:v>n</x:v>
      </x:c>
      <x:c r="E1126" t="str">
        <x:v>https://www.webonary.org/marubo/gd47c631e-9051-4bc4-b2e3-6dcc25121174/</x:v>
      </x:c>
      <x:c r="F1126" t="str">
        <x:v>gf7e1f111-8fa2-41ef-9ed7-267c6d03a1db</x:v>
      </x:c>
      <x:c r="G1126" s="20" t="n">
        <x:v>46003.934918645835</x:v>
      </x:c>
    </x:row>
    <x:row r="1127">
      <x:c r="A1127" s="18" t="str">
        <x:v>não pontudo (embotado rombudo)</x:v>
      </x:c>
      <x:c r="B1127" s="18" t="str">
        <x:v>restoka</x:v>
      </x:c>
      <x:c r="C1127" s="19" t="n">
        <x:f>IF(B1127="",0,(LEN(B1127)-LEN(SUBSTITUTE(B1127," | ","")))/3+1)</x:f>
        <x:v>1</x:v>
      </x:c>
      <x:c r="D1127" t="str">
        <x:v>n</x:v>
      </x:c>
      <x:c r="E1127" t="str">
        <x:v>https://www.webonary.org/marubo/gcad172f3-a947-433a-8d43-16fe3cd241dd/</x:v>
      </x:c>
      <x:c r="F1127" t="str">
        <x:v>g51c19938-1bbb-4401-b41b-672189e276a0</x:v>
      </x:c>
      <x:c r="G1127" s="20" t="n">
        <x:v>46003.934918645835</x:v>
      </x:c>
    </x:row>
    <x:row r="1128">
      <x:c r="A1128" s="18" t="str">
        <x:v>não saber</x:v>
      </x:c>
      <x:c r="B1128" s="18" t="str">
        <x:v>txaaka(se)</x:v>
      </x:c>
      <x:c r="C1128" s="19" t="n">
        <x:f>IF(B1128="",0,(LEN(B1128)-LEN(SUBSTITUTE(B1128," | ","")))/3+1)</x:f>
        <x:v>1</x:v>
      </x:c>
      <x:c r="D1128" t="str">
        <x:v>n</x:v>
      </x:c>
      <x:c r="E1128" t="str">
        <x:v>https://www.webonary.org/marubo/gcb5bd45e-c9f0-4c7a-b7c6-9829df0cf1d9/</x:v>
      </x:c>
      <x:c r="F1128" t="str">
        <x:v>gc5559be0-05af-4861-9baa-5551c9a88f10</x:v>
      </x:c>
      <x:c r="G1128" s="20" t="n">
        <x:v>46003.934918645835</x:v>
      </x:c>
    </x:row>
    <x:row r="1129">
      <x:c r="A1129" s="18" t="str">
        <x:v>não sei</x:v>
      </x:c>
      <x:c r="B1129" s="18" t="str">
        <x:v>aavĩ</x:v>
      </x:c>
      <x:c r="C1129" s="19" t="n">
        <x:f>IF(B1129="",0,(LEN(B1129)-LEN(SUBSTITUTE(B1129," | ","")))/3+1)</x:f>
        <x:v>1</x:v>
      </x:c>
      <x:c r="D1129" t="str">
        <x:v>n</x:v>
      </x:c>
      <x:c r="E1129" t="str">
        <x:v>https://www.webonary.org/marubo/g238259e8-b4b0-4468-9dc4-9a48eaebff4e/</x:v>
      </x:c>
      <x:c r="F1129" t="str">
        <x:v>gb6478fe8-5978-4e8b-ba80-a229f76aebe5</x:v>
      </x:c>
      <x:c r="G1129" s="20" t="n">
        <x:v>46003.934918645835</x:v>
      </x:c>
    </x:row>
    <x:row r="1130">
      <x:c r="A1130" s="18" t="str">
        <x:v>naquela época</x:v>
      </x:c>
      <x:c r="B1130" s="18" t="str">
        <x:v>-tiã</x:v>
      </x:c>
      <x:c r="C1130" s="19" t="n">
        <x:f>IF(B1130="",0,(LEN(B1130)-LEN(SUBSTITUTE(B1130," | ","")))/3+1)</x:f>
        <x:v>1</x:v>
      </x:c>
      <x:c r="D1130" t="str">
        <x:v>n</x:v>
      </x:c>
      <x:c r="E1130" t="str">
        <x:v>https://www.webonary.org/marubo/g3d30c8d2-f45e-4cb9-bde4-72538a7f53f8/</x:v>
      </x:c>
      <x:c r="F1130" t="str">
        <x:v>g4404d96d-7f11-4e31-b466-f8df7c62406b</x:v>
      </x:c>
      <x:c r="G1130" s="20" t="n">
        <x:v>46003.934918645835</x:v>
      </x:c>
    </x:row>
    <x:row r="1131">
      <x:c r="A1131" s="18" t="str">
        <x:v>naquele tempo</x:v>
      </x:c>
      <x:c r="B1131" s="18" t="str">
        <x:v>-tĩa</x:v>
      </x:c>
      <x:c r="C1131" s="19" t="n">
        <x:f>IF(B1131="",0,(LEN(B1131)-LEN(SUBSTITUTE(B1131," | ","")))/3+1)</x:f>
        <x:v>1</x:v>
      </x:c>
      <x:c r="D1131" t="str">
        <x:v>n</x:v>
      </x:c>
      <x:c r="E1131" t="str">
        <x:v>https://www.webonary.org/marubo/g9b84409b-924c-45e8-bfce-9e2d23d6ff3d/</x:v>
      </x:c>
      <x:c r="F1131" t="str">
        <x:v>gad8fe8fd-3131-4983-83b0-9360081b2615</x:v>
      </x:c>
      <x:c r="G1131" s="20" t="n">
        <x:v>46003.934918645835</x:v>
      </x:c>
    </x:row>
    <x:row r="1132">
      <x:c r="A1132" s="18" t="str">
        <x:v>NAR</x:v>
      </x:c>
      <x:c r="B1132" s="18" t="str">
        <x:v>-kĩ | 2 | -ki | -í | -i</x:v>
      </x:c>
      <x:c r="C1132" s="19" t="n">
        <x:f>IF(B1132="",0,(LEN(B1132)-LEN(SUBSTITUTE(B1132," | ","")))/3+1)</x:f>
        <x:v>5</x:v>
      </x:c>
      <x:c r="D1132" t="str">
        <x:v>n</x:v>
      </x:c>
      <x:c r="E1132" t="str">
        <x:v>https://www.webonary.org/marubo/gfda70524-2c7d-415d-8aad-481fb1ef157c/</x:v>
      </x:c>
      <x:c r="F1132" t="str">
        <x:v>g845e3f35-2510-4d55-96c9-51de017de6d9</x:v>
      </x:c>
      <x:c r="G1132" s="20" t="n">
        <x:v>46003.934918645835</x:v>
      </x:c>
    </x:row>
    <x:row r="1133">
      <x:c r="A1133" s="18" t="str">
        <x:v>nariz</x:v>
      </x:c>
      <x:c r="B1133" s="18" t="str">
        <x:v>rekĩ</x:v>
      </x:c>
      <x:c r="C1133" s="19" t="n">
        <x:f>IF(B1133="",0,(LEN(B1133)-LEN(SUBSTITUTE(B1133," | ","")))/3+1)</x:f>
        <x:v>1</x:v>
      </x:c>
      <x:c r="D1133" t="str">
        <x:v>n</x:v>
      </x:c>
      <x:c r="E1133" t="str">
        <x:v>https://www.webonary.org/marubo/g0b96784e-8603-4305-bebf-e49257c01e60/</x:v>
      </x:c>
      <x:c r="F1133" t="str">
        <x:v>gd7d9322e-3279-4675-bf3e-cde65457fcb6</x:v>
      </x:c>
      <x:c r="G1133" s="20" t="n">
        <x:v>46003.934918645835</x:v>
      </x:c>
    </x:row>
    <x:row r="1134">
      <x:c r="A1134" s="18" t="str">
        <x:v>neblina</x:v>
      </x:c>
      <x:c r="B1134" s="18" t="str">
        <x:v>wichnã</x:v>
      </x:c>
      <x:c r="C1134" s="19" t="n">
        <x:f>IF(B1134="",0,(LEN(B1134)-LEN(SUBSTITUTE(B1134," | ","")))/3+1)</x:f>
        <x:v>1</x:v>
      </x:c>
      <x:c r="D1134" t="str">
        <x:v>n</x:v>
      </x:c>
      <x:c r="E1134" t="str">
        <x:v>https://www.webonary.org/marubo/g33a08034-734c-4938-9928-48590336be6a/</x:v>
      </x:c>
      <x:c r="F1134" t="str">
        <x:v>ga372a8ab-c9bc-4785-8a8c-f244b50013bb</x:v>
      </x:c>
      <x:c r="G1134" s="20" t="n">
        <x:v>46003.934918645835</x:v>
      </x:c>
    </x:row>
    <x:row r="1135">
      <x:c r="A1135" s="18" t="str">
        <x:v>NEG</x:v>
      </x:c>
      <x:c r="B1135" s="18" t="str">
        <x:v>-parotsõ | =ma</x:v>
      </x:c>
      <x:c r="C1135" s="19" t="n">
        <x:f>IF(B1135="",0,(LEN(B1135)-LEN(SUBSTITUTE(B1135," | ","")))/3+1)</x:f>
        <x:v>2</x:v>
      </x:c>
      <x:c r="D1135" t="str">
        <x:v>n</x:v>
      </x:c>
      <x:c r="E1135" t="str">
        <x:v>https://www.webonary.org/marubo/ge42d45ac-32b1-47be-825b-2ab382f4504b/</x:v>
      </x:c>
      <x:c r="F1135" t="str">
        <x:v>g7f01d382-79a8-41e1-9c30-6efc32d8bf5a</x:v>
      </x:c>
      <x:c r="G1135" s="20" t="n">
        <x:v>46003.934918645835</x:v>
      </x:c>
    </x:row>
    <x:row r="1136">
      <x:c r="A1136" s="18" t="str">
        <x:v>NEG.ENF</x:v>
      </x:c>
      <x:c r="B1136" s="18" t="str">
        <x:v>-patsĩkĩ</x:v>
      </x:c>
      <x:c r="C1136" s="19" t="n">
        <x:f>IF(B1136="",0,(LEN(B1136)-LEN(SUBSTITUTE(B1136," | ","")))/3+1)</x:f>
        <x:v>1</x:v>
      </x:c>
      <x:c r="D1136" t="str">
        <x:v>n</x:v>
      </x:c>
      <x:c r="E1136" t="str">
        <x:v>https://www.webonary.org/marubo/g35cfb39f-0fb0-4d94-8083-4f3f1fa4fa5d/</x:v>
      </x:c>
      <x:c r="F1136" t="str">
        <x:v>gf700c53a-c704-4b42-91bf-6542f8acc3fe</x:v>
      </x:c>
      <x:c r="G1136" s="20" t="n">
        <x:v>46003.934918645835</x:v>
      </x:c>
    </x:row>
    <x:row r="1137">
      <x:c r="A1137" s="18" t="str">
        <x:v>neto</x:v>
      </x:c>
      <x:c r="B1137" s="18" t="str">
        <x:v>shokó | vava</x:v>
      </x:c>
      <x:c r="C1137" s="19" t="n">
        <x:f>IF(B1137="",0,(LEN(B1137)-LEN(SUBSTITUTE(B1137," | ","")))/3+1)</x:f>
        <x:v>2</x:v>
      </x:c>
      <x:c r="D1137" t="str">
        <x:v>n</x:v>
      </x:c>
      <x:c r="E1137" t="str">
        <x:v>https://www.webonary.org/marubo/g770ff4f2-fb73-4c4c-94e2-e7d438991399/</x:v>
      </x:c>
      <x:c r="F1137" t="str">
        <x:v>g39aecbc9-6e1b-4a83-8564-00e415726c02</x:v>
      </x:c>
      <x:c r="G1137" s="20" t="n">
        <x:v>46003.934918645835</x:v>
      </x:c>
    </x:row>
    <x:row r="1138">
      <x:c r="A1138" s="18" t="str">
        <x:v>neto macho</x:v>
      </x:c>
      <x:c r="B1138" s="18" t="str">
        <x:v>onivake</x:v>
      </x:c>
      <x:c r="C1138" s="19" t="n">
        <x:f>IF(B1138="",0,(LEN(B1138)-LEN(SUBSTITUTE(B1138," | ","")))/3+1)</x:f>
        <x:v>1</x:v>
      </x:c>
      <x:c r="D1138" t="str">
        <x:v>n</x:v>
      </x:c>
      <x:c r="E1138" t="str">
        <x:v>https://www.webonary.org/marubo/g1f75f17b-72b4-474e-aba6-3db9942dd558/</x:v>
      </x:c>
      <x:c r="F1138" t="str">
        <x:v>gca307e9c-cef4-49a0-a248-ba9191ada6a7</x:v>
      </x:c>
      <x:c r="G1138" s="20" t="n">
        <x:v>46003.934918645835</x:v>
      </x:c>
    </x:row>
    <x:row r="1139">
      <x:c r="A1139" s="18" t="str">
        <x:v>ninho de pássaro</x:v>
      </x:c>
      <x:c r="B1139" s="18" t="str">
        <x:v>chaĩná</x:v>
      </x:c>
      <x:c r="C1139" s="19" t="n">
        <x:f>IF(B1139="",0,(LEN(B1139)-LEN(SUBSTITUTE(B1139," | ","")))/3+1)</x:f>
        <x:v>1</x:v>
      </x:c>
      <x:c r="D1139" t="str">
        <x:v>n</x:v>
      </x:c>
      <x:c r="E1139" t="str">
        <x:v>https://www.webonary.org/marubo/gb6724c8b-2cb9-46d3-951a-9e04a1da4191/</x:v>
      </x:c>
      <x:c r="F1139" t="str">
        <x:v>g9a365fde-0bb0-4da1-824f-025a250fe884</x:v>
      </x:c>
      <x:c r="G1139" s="20" t="n">
        <x:v>46003.934918645835</x:v>
      </x:c>
    </x:row>
    <x:row r="1140">
      <x:c r="A1140" s="18" t="str">
        <x:v>NMLZ</x:v>
      </x:c>
      <x:c r="B1140" s="18" t="str">
        <x:v>-ya | 1 | -á | -a | 2</x:v>
      </x:c>
      <x:c r="C1140" s="19" t="n">
        <x:f>IF(B1140="",0,(LEN(B1140)-LEN(SUBSTITUTE(B1140," | ","")))/3+1)</x:f>
        <x:v>5</x:v>
      </x:c>
      <x:c r="D1140" t="str">
        <x:v>n</x:v>
      </x:c>
      <x:c r="E1140" t="str">
        <x:v>https://www.webonary.org/marubo/g2e2f0405-affe-4bb8-9750-62a3d074fccb/</x:v>
      </x:c>
      <x:c r="F1140" t="str">
        <x:v>gc1ecfe6d-e51b-49a3-bfcc-05bc792dd586</x:v>
      </x:c>
      <x:c r="G1140" s="20" t="n">
        <x:v>46003.934918645835</x:v>
      </x:c>
    </x:row>
    <x:row r="1141">
      <x:c r="A1141" s="18" t="str">
        <x:v>nó de árvore</x:v>
      </x:c>
      <x:c r="B1141" s="18" t="str">
        <x:v>txãpi</x:v>
      </x:c>
      <x:c r="C1141" s="19" t="n">
        <x:f>IF(B1141="",0,(LEN(B1141)-LEN(SUBSTITUTE(B1141," | ","")))/3+1)</x:f>
        <x:v>1</x:v>
      </x:c>
      <x:c r="D1141" t="str">
        <x:v>n</x:v>
      </x:c>
      <x:c r="E1141" t="str">
        <x:v>https://www.webonary.org/marubo/g8627c558-1eab-40a9-bdb3-ee12317ea6e3/</x:v>
      </x:c>
      <x:c r="F1141" t="str">
        <x:v>g46c33c97-eba4-4e20-8432-f056bba4a2c6</x:v>
      </x:c>
      <x:c r="G1141" s="20" t="n">
        <x:v>46003.934918645835</x:v>
      </x:c>
    </x:row>
    <x:row r="1142">
      <x:c r="A1142" s="18" t="str">
        <x:v>no lado</x:v>
      </x:c>
      <x:c r="B1142" s="18" t="str">
        <x:v>keshkã</x:v>
      </x:c>
      <x:c r="C1142" s="19" t="n">
        <x:f>IF(B1142="",0,(LEN(B1142)-LEN(SUBSTITUTE(B1142," | ","")))/3+1)</x:f>
        <x:v>1</x:v>
      </x:c>
      <x:c r="D1142" t="str">
        <x:v>n</x:v>
      </x:c>
      <x:c r="E1142" t="str">
        <x:v>https://www.webonary.org/marubo/gb3fd28ae-21cb-4af0-b1dc-d803106fddb5/</x:v>
      </x:c>
      <x:c r="F1142" t="str">
        <x:v>gee42be9c-8e33-4f41-ae6b-bda84c6c3bda</x:v>
      </x:c>
      <x:c r="G1142" s="20" t="n">
        <x:v>46003.934918645835</x:v>
      </x:c>
    </x:row>
    <x:row r="1143">
      <x:c r="A1143" s="18" t="str">
        <x:v>no meio</x:v>
      </x:c>
      <x:c r="B1143" s="18" t="str">
        <x:v>potxini</x:v>
      </x:c>
      <x:c r="C1143" s="19" t="n">
        <x:f>IF(B1143="",0,(LEN(B1143)-LEN(SUBSTITUTE(B1143," | ","")))/3+1)</x:f>
        <x:v>1</x:v>
      </x:c>
      <x:c r="D1143" t="str">
        <x:v>n</x:v>
      </x:c>
      <x:c r="E1143" t="str">
        <x:v>https://www.webonary.org/marubo/ga4590073-59f4-4d13-903d-ae8031e56417/</x:v>
      </x:c>
      <x:c r="F1143" t="str">
        <x:v>gb8944f0e-7c71-45af-a50f-ba31ec20db31</x:v>
      </x:c>
      <x:c r="G1143" s="20" t="n">
        <x:v>46003.934918645835</x:v>
      </x:c>
    </x:row>
    <x:row r="1144">
      <x:c r="A1144" s="18" t="str">
        <x:v>noite</x:v>
      </x:c>
      <x:c r="B1144" s="18" t="str">
        <x:v>yamé</x:v>
      </x:c>
      <x:c r="C1144" s="19" t="n">
        <x:f>IF(B1144="",0,(LEN(B1144)-LEN(SUBSTITUTE(B1144," | ","")))/3+1)</x:f>
        <x:v>1</x:v>
      </x:c>
      <x:c r="D1144" t="str">
        <x:v>n</x:v>
      </x:c>
      <x:c r="E1144" t="str">
        <x:v>https://www.webonary.org/marubo/g55d36d7a-0b78-4572-950c-60be644fee24/</x:v>
      </x:c>
      <x:c r="F1144" t="str">
        <x:v>g7b707e58-6a7d-41af-90be-82090b0e78c1</x:v>
      </x:c>
      <x:c r="G1144" s="20" t="n">
        <x:v>46003.934918645835</x:v>
      </x:c>
    </x:row>
    <x:row r="1145">
      <x:c r="A1145" s="18" t="str">
        <x:v>nojento</x:v>
      </x:c>
      <x:c r="B1145" s="18" t="str">
        <x:v>seyáka</x:v>
      </x:c>
      <x:c r="C1145" s="19" t="n">
        <x:f>IF(B1145="",0,(LEN(B1145)-LEN(SUBSTITUTE(B1145," | ","")))/3+1)</x:f>
        <x:v>1</x:v>
      </x:c>
      <x:c r="D1145" t="str">
        <x:v>n</x:v>
      </x:c>
      <x:c r="E1145" t="str">
        <x:v>https://www.webonary.org/marubo/ga6f6e1af-e7b8-402d-8ba5-93a0738fee6f/</x:v>
      </x:c>
      <x:c r="F1145" t="str">
        <x:v>g9bc61a62-9ae8-4883-ba75-e93d9cabab8c</x:v>
      </x:c>
      <x:c r="G1145" s="20" t="n">
        <x:v>46003.934918645835</x:v>
      </x:c>
    </x:row>
    <x:row r="1146">
      <x:c r="A1146" s="18" t="str">
        <x:v>nojo</x:v>
      </x:c>
      <x:c r="B1146" s="18" t="str">
        <x:v>seyá</x:v>
      </x:c>
      <x:c r="C1146" s="19" t="n">
        <x:f>IF(B1146="",0,(LEN(B1146)-LEN(SUBSTITUTE(B1146," | ","")))/3+1)</x:f>
        <x:v>1</x:v>
      </x:c>
      <x:c r="D1146" t="str">
        <x:v>n</x:v>
      </x:c>
      <x:c r="E1146" t="str">
        <x:v>https://www.webonary.org/marubo/g48e129d5-1279-4a05-b38e-202caa8e5b5d/</x:v>
      </x:c>
      <x:c r="F1146" t="str">
        <x:v>gd6cd10a4-a85c-4a7f-9c6c-f9f169b5a35e</x:v>
      </x:c>
      <x:c r="G1146" s="20" t="n">
        <x:v>46003.934918645835</x:v>
      </x:c>
    </x:row>
    <x:row r="1147">
      <x:c r="A1147" s="18" t="str">
        <x:v>nome</x:v>
      </x:c>
      <x:c r="B1147" s="18" t="str">
        <x:v>ane</x:v>
      </x:c>
      <x:c r="C1147" s="19" t="n">
        <x:f>IF(B1147="",0,(LEN(B1147)-LEN(SUBSTITUTE(B1147," | ","")))/3+1)</x:f>
        <x:v>1</x:v>
      </x:c>
      <x:c r="D1147" t="str">
        <x:v>n</x:v>
      </x:c>
      <x:c r="E1147" t="str">
        <x:v>https://www.webonary.org/marubo/gbe7961f2-fce3-4c61-8f36-becdf794b8f4/</x:v>
      </x:c>
      <x:c r="F1147" t="str">
        <x:v>gbb288cb1-c6b2-4d9c-bd4f-a5a67b62ab58</x:v>
      </x:c>
      <x:c r="G1147" s="20" t="n">
        <x:v>46003.934918645835</x:v>
      </x:c>
    </x:row>
    <x:row r="1148">
      <x:c r="A1148" s="18" t="str">
        <x:v>nome antigo do Rio Ituí</x:v>
      </x:c>
      <x:c r="B1148" s="18" t="str">
        <x:v>vari waka</x:v>
      </x:c>
      <x:c r="C1148" s="19" t="n">
        <x:f>IF(B1148="",0,(LEN(B1148)-LEN(SUBSTITUTE(B1148," | ","")))/3+1)</x:f>
        <x:v>1</x:v>
      </x:c>
      <x:c r="D1148" t="str">
        <x:v>n</x:v>
      </x:c>
      <x:c r="E1148" t="str">
        <x:v>https://www.webonary.org/marubo/ga679c223-ba36-40af-8562-ab79328ad06d/</x:v>
      </x:c>
      <x:c r="F1148" t="str">
        <x:v>ge255c082-e89b-46e0-bf1d-127e7341c97d</x:v>
      </x:c>
      <x:c r="G1148" s="20" t="n">
        <x:v>46003.934918645835</x:v>
      </x:c>
    </x:row>
    <x:row r="1149">
      <x:c r="A1149" s="18" t="str">
        <x:v>nome antigo geral para voadores perigosos</x:v>
      </x:c>
      <x:c r="B1149" s="18" t="str">
        <x:v>vopi chai</x:v>
      </x:c>
      <x:c r="C1149" s="19" t="n">
        <x:f>IF(B1149="",0,(LEN(B1149)-LEN(SUBSTITUTE(B1149," | ","")))/3+1)</x:f>
        <x:v>1</x:v>
      </x:c>
      <x:c r="D1149" t="str">
        <x:v>n</x:v>
      </x:c>
      <x:c r="E1149" t="str">
        <x:v>https://www.webonary.org/marubo/gb87659fb-0642-4271-9769-eb3c4a3bf4be/</x:v>
      </x:c>
      <x:c r="F1149" t="str">
        <x:v>g722316c1-d4a5-46dd-beee-be5b37a7be87</x:v>
      </x:c>
      <x:c r="G1149" s="20" t="n">
        <x:v>46003.934918645835</x:v>
      </x:c>
    </x:row>
    <x:row r="1150">
      <x:c r="A1150" s="18" t="str">
        <x:v>nome antigo para homem</x:v>
      </x:c>
      <x:c r="B1150" s="18" t="str">
        <x:v>oni</x:v>
      </x:c>
      <x:c r="C1150" s="19" t="n">
        <x:f>IF(B1150="",0,(LEN(B1150)-LEN(SUBSTITUTE(B1150," | ","")))/3+1)</x:f>
        <x:v>1</x:v>
      </x:c>
      <x:c r="D1150" t="str">
        <x:v>n</x:v>
      </x:c>
      <x:c r="E1150" t="str">
        <x:v>https://www.webonary.org/marubo/g404f00fb-20b9-459c-97b8-5bedc17fe36d/</x:v>
      </x:c>
      <x:c r="F1150" t="str">
        <x:v>g8734b433-ef3a-49ae-9eb9-b8c325e155b0</x:v>
      </x:c>
      <x:c r="G1150" s="20" t="n">
        <x:v>46003.934918645835</x:v>
      </x:c>
    </x:row>
    <x:row r="1151">
      <x:c r="A1151" s="18" t="str">
        <x:v>nome antigo para rosto e pelos na testa</x:v>
      </x:c>
      <x:c r="B1151" s="18" t="str">
        <x:v>veshpó</x:v>
      </x:c>
      <x:c r="C1151" s="19" t="n">
        <x:f>IF(B1151="",0,(LEN(B1151)-LEN(SUBSTITUTE(B1151," | ","")))/3+1)</x:f>
        <x:v>1</x:v>
      </x:c>
      <x:c r="D1151" t="str">
        <x:v>n</x:v>
      </x:c>
      <x:c r="E1151" t="str">
        <x:v>https://www.webonary.org/marubo/gbb9eda2c-3f54-48a7-bcb5-7c9dada52a09/</x:v>
      </x:c>
      <x:c r="F1151" t="str">
        <x:v>ge2fcee1d-4a58-425a-871c-eb639c6cdc0e</x:v>
      </x:c>
      <x:c r="G1151" s="20" t="n">
        <x:v>46003.934918645835</x:v>
      </x:c>
    </x:row>
    <x:row r="1152">
      <x:c r="A1152" s="18" t="str">
        <x:v>nome da beira de roça</x:v>
      </x:c>
      <x:c r="B1152" s="18" t="str">
        <x:v>tsisó</x:v>
      </x:c>
      <x:c r="C1152" s="19" t="n">
        <x:f>IF(B1152="",0,(LEN(B1152)-LEN(SUBSTITUTE(B1152," | ","")))/3+1)</x:f>
        <x:v>1</x:v>
      </x:c>
      <x:c r="D1152" t="str">
        <x:v>n</x:v>
      </x:c>
      <x:c r="E1152" t="str">
        <x:v>https://www.webonary.org/marubo/g4588f754-4831-4573-89a7-6161ca90cf5c/</x:v>
      </x:c>
      <x:c r="F1152" t="str">
        <x:v>g5a9618af-bbc5-41e0-a7bc-04f314e0b481</x:v>
      </x:c>
      <x:c r="G1152" s="20" t="n">
        <x:v>46003.934918645835</x:v>
      </x:c>
    </x:row>
    <x:row r="1153">
      <x:c r="A1153" s="18" t="str">
        <x:v>nome de árvore</x:v>
      </x:c>
      <x:c r="B1153" s="18" t="str">
        <x:v>oshá rao</x:v>
      </x:c>
      <x:c r="C1153" s="19" t="n">
        <x:f>IF(B1153="",0,(LEN(B1153)-LEN(SUBSTITUTE(B1153," | ","")))/3+1)</x:f>
        <x:v>1</x:v>
      </x:c>
      <x:c r="D1153" t="str">
        <x:v>n</x:v>
      </x:c>
      <x:c r="E1153" t="str">
        <x:v>https://www.webonary.org/marubo/ge9967da5-e97b-4974-84a7-581562a287cf/</x:v>
      </x:c>
      <x:c r="F1153" t="str">
        <x:v>g0399be10-87a5-46bd-93b1-90b37e8a2cfa</x:v>
      </x:c>
      <x:c r="G1153" s="20" t="n">
        <x:v>46003.934918645835</x:v>
      </x:c>
    </x:row>
    <x:row r="1154">
      <x:c r="A1154" s="18" t="str">
        <x:v>nome de boto (vocativo)</x:v>
      </x:c>
      <x:c r="B1154" s="18" t="str">
        <x:v>yaka</x:v>
      </x:c>
      <x:c r="C1154" s="19" t="n">
        <x:f>IF(B1154="",0,(LEN(B1154)-LEN(SUBSTITUTE(B1154," | ","")))/3+1)</x:f>
        <x:v>1</x:v>
      </x:c>
      <x:c r="D1154" t="str">
        <x:v>n</x:v>
      </x:c>
      <x:c r="E1154" t="str">
        <x:v>https://www.webonary.org/marubo/g43a2cb9d-685a-4765-b36a-76f1611bc5bd/</x:v>
      </x:c>
      <x:c r="F1154" t="str">
        <x:v>gf1a90513-2a4c-4bde-967c-5d69a5a5132e</x:v>
      </x:c>
      <x:c r="G1154" s="20" t="n">
        <x:v>46003.934918645835</x:v>
      </x:c>
    </x:row>
    <x:row r="1155">
      <x:c r="A1155" s="18" t="str">
        <x:v>nome de cachorro</x:v>
      </x:c>
      <x:c r="B1155" s="18" t="str">
        <x:v>kaiyo</x:v>
      </x:c>
      <x:c r="C1155" s="19" t="n">
        <x:f>IF(B1155="",0,(LEN(B1155)-LEN(SUBSTITUTE(B1155," | ","")))/3+1)</x:f>
        <x:v>1</x:v>
      </x:c>
      <x:c r="D1155" t="str">
        <x:v>n</x:v>
      </x:c>
      <x:c r="E1155" t="str">
        <x:v>https://www.webonary.org/marubo/g1d5750e0-c404-46b5-9da6-2d8be355ddf4/</x:v>
      </x:c>
      <x:c r="F1155" t="str">
        <x:v>g8d803a6e-acc3-4d29-97de-778e46978cac</x:v>
      </x:c>
      <x:c r="G1155" s="20" t="n">
        <x:v>46003.934918645835</x:v>
      </x:c>
    </x:row>
    <x:row r="1156">
      <x:c r="A1156" s="18" t="str">
        <x:v>nome de cachorro fêmea preta</x:v>
      </x:c>
      <x:c r="B1156" s="18" t="str">
        <x:v>txawa</x:v>
      </x:c>
      <x:c r="C1156" s="19" t="n">
        <x:f>IF(B1156="",0,(LEN(B1156)-LEN(SUBSTITUTE(B1156," | ","")))/3+1)</x:f>
        <x:v>1</x:v>
      </x:c>
      <x:c r="D1156" t="str">
        <x:v>n</x:v>
      </x:c>
      <x:c r="E1156" t="str">
        <x:v>https://www.webonary.org/marubo/gb75e2a1d-9822-40a2-b786-b9590a6e0b2b/</x:v>
      </x:c>
      <x:c r="F1156" t="str">
        <x:v>g819201a1-ae9c-4652-a9b3-b6c09c39c89b</x:v>
      </x:c>
      <x:c r="G1156" s="20" t="n">
        <x:v>46003.93492572917</x:v>
      </x:c>
    </x:row>
    <x:row r="1157">
      <x:c r="A1157" s="18" t="str">
        <x:v>nome de clã</x:v>
      </x:c>
      <x:c r="B1157" s="18" t="str">
        <x:v>varinawa</x:v>
      </x:c>
      <x:c r="C1157" s="19" t="n">
        <x:f>IF(B1157="",0,(LEN(B1157)-LEN(SUBSTITUTE(B1157," | ","")))/3+1)</x:f>
        <x:v>1</x:v>
      </x:c>
      <x:c r="D1157" t="str">
        <x:v>n</x:v>
      </x:c>
      <x:c r="E1157" t="str">
        <x:v>https://www.webonary.org/marubo/g1a0fb7eb-8a5f-41e9-87a6-b78daef6600c/</x:v>
      </x:c>
      <x:c r="F1157" t="str">
        <x:v>g8ab75409-13bc-40e8-932c-f07591b3f04d</x:v>
      </x:c>
      <x:c r="G1157" s="20" t="n">
        <x:v>46003.93492572917</x:v>
      </x:c>
    </x:row>
    <x:row r="1158">
      <x:c r="A1158" s="18" t="str">
        <x:v>nome de espinho da mata</x:v>
      </x:c>
      <x:c r="B1158" s="18" t="str">
        <x:v>chokiri mosha</x:v>
      </x:c>
      <x:c r="C1158" s="19" t="n">
        <x:f>IF(B1158="",0,(LEN(B1158)-LEN(SUBSTITUTE(B1158," | ","")))/3+1)</x:f>
        <x:v>1</x:v>
      </x:c>
      <x:c r="D1158" t="str">
        <x:v>n</x:v>
      </x:c>
      <x:c r="E1158" t="str">
        <x:v>https://www.webonary.org/marubo/ga9cb7748-e3dc-4558-b1cc-16535411fb2c/</x:v>
      </x:c>
      <x:c r="F1158" t="str">
        <x:v>g8ad003b7-666f-4b9f-bdbd-11a752c6f000</x:v>
      </x:c>
      <x:c r="G1158" s="20" t="n">
        <x:v>46003.93492572917</x:v>
      </x:c>
    </x:row>
    <x:row r="1159">
      <x:c r="A1159" s="18" t="str">
        <x:v>nome de igarapé</x:v>
      </x:c>
      <x:c r="B1159" s="18" t="str">
        <x:v>ponõtia | võtoya | chanóya | chaishaoya</x:v>
      </x:c>
      <x:c r="C1159" s="19" t="n">
        <x:f>IF(B1159="",0,(LEN(B1159)-LEN(SUBSTITUTE(B1159," | ","")))/3+1)</x:f>
        <x:v>4</x:v>
      </x:c>
      <x:c r="D1159" t="str">
        <x:v>n</x:v>
      </x:c>
      <x:c r="E1159" t="str">
        <x:v>https://www.webonary.org/marubo/gec3dcc6a-2efc-47fc-817b-a7dc753c3bd3/</x:v>
      </x:c>
      <x:c r="F1159" t="str">
        <x:v>g792acd15-e885-4bb2-aff2-d825cca67117</x:v>
      </x:c>
      <x:c r="G1159" s="20" t="n">
        <x:v>46003.93492572917</x:v>
      </x:c>
    </x:row>
    <x:row r="1160">
      <x:c r="A1160" s="18" t="str">
        <x:v>nome de igarapé no Rio Itui</x:v>
      </x:c>
      <x:c r="B1160" s="18" t="str">
        <x:v>ovẽya</x:v>
      </x:c>
      <x:c r="C1160" s="19" t="n">
        <x:f>IF(B1160="",0,(LEN(B1160)-LEN(SUBSTITUTE(B1160," | ","")))/3+1)</x:f>
        <x:v>1</x:v>
      </x:c>
      <x:c r="D1160" t="str">
        <x:v>n</x:v>
      </x:c>
      <x:c r="E1160" t="str">
        <x:v>https://www.webonary.org/marubo/gab47ea21-d9b5-4aba-8765-27c06d369dbc/</x:v>
      </x:c>
      <x:c r="F1160" t="str">
        <x:v>g18c4abaa-88c9-422e-acea-3509c31ce8ca</x:v>
      </x:c>
      <x:c r="G1160" s="20" t="n">
        <x:v>46003.93492572917</x:v>
      </x:c>
    </x:row>
    <x:row r="1161">
      <x:c r="A1161" s="18" t="str">
        <x:v>nome de igarapé no Rio Itúi</x:v>
      </x:c>
      <x:c r="B1161" s="18" t="str">
        <x:v>Võpisiya</x:v>
      </x:c>
      <x:c r="C1161" s="19" t="n">
        <x:f>IF(B1161="",0,(LEN(B1161)-LEN(SUBSTITUTE(B1161," | ","")))/3+1)</x:f>
        <x:v>1</x:v>
      </x:c>
      <x:c r="D1161" t="str">
        <x:v>n</x:v>
      </x:c>
      <x:c r="E1161" t="str">
        <x:v>https://www.webonary.org/marubo/g7d2bc62a-2732-4485-97e2-51e51adaa84c/</x:v>
      </x:c>
      <x:c r="F1161" t="str">
        <x:v>g04fca1a6-5ae6-4727-8c23-f0585090fcdf</x:v>
      </x:c>
      <x:c r="G1161" s="20" t="n">
        <x:v>46003.93492572917</x:v>
      </x:c>
    </x:row>
    <x:row r="1162">
      <x:c r="A1162" s="18" t="str">
        <x:v>nome de macaco prego de estimação</x:v>
      </x:c>
      <x:c r="B1162" s="18" t="str">
        <x:v>chokó</x:v>
      </x:c>
      <x:c r="C1162" s="19" t="n">
        <x:f>IF(B1162="",0,(LEN(B1162)-LEN(SUBSTITUTE(B1162," | ","")))/3+1)</x:f>
        <x:v>1</x:v>
      </x:c>
      <x:c r="D1162" t="str">
        <x:v>n</x:v>
      </x:c>
      <x:c r="E1162" t="str">
        <x:v>https://www.webonary.org/marubo/gf3aa0799-53c3-411b-996d-58f3b7f2171d/</x:v>
      </x:c>
      <x:c r="F1162" t="str">
        <x:v>g32b9ae99-a040-4872-9a81-1dfe7c65e955</x:v>
      </x:c>
      <x:c r="G1162" s="20" t="n">
        <x:v>46003.93492572917</x:v>
      </x:c>
    </x:row>
    <x:row r="1163">
      <x:c r="A1163" s="18" t="str">
        <x:v>nome de masculino</x:v>
      </x:c>
      <x:c r="B1163" s="18" t="str">
        <x:v>chinĩpa</x:v>
      </x:c>
      <x:c r="C1163" s="19" t="n">
        <x:f>IF(B1163="",0,(LEN(B1163)-LEN(SUBSTITUTE(B1163," | ","")))/3+1)</x:f>
        <x:v>1</x:v>
      </x:c>
      <x:c r="D1163" t="str">
        <x:v>n</x:v>
      </x:c>
      <x:c r="E1163" t="str">
        <x:v>https://www.webonary.org/marubo/g3301e3c0-043a-4d44-918f-cf4d25b85690/</x:v>
      </x:c>
      <x:c r="F1163" t="str">
        <x:v>gcffed357-ceb0-474d-8778-be7efddfca8f</x:v>
      </x:c>
      <x:c r="G1163" s="20" t="n">
        <x:v>46003.93492572917</x:v>
      </x:c>
    </x:row>
    <x:row r="1164">
      <x:c r="A1164" s="18" t="str">
        <x:v>nome de menina</x:v>
      </x:c>
      <x:c r="B1164" s="18" t="str">
        <x:v>kana | kena</x:v>
      </x:c>
      <x:c r="C1164" s="19" t="n">
        <x:f>IF(B1164="",0,(LEN(B1164)-LEN(SUBSTITUTE(B1164," | ","")))/3+1)</x:f>
        <x:v>2</x:v>
      </x:c>
      <x:c r="D1164" t="str">
        <x:v>n</x:v>
      </x:c>
      <x:c r="E1164" t="str">
        <x:v>https://www.webonary.org/marubo/g2063d86a-6be6-4dc1-bbef-00d69d9f3fba/</x:v>
      </x:c>
      <x:c r="F1164" t="str">
        <x:v>g2f803a1e-bbb2-45cb-8d63-1824187b1898</x:v>
      </x:c>
      <x:c r="G1164" s="20" t="n">
        <x:v>46003.93492572917</x:v>
      </x:c>
    </x:row>
    <x:row r="1165">
      <x:c r="A1165" s="18" t="str">
        <x:v>nome de menino</x:v>
      </x:c>
      <x:c r="B1165" s="18" t="str">
        <x:v>karo</x:v>
      </x:c>
      <x:c r="C1165" s="19" t="n">
        <x:f>IF(B1165="",0,(LEN(B1165)-LEN(SUBSTITUTE(B1165," | ","")))/3+1)</x:f>
        <x:v>1</x:v>
      </x:c>
      <x:c r="D1165" t="str">
        <x:v>n</x:v>
      </x:c>
      <x:c r="E1165" t="str">
        <x:v>https://www.webonary.org/marubo/g70db0da8-561c-456b-a17a-4bd9fba88207/</x:v>
      </x:c>
      <x:c r="F1165" t="str">
        <x:v>gf8dc6476-4622-47be-bdcb-e9dea87acfe0</x:v>
      </x:c>
      <x:c r="G1165" s="20" t="n">
        <x:v>46003.93492572917</x:v>
      </x:c>
    </x:row>
    <x:row r="1166">
      <x:c r="A1166" s="18" t="str">
        <x:v>nome de tipo de pintura</x:v>
      </x:c>
      <x:c r="B1166" s="18" t="str">
        <x:v>voĩ paoti aká</x:v>
      </x:c>
      <x:c r="C1166" s="19" t="n">
        <x:f>IF(B1166="",0,(LEN(B1166)-LEN(SUBSTITUTE(B1166," | ","")))/3+1)</x:f>
        <x:v>1</x:v>
      </x:c>
      <x:c r="D1166" t="str">
        <x:v>n</x:v>
      </x:c>
      <x:c r="E1166" t="str">
        <x:v>https://www.webonary.org/marubo/g6f22234b-0b98-4f86-bf7a-af815f0d15d4/</x:v>
      </x:c>
      <x:c r="F1166" t="str">
        <x:v>g3c62c8a7-e137-43fd-bdc6-1c3e822f7e4d</x:v>
      </x:c>
      <x:c r="G1166" s="20" t="n">
        <x:v>46003.93492572917</x:v>
      </x:c>
    </x:row>
    <x:row r="1167">
      <x:c r="A1167" s="18" t="str">
        <x:v>nome feminino</x:v>
      </x:c>
      <x:c r="B1167" s="18" t="str">
        <x:v>võsi | vote | võchi | voa | 2 | vinãewa | voo | Võkĩewa | Võki | yochi | yawã roá | yove | yasa | yaka | Vimĩewa | vanãewa | vasĩewa | vasi | vanẽewa | vane | vari shavo | veka | vena | ino | chai maya | chai shavo | chaĩ wani | chorĩwa | chori | 1 | choi | chocho</x:v>
      </x:c>
      <x:c r="C1167" s="19" t="n">
        <x:f>IF(B1167="",0,(LEN(B1167)-LEN(SUBSTITUTE(B1167," | ","")))/3+1)</x:f>
        <x:v>32</x:v>
      </x:c>
      <x:c r="D1167" t="str">
        <x:v>n</x:v>
      </x:c>
      <x:c r="E1167" t="str">
        <x:v>https://www.webonary.org/marubo/ga7bff855-a412-4c22-9187-98b4108ac5ee/</x:v>
      </x:c>
      <x:c r="F1167" t="str">
        <x:v>ge9f0c184-b182-4ed7-909e-06b4c2dcc4c3</x:v>
      </x:c>
      <x:c r="G1167" s="20" t="n">
        <x:v>46003.93492572917</x:v>
      </x:c>
    </x:row>
    <x:row r="1168">
      <x:c r="A1168" s="18" t="str">
        <x:v>nome indígena para Rio Itui</x:v>
      </x:c>
      <x:c r="B1168" s="18" t="str">
        <x:v>txeshe</x:v>
      </x:c>
      <x:c r="C1168" s="19" t="n">
        <x:f>IF(B1168="",0,(LEN(B1168)-LEN(SUBSTITUTE(B1168," | ","")))/3+1)</x:f>
        <x:v>1</x:v>
      </x:c>
      <x:c r="D1168" t="str">
        <x:v>n</x:v>
      </x:c>
      <x:c r="E1168" t="str">
        <x:v>https://www.webonary.org/marubo/g869a694f-6b78-4915-aaed-3208a98f58e7/</x:v>
      </x:c>
      <x:c r="F1168" t="str">
        <x:v>gb791d0ee-35ee-4f0a-a9c5-ed0ade0a34b0</x:v>
      </x:c>
      <x:c r="G1168" s="20" t="n">
        <x:v>46003.93492572917</x:v>
      </x:c>
    </x:row>
    <x:row r="1169">
      <x:c r="A1169" s="18" t="str">
        <x:v>nome masculino</x:v>
      </x:c>
      <x:c r="B1169" s="18" t="str">
        <x:v>poya | Võsĩpa | Voré Sere | Võpa | Vinõpa | vino | Vinãpa | vina | Vimĩpa | Vonãpa | vona | võko | Võkĩpa | Vimíni | yoáti | yopa | 2 | vana | 1 | vamãpa | vama | vasho | vasĩpa | varĩ vimi | vanãpa | vari shavõpa | vari panã | vari nato | vari itsa | vari | vanẽpa | vãtĩpa | vimi | vekãpa | vea | vatxinawa | venãpa | veo | itsa | ema | chorĩpa | evo | chaĩnĩpa</x:v>
      </x:c>
      <x:c r="C1169" s="19" t="n">
        <x:f>IF(B1169="",0,(LEN(B1169)-LEN(SUBSTITUTE(B1169," | ","")))/3+1)</x:f>
        <x:v>43</x:v>
      </x:c>
      <x:c r="D1169" t="str">
        <x:v>n</x:v>
      </x:c>
      <x:c r="E1169" t="str">
        <x:v>https://www.webonary.org/marubo/g75abad19-fc18-470f-ae65-b9a8059b64fa/</x:v>
      </x:c>
      <x:c r="F1169" t="str">
        <x:v>g3105cc25-244d-46b3-a6d8-8e90f20b98be</x:v>
      </x:c>
      <x:c r="G1169" s="20" t="n">
        <x:v>46003.93492572917</x:v>
      </x:c>
    </x:row>
    <x:row r="1170">
      <x:c r="A1170" s="18" t="str">
        <x:v>nome para macocal (sene) de estimação</x:v>
      </x:c>
      <x:c r="B1170" s="18" t="str">
        <x:v>chori | 1</x:v>
      </x:c>
      <x:c r="C1170" s="19" t="n">
        <x:f>IF(B1170="",0,(LEN(B1170)-LEN(SUBSTITUTE(B1170," | ","")))/3+1)</x:f>
        <x:v>2</x:v>
      </x:c>
      <x:c r="D1170" t="str">
        <x:v>n</x:v>
      </x:c>
      <x:c r="E1170" t="str">
        <x:v>https://www.webonary.org/marubo/gdfb5da7d-73d8-45f8-ba72-1aad69d0bb95/</x:v>
      </x:c>
      <x:c r="F1170" t="str">
        <x:v>g8da98f87-cd9a-4078-8fae-25e76d438449</x:v>
      </x:c>
      <x:c r="G1170" s="20" t="n">
        <x:v>46003.93492572917</x:v>
      </x:c>
    </x:row>
    <x:row r="1171">
      <x:c r="A1171" s="18" t="str">
        <x:v>nome para pessoa sem cabelo na testa</x:v>
      </x:c>
      <x:c r="B1171" s="18" t="str">
        <x:v>vẽchõti</x:v>
      </x:c>
      <x:c r="C1171" s="19" t="n">
        <x:f>IF(B1171="",0,(LEN(B1171)-LEN(SUBSTITUTE(B1171," | ","")))/3+1)</x:f>
        <x:v>1</x:v>
      </x:c>
      <x:c r="D1171" t="str">
        <x:v>n</x:v>
      </x:c>
      <x:c r="E1171" t="str">
        <x:v>https://www.webonary.org/marubo/g30b13ed5-9854-4ecc-a603-de5d981e8002/</x:v>
      </x:c>
      <x:c r="F1171" t="str">
        <x:v>gaa529c04-07fe-4fec-a621-677e131924eb</x:v>
      </x:c>
      <x:c r="G1171" s="20" t="n">
        <x:v>46003.93492572917</x:v>
      </x:c>
    </x:row>
    <x:row r="1172">
      <x:c r="A1172" s="18" t="str">
        <x:v>nome para tabaco</x:v>
      </x:c>
      <x:c r="B1172" s="18" t="str">
        <x:v>chia poto</x:v>
      </x:c>
      <x:c r="C1172" s="19" t="n">
        <x:f>IF(B1172="",0,(LEN(B1172)-LEN(SUBSTITUTE(B1172," | ","")))/3+1)</x:f>
        <x:v>1</x:v>
      </x:c>
      <x:c r="D1172" t="str">
        <x:v>n</x:v>
      </x:c>
      <x:c r="E1172" t="str">
        <x:v>https://www.webonary.org/marubo/g0d209f35-cc57-487b-abe9-c4e5db27f94e/</x:v>
      </x:c>
      <x:c r="F1172" t="str">
        <x:v>gb7b6d4c8-68d2-4e65-8cac-ad38eadedc39</x:v>
      </x:c>
      <x:c r="G1172" s="20" t="n">
        <x:v>46003.93492572917</x:v>
      </x:c>
    </x:row>
    <x:row r="1173">
      <x:c r="A1173" s="18" t="str">
        <x:v>nome próprio masculino</x:v>
      </x:c>
      <x:c r="B1173" s="18" t="str">
        <x:v>txoki</x:v>
      </x:c>
      <x:c r="C1173" s="19" t="n">
        <x:f>IF(B1173="",0,(LEN(B1173)-LEN(SUBSTITUTE(B1173," | ","")))/3+1)</x:f>
        <x:v>1</x:v>
      </x:c>
      <x:c r="D1173" t="str">
        <x:v>n</x:v>
      </x:c>
      <x:c r="E1173" t="str">
        <x:v>https://www.webonary.org/marubo/g5645e531-a722-4ac9-ac06-94e24148ac65/</x:v>
      </x:c>
      <x:c r="F1173" t="str">
        <x:v>g09bb4a51-d35e-4e9b-a0b4-f0f80e08ed0b</x:v>
      </x:c>
      <x:c r="G1173" s="20" t="n">
        <x:v>46003.93492572917</x:v>
      </x:c>
    </x:row>
    <x:row r="1174">
      <x:c r="A1174" s="18" t="str">
        <x:v>nome próprio masculino ou feminino</x:v>
      </x:c>
      <x:c r="B1174" s="18" t="str">
        <x:v>txoko | 1</x:v>
      </x:c>
      <x:c r="C1174" s="19" t="n">
        <x:f>IF(B1174="",0,(LEN(B1174)-LEN(SUBSTITUTE(B1174," | ","")))/3+1)</x:f>
        <x:v>2</x:v>
      </x:c>
      <x:c r="D1174" t="str">
        <x:v>n</x:v>
      </x:c>
      <x:c r="E1174" t="str">
        <x:v>https://www.webonary.org/marubo/g3e7795a5-540c-4c6d-b150-d074c0aa1169/</x:v>
      </x:c>
      <x:c r="F1174" t="str">
        <x:v>ge591e7ed-a458-4710-9c0c-168385446e1c</x:v>
      </x:c>
      <x:c r="G1174" s="20" t="n">
        <x:v>46003.93492572917</x:v>
      </x:c>
    </x:row>
    <x:row r="1175">
      <x:c r="A1175" s="18" t="str">
        <x:v>nome quando animais chaqualam nas arvores</x:v>
      </x:c>
      <x:c r="B1175" s="18" t="str">
        <x:v>võõ ikasai (ikí)</x:v>
      </x:c>
      <x:c r="C1175" s="19" t="n">
        <x:f>IF(B1175="",0,(LEN(B1175)-LEN(SUBSTITUTE(B1175," | ","")))/3+1)</x:f>
        <x:v>1</x:v>
      </x:c>
      <x:c r="D1175" t="str">
        <x:v>n</x:v>
      </x:c>
      <x:c r="E1175" t="str">
        <x:v>https://www.webonary.org/marubo/g218341fa-cf78-4537-b170-26040e92334c/</x:v>
      </x:c>
      <x:c r="F1175" t="str">
        <x:v>gd2c728cc-7763-4a82-b58d-8b017a6d2de4</x:v>
      </x:c>
      <x:c r="G1175" s="20" t="n">
        <x:v>46003.93492572917</x:v>
      </x:c>
    </x:row>
    <x:row r="1176">
      <x:c r="A1176" s="18" t="str">
        <x:v>nome vocativo de macaco preto de estimação</x:v>
      </x:c>
      <x:c r="B1176" s="18" t="str">
        <x:v>vetxo | 1</x:v>
      </x:c>
      <x:c r="C1176" s="19" t="n">
        <x:f>IF(B1176="",0,(LEN(B1176)-LEN(SUBSTITUTE(B1176," | ","")))/3+1)</x:f>
        <x:v>2</x:v>
      </x:c>
      <x:c r="D1176" t="str">
        <x:v>n</x:v>
      </x:c>
      <x:c r="E1176" t="str">
        <x:v>https://www.webonary.org/marubo/g41ab6700-c099-4247-b405-46d21c4a474a/</x:v>
      </x:c>
      <x:c r="F1176" t="str">
        <x:v>g6bc847a1-163e-4a3a-89cd-3535ac768701</x:v>
      </x:c>
      <x:c r="G1176" s="20" t="n">
        <x:v>46003.93492572917</x:v>
      </x:c>
    </x:row>
    <x:row r="1177">
      <x:c r="A1177" s="18" t="str">
        <x:v>nome vocativo para barrigudo</x:v>
      </x:c>
      <x:c r="B1177" s="18" t="str">
        <x:v>posto</x:v>
      </x:c>
      <x:c r="C1177" s="19" t="n">
        <x:f>IF(B1177="",0,(LEN(B1177)-LEN(SUBSTITUTE(B1177," | ","")))/3+1)</x:f>
        <x:v>1</x:v>
      </x:c>
      <x:c r="D1177" t="str">
        <x:v>n</x:v>
      </x:c>
      <x:c r="E1177" t="str">
        <x:v>https://www.webonary.org/marubo/g2c7da69f-314b-49d8-802d-862de4f05d01/</x:v>
      </x:c>
      <x:c r="F1177" t="str">
        <x:v>g51a5da64-7f0a-4fcf-86d3-bea48455f046</x:v>
      </x:c>
      <x:c r="G1177" s="20" t="n">
        <x:v>46003.93492572917</x:v>
      </x:c>
    </x:row>
    <x:row r="1178">
      <x:c r="A1178" s="18" t="str">
        <x:v>nome vocativo para cachorro</x:v>
      </x:c>
      <x:c r="B1178" s="18" t="str">
        <x:v>txove</x:v>
      </x:c>
      <x:c r="C1178" s="19" t="n">
        <x:f>IF(B1178="",0,(LEN(B1178)-LEN(SUBSTITUTE(B1178," | ","")))/3+1)</x:f>
        <x:v>1</x:v>
      </x:c>
      <x:c r="D1178" t="str">
        <x:v>n</x:v>
      </x:c>
      <x:c r="E1178" t="str">
        <x:v>https://www.webonary.org/marubo/g24e80dd8-1f94-4104-b7a3-b96f68bfe422/</x:v>
      </x:c>
      <x:c r="F1178" t="str">
        <x:v>geb6bba50-25ae-446c-85bd-3d4522958db2</x:v>
      </x:c>
      <x:c r="G1178" s="20" t="n">
        <x:v>46003.93492572917</x:v>
      </x:c>
    </x:row>
    <x:row r="1179">
      <x:c r="A1179" s="18" t="str">
        <x:v>nome vocativo para catitu</x:v>
      </x:c>
      <x:c r="B1179" s="18" t="str">
        <x:v>oshto</x:v>
      </x:c>
      <x:c r="C1179" s="19" t="n">
        <x:f>IF(B1179="",0,(LEN(B1179)-LEN(SUBSTITUTE(B1179," | ","")))/3+1)</x:f>
        <x:v>1</x:v>
      </x:c>
      <x:c r="D1179" t="str">
        <x:v>n</x:v>
      </x:c>
      <x:c r="E1179" t="str">
        <x:v>https://www.webonary.org/marubo/gee0b1b4e-0fe9-4d6f-a8cc-5c93b778ae9a/</x:v>
      </x:c>
      <x:c r="F1179" t="str">
        <x:v>ge6b436fa-2432-484f-ae54-e0d207d785d5</x:v>
      </x:c>
      <x:c r="G1179" s="20" t="n">
        <x:v>46003.93492572917</x:v>
      </x:c>
    </x:row>
    <x:row r="1180">
      <x:c r="A1180" s="18" t="str">
        <x:v>nome vocativo para queixada</x:v>
      </x:c>
      <x:c r="B1180" s="18" t="str">
        <x:v>pãtxo | 2</x:v>
      </x:c>
      <x:c r="C1180" s="19" t="n">
        <x:f>IF(B1180="",0,(LEN(B1180)-LEN(SUBSTITUTE(B1180," | ","")))/3+1)</x:f>
        <x:v>2</x:v>
      </x:c>
      <x:c r="D1180" t="str">
        <x:v>n</x:v>
      </x:c>
      <x:c r="E1180" t="str">
        <x:v>https://www.webonary.org/marubo/g90cccfe8-3990-41c5-9003-deca10647e89/</x:v>
      </x:c>
      <x:c r="F1180" t="str">
        <x:v>gac68d3cc-44f5-4e66-9dde-16cf24327c65</x:v>
      </x:c>
      <x:c r="G1180" s="20" t="n">
        <x:v>46003.93492572917</x:v>
      </x:c>
    </x:row>
    <x:row r="1181">
      <x:c r="A1181" s="18" t="str">
        <x:v>nomear</x:v>
      </x:c>
      <x:c r="B1181" s="18" t="str">
        <x:v>anea</x:v>
      </x:c>
      <x:c r="C1181" s="19" t="n">
        <x:f>IF(B1181="",0,(LEN(B1181)-LEN(SUBSTITUTE(B1181," | ","")))/3+1)</x:f>
        <x:v>1</x:v>
      </x:c>
      <x:c r="D1181" t="str">
        <x:v>n</x:v>
      </x:c>
      <x:c r="E1181" t="str">
        <x:v>https://www.webonary.org/marubo/g88bfd50a-87bd-4fd0-955d-f8b5fd82a201/</x:v>
      </x:c>
      <x:c r="F1181" t="str">
        <x:v>g0c64398f-2672-4c3f-9df0-54d818237944</x:v>
      </x:c>
      <x:c r="G1181" s="20" t="n">
        <x:v>46003.93492572917</x:v>
      </x:c>
    </x:row>
    <x:row r="1182">
      <x:c r="A1182" s="18" t="str">
        <x:v>nosso povo</x:v>
      </x:c>
      <x:c r="B1182" s="18" t="str">
        <x:v>nokepa yora</x:v>
      </x:c>
      <x:c r="C1182" s="19" t="n">
        <x:f>IF(B1182="",0,(LEN(B1182)-LEN(SUBSTITUTE(B1182," | ","")))/3+1)</x:f>
        <x:v>1</x:v>
      </x:c>
      <x:c r="D1182" t="str">
        <x:v>n</x:v>
      </x:c>
      <x:c r="E1182" t="str">
        <x:v>https://www.webonary.org/marubo/g42fa45eb-4664-4723-accd-cd2fa877bcb7/</x:v>
      </x:c>
      <x:c r="F1182" t="str">
        <x:v>g9e8bf33d-b7af-45d9-aa00-a777e91cd0a1</x:v>
      </x:c>
      <x:c r="G1182" s="20" t="n">
        <x:v>46003.93492572917</x:v>
      </x:c>
    </x:row>
    <x:row r="1183">
      <x:c r="A1183" s="18" t="str">
        <x:v>notícias</x:v>
      </x:c>
      <x:c r="B1183" s="18" t="str">
        <x:v>kaká</x:v>
      </x:c>
      <x:c r="C1183" s="19" t="n">
        <x:f>IF(B1183="",0,(LEN(B1183)-LEN(SUBSTITUTE(B1183," | ","")))/3+1)</x:f>
        <x:v>1</x:v>
      </x:c>
      <x:c r="D1183" t="str">
        <x:v>n</x:v>
      </x:c>
      <x:c r="E1183" t="str">
        <x:v>https://www.webonary.org/marubo/g3dc4491d-43c7-4c05-a6f0-7e820fcd2006/</x:v>
      </x:c>
      <x:c r="F1183" t="str">
        <x:v>g38d62d06-53f6-4022-8757-ea077e6efa5b</x:v>
      </x:c>
      <x:c r="G1183" s="20" t="n">
        <x:v>46003.93492572917</x:v>
      </x:c>
    </x:row>
    <x:row r="1184">
      <x:c r="A1184" s="18" t="str">
        <x:v>novo</x:v>
      </x:c>
      <x:c r="B1184" s="18" t="str">
        <x:v>vená</x:v>
      </x:c>
      <x:c r="C1184" s="19" t="n">
        <x:f>IF(B1184="",0,(LEN(B1184)-LEN(SUBSTITUTE(B1184," | ","")))/3+1)</x:f>
        <x:v>1</x:v>
      </x:c>
      <x:c r="D1184" t="str">
        <x:v>n</x:v>
      </x:c>
      <x:c r="E1184" t="str">
        <x:v>https://www.webonary.org/marubo/g301d7de1-f1c4-413e-8156-96739c1b12e0/</x:v>
      </x:c>
      <x:c r="F1184" t="str">
        <x:v>g8697a724-33a7-4e9e-8abe-447a43840b8c</x:v>
      </x:c>
      <x:c r="G1184" s="20" t="n">
        <x:v>46003.93492572917</x:v>
      </x:c>
    </x:row>
    <x:row r="1185">
      <x:c r="A1185" s="18" t="str">
        <x:v>nublado</x:v>
      </x:c>
      <x:c r="B1185" s="18" t="str">
        <x:v>veika</x:v>
      </x:c>
      <x:c r="C1185" s="19" t="n">
        <x:f>IF(B1185="",0,(LEN(B1185)-LEN(SUBSTITUTE(B1185," | ","")))/3+1)</x:f>
        <x:v>1</x:v>
      </x:c>
      <x:c r="D1185" t="str">
        <x:v>n</x:v>
      </x:c>
      <x:c r="E1185" t="str">
        <x:v>https://www.webonary.org/marubo/g0e337ab6-1aa6-4906-9127-3c6b35e121c7/</x:v>
      </x:c>
      <x:c r="F1185" t="str">
        <x:v>g96393ac9-97c8-493a-ac4c-a8919d07916a</x:v>
      </x:c>
      <x:c r="G1185" s="20" t="n">
        <x:v>46003.93492572917</x:v>
      </x:c>
    </x:row>
    <x:row r="1186">
      <x:c r="A1186" s="18" t="str">
        <x:v>núcleo macio</x:v>
      </x:c>
      <x:c r="B1186" s="18" t="str">
        <x:v>shãko</x:v>
      </x:c>
      <x:c r="C1186" s="19" t="n">
        <x:f>IF(B1186="",0,(LEN(B1186)-LEN(SUBSTITUTE(B1186," | ","")))/3+1)</x:f>
        <x:v>1</x:v>
      </x:c>
      <x:c r="D1186" t="str">
        <x:v>n</x:v>
      </x:c>
      <x:c r="E1186" t="str">
        <x:v>https://www.webonary.org/marubo/g109b3b37-2455-45dc-9d42-d619a147c122/</x:v>
      </x:c>
      <x:c r="F1186" t="str">
        <x:v>g3e390a24-15a8-4edd-8150-887e5d164798</x:v>
      </x:c>
      <x:c r="G1186" s="20" t="n">
        <x:v>46003.93492572917</x:v>
      </x:c>
    </x:row>
    <x:row r="1187">
      <x:c r="A1187" s="18" t="str">
        <x:v>NUM</x:v>
      </x:c>
      <x:c r="B1187" s="18" t="str">
        <x:v>-tí</x:v>
      </x:c>
      <x:c r="C1187" s="19" t="n">
        <x:f>IF(B1187="",0,(LEN(B1187)-LEN(SUBSTITUTE(B1187," | ","")))/3+1)</x:f>
        <x:v>1</x:v>
      </x:c>
      <x:c r="D1187" t="str">
        <x:v>n</x:v>
      </x:c>
      <x:c r="E1187" t="str">
        <x:v>https://www.webonary.org/marubo/g8294f249-e303-4135-a255-cb9b3391f84d/</x:v>
      </x:c>
      <x:c r="F1187" t="str">
        <x:v>g189b667c-b2c7-4d3e-b4fa-72b5d2646a07</x:v>
      </x:c>
      <x:c r="G1187" s="20" t="n">
        <x:v>46003.93492572917</x:v>
      </x:c>
    </x:row>
    <x:row r="1188">
      <x:c r="A1188" s="18" t="str">
        <x:v>nuvem</x:v>
      </x:c>
      <x:c r="B1188" s="18" t="str">
        <x:v>nai osho</x:v>
      </x:c>
      <x:c r="C1188" s="19" t="n">
        <x:f>IF(B1188="",0,(LEN(B1188)-LEN(SUBSTITUTE(B1188," | ","")))/3+1)</x:f>
        <x:v>1</x:v>
      </x:c>
      <x:c r="D1188" t="str">
        <x:v>n</x:v>
      </x:c>
      <x:c r="E1188" t="str">
        <x:v>https://www.webonary.org/marubo/g6a5c8bbc-cf74-4996-b94a-bcdbe34f4c08/</x:v>
      </x:c>
      <x:c r="F1188" t="str">
        <x:v>g7a0a5013-f460-405c-b6d4-143c8c0de295</x:v>
      </x:c>
      <x:c r="G1188" s="20" t="n">
        <x:v>46003.93492572917</x:v>
      </x:c>
    </x:row>
    <x:row r="1189">
      <x:c r="A1189" s="18" t="str">
        <x:v>o cipó usado para amarrar o trocano</x:v>
      </x:c>
      <x:c r="B1189" s="18" t="str">
        <x:v>minóshe</x:v>
      </x:c>
      <x:c r="C1189" s="19" t="n">
        <x:f>IF(B1189="",0,(LEN(B1189)-LEN(SUBSTITUTE(B1189," | ","")))/3+1)</x:f>
        <x:v>1</x:v>
      </x:c>
      <x:c r="D1189" t="str">
        <x:v>o</x:v>
      </x:c>
      <x:c r="E1189" t="str">
        <x:v>https://www.webonary.org/marubo/g79e6013e-a4d1-4bd2-b23b-f748e6d52d26/</x:v>
      </x:c>
      <x:c r="F1189" t="str">
        <x:v>ge5caf69c-bd14-4296-b8fa-671393de4f02</x:v>
      </x:c>
      <x:c r="G1189" s="20" t="n">
        <x:v>46003.93492572917</x:v>
      </x:c>
    </x:row>
    <x:row r="1190">
      <x:c r="A1190" s="18" t="str">
        <x:v>o começo do ferver</x:v>
      </x:c>
      <x:c r="B1190" s="18" t="str">
        <x:v>chaa iináa</x:v>
      </x:c>
      <x:c r="C1190" s="19" t="n">
        <x:f>IF(B1190="",0,(LEN(B1190)-LEN(SUBSTITUTE(B1190," | ","")))/3+1)</x:f>
        <x:v>1</x:v>
      </x:c>
      <x:c r="D1190" t="str">
        <x:v>o</x:v>
      </x:c>
      <x:c r="E1190" t="str">
        <x:v>https://www.webonary.org/marubo/g1d8f9b2c-477e-492e-beed-9175614e7ee6/</x:v>
      </x:c>
      <x:c r="F1190" t="str">
        <x:v>g457df537-faaf-4ea6-8f48-e72516bd18f0</x:v>
      </x:c>
      <x:c r="G1190" s="20" t="n">
        <x:v>46003.93492572917</x:v>
      </x:c>
    </x:row>
    <x:row r="1191">
      <x:c r="A1191" s="18" t="str">
        <x:v>o outro lado</x:v>
      </x:c>
      <x:c r="B1191" s="18" t="str">
        <x:v>amari</x:v>
      </x:c>
      <x:c r="C1191" s="19" t="n">
        <x:f>IF(B1191="",0,(LEN(B1191)-LEN(SUBSTITUTE(B1191," | ","")))/3+1)</x:f>
        <x:v>1</x:v>
      </x:c>
      <x:c r="D1191" t="str">
        <x:v>o</x:v>
      </x:c>
      <x:c r="E1191" t="str">
        <x:v>https://www.webonary.org/marubo/gbddeb26e-2397-4737-862d-e4a5f8bf600e/</x:v>
      </x:c>
      <x:c r="F1191" t="str">
        <x:v>geafd6107-c780-4fa5-ba83-c8b856c4e4cb</x:v>
      </x:c>
      <x:c r="G1191" s="20" t="n">
        <x:v>46003.93492572917</x:v>
      </x:c>
    </x:row>
    <x:row r="1192">
      <x:c r="A1192" s="18" t="str">
        <x:v>o que</x:v>
      </x:c>
      <x:c r="B1192" s="18" t="str">
        <x:v>awesa | awe | 1</x:v>
      </x:c>
      <x:c r="C1192" s="19" t="n">
        <x:f>IF(B1192="",0,(LEN(B1192)-LEN(SUBSTITUTE(B1192," | ","")))/3+1)</x:f>
        <x:v>3</x:v>
      </x:c>
      <x:c r="D1192" t="str">
        <x:v>o</x:v>
      </x:c>
      <x:c r="E1192" t="str">
        <x:v>https://www.webonary.org/marubo/g9987541c-7c8b-4d84-8110-ad0d872b718c/</x:v>
      </x:c>
      <x:c r="F1192" t="str">
        <x:v>ge7e60530-dbc0-47f1-9ea7-29f6f79551df</x:v>
      </x:c>
      <x:c r="G1192" s="20" t="n">
        <x:v>46003.93492572917</x:v>
      </x:c>
    </x:row>
    <x:row r="1193">
      <x:c r="A1193" s="18" t="str">
        <x:v>o sentido de um carrapato ferroando</x:v>
      </x:c>
      <x:c r="B1193" s="18" t="str">
        <x:v>tsisĩa</x:v>
      </x:c>
      <x:c r="C1193" s="19" t="n">
        <x:f>IF(B1193="",0,(LEN(B1193)-LEN(SUBSTITUTE(B1193," | ","")))/3+1)</x:f>
        <x:v>1</x:v>
      </x:c>
      <x:c r="D1193" t="str">
        <x:v>o</x:v>
      </x:c>
      <x:c r="E1193" t="str">
        <x:v>https://www.webonary.org/marubo/gb99e926c-4518-4555-824a-eb23e11b57d0/</x:v>
      </x:c>
      <x:c r="F1193" t="str">
        <x:v>g56286719-fcd6-4864-bba1-1a1809659a0e</x:v>
      </x:c>
      <x:c r="G1193" s="20" t="n">
        <x:v>46003.93492572917</x:v>
      </x:c>
    </x:row>
    <x:row r="1194">
      <x:c r="A1194" s="18" t="str">
        <x:v>objeto</x:v>
      </x:c>
      <x:c r="B1194" s="18" t="str">
        <x:v>awe | 2</x:v>
      </x:c>
      <x:c r="C1194" s="19" t="n">
        <x:f>IF(B1194="",0,(LEN(B1194)-LEN(SUBSTITUTE(B1194," | ","")))/3+1)</x:f>
        <x:v>2</x:v>
      </x:c>
      <x:c r="D1194" t="str">
        <x:v>o</x:v>
      </x:c>
      <x:c r="E1194" t="str">
        <x:v>https://www.webonary.org/marubo/g8846aba5-4064-4171-a462-aa55025edd3e/</x:v>
      </x:c>
      <x:c r="F1194" t="str">
        <x:v>g91b35177-3d35-4ee1-81ce-7ca7b6501735</x:v>
      </x:c>
      <x:c r="G1194" s="20" t="n">
        <x:v>46003.93492572917</x:v>
      </x:c>
    </x:row>
    <x:row r="1195">
      <x:c r="A1195" s="18" t="str">
        <x:v>objeto qudrado fino</x:v>
      </x:c>
      <x:c r="B1195" s="18" t="str">
        <x:v>tsãpaka | 1</x:v>
      </x:c>
      <x:c r="C1195" s="19" t="n">
        <x:f>IF(B1195="",0,(LEN(B1195)-LEN(SUBSTITUTE(B1195," | ","")))/3+1)</x:f>
        <x:v>2</x:v>
      </x:c>
      <x:c r="D1195" t="str">
        <x:v>o</x:v>
      </x:c>
      <x:c r="E1195" t="str">
        <x:v>https://www.webonary.org/marubo/g61ccaa1f-9015-4196-bbed-3b01bf225eed/</x:v>
      </x:c>
      <x:c r="F1195" t="str">
        <x:v>gdf3bcee1-c49c-466f-93ec-0d18ffe9c270</x:v>
      </x:c>
      <x:c r="G1195" s="20" t="n">
        <x:v>46003.93492572917</x:v>
      </x:c>
    </x:row>
    <x:row r="1196">
      <x:c r="A1196" s="18" t="str">
        <x:v>óculos</x:v>
      </x:c>
      <x:c r="B1196" s="18" t="str">
        <x:v>verok veisti</x:v>
      </x:c>
      <x:c r="C1196" s="19" t="n">
        <x:f>IF(B1196="",0,(LEN(B1196)-LEN(SUBSTITUTE(B1196," | ","")))/3+1)</x:f>
        <x:v>1</x:v>
      </x:c>
      <x:c r="D1196" t="str">
        <x:v>o</x:v>
      </x:c>
      <x:c r="E1196" t="str">
        <x:v>https://www.webonary.org/marubo/g63a85a18-e54d-42f7-afab-dc02723bacde/</x:v>
      </x:c>
      <x:c r="F1196" t="str">
        <x:v>ge99b9e79-558b-4d95-b44a-69b77b81190d</x:v>
      </x:c>
      <x:c r="G1196" s="20" t="n">
        <x:v>46003.93492572917</x:v>
      </x:c>
    </x:row>
    <x:row r="1197">
      <x:c r="A1197" s="18" t="str">
        <x:v>ocultar</x:v>
      </x:c>
      <x:c r="B1197" s="18" t="str">
        <x:v>pacha | 2</x:v>
      </x:c>
      <x:c r="C1197" s="19" t="n">
        <x:f>IF(B1197="",0,(LEN(B1197)-LEN(SUBSTITUTE(B1197," | ","")))/3+1)</x:f>
        <x:v>2</x:v>
      </x:c>
      <x:c r="D1197" t="str">
        <x:v>o</x:v>
      </x:c>
      <x:c r="E1197" t="str">
        <x:v>https://www.webonary.org/marubo/g7f2d15f5-a4b7-4320-873a-7a7ec8ad381e/</x:v>
      </x:c>
      <x:c r="F1197" t="str">
        <x:v>gf08484c0-357e-455e-9ba4-f51fed802ad6</x:v>
      </x:c>
      <x:c r="G1197" s="20" t="n">
        <x:v>46003.93492572917</x:v>
      </x:c>
    </x:row>
    <x:row r="1198">
      <x:c r="A1198" s="18" t="str">
        <x:v>odiar</x:v>
      </x:c>
      <x:c r="B1198" s="18" t="str">
        <x:v>ichná aká</x:v>
      </x:c>
      <x:c r="C1198" s="19" t="n">
        <x:f>IF(B1198="",0,(LEN(B1198)-LEN(SUBSTITUTE(B1198," | ","")))/3+1)</x:f>
        <x:v>1</x:v>
      </x:c>
      <x:c r="D1198" t="str">
        <x:v>o</x:v>
      </x:c>
      <x:c r="E1198" t="str">
        <x:v>https://www.webonary.org/marubo/gc609f51d-0725-4412-8fad-88df386f7419/</x:v>
      </x:c>
      <x:c r="F1198" t="str">
        <x:v>g67d5096d-bad0-41f4-875e-a7c9afd88b93</x:v>
      </x:c>
      <x:c r="G1198" s="20" t="n">
        <x:v>46003.93492572917</x:v>
      </x:c>
    </x:row>
    <x:row r="1199">
      <x:c r="A1199" s="18" t="str">
        <x:v>olhando para baixo</x:v>
      </x:c>
      <x:c r="B1199" s="18" t="str">
        <x:v>vetĩa</x:v>
      </x:c>
      <x:c r="C1199" s="19" t="n">
        <x:f>IF(B1199="",0,(LEN(B1199)-LEN(SUBSTITUTE(B1199," | ","")))/3+1)</x:f>
        <x:v>1</x:v>
      </x:c>
      <x:c r="D1199" t="str">
        <x:v>o</x:v>
      </x:c>
      <x:c r="E1199" t="str">
        <x:v>https://www.webonary.org/marubo/g106c2b82-0d21-433c-b65b-253c7ba0ffc1/</x:v>
      </x:c>
      <x:c r="F1199" t="str">
        <x:v>g1b1a31a9-eb41-4bd1-9b53-70790ecbcc76</x:v>
      </x:c>
      <x:c r="G1199" s="20" t="n">
        <x:v>46003.93492572917</x:v>
      </x:c>
    </x:row>
    <x:row r="1200">
      <x:c r="A1200" s="18" t="str">
        <x:v>olho</x:v>
      </x:c>
      <x:c r="B1200" s="18" t="str">
        <x:v>vero</x:v>
      </x:c>
      <x:c r="C1200" s="19" t="n">
        <x:f>IF(B1200="",0,(LEN(B1200)-LEN(SUBSTITUTE(B1200," | ","")))/3+1)</x:f>
        <x:v>1</x:v>
      </x:c>
      <x:c r="D1200" t="str">
        <x:v>o</x:v>
      </x:c>
      <x:c r="E1200" t="str">
        <x:v>https://www.webonary.org/marubo/g36e755bc-8efb-4295-9bd8-674b3d09c341/</x:v>
      </x:c>
      <x:c r="F1200" t="str">
        <x:v>g5040eafb-d99d-4bff-b8bc-8a09787d693b</x:v>
      </x:c>
      <x:c r="G1200" s="20" t="n">
        <x:v>46003.93492572917</x:v>
      </x:c>
    </x:row>
    <x:row r="1201">
      <x:c r="A1201" s="18" t="str">
        <x:v>olho (de banana)</x:v>
      </x:c>
      <x:c r="B1201" s="18" t="str">
        <x:v>pako</x:v>
      </x:c>
      <x:c r="C1201" s="19" t="n">
        <x:f>IF(B1201="",0,(LEN(B1201)-LEN(SUBSTITUTE(B1201," | ","")))/3+1)</x:f>
        <x:v>1</x:v>
      </x:c>
      <x:c r="D1201" t="str">
        <x:v>o</x:v>
      </x:c>
      <x:c r="E1201" t="str">
        <x:v>https://www.webonary.org/marubo/g6b50f789-b2b6-48d6-9f97-5e8adaab9e9f/</x:v>
      </x:c>
      <x:c r="F1201" t="str">
        <x:v>g30eea5af-7f1b-4fac-a2b5-0f8d1199c8cb</x:v>
      </x:c>
      <x:c r="G1201" s="20" t="n">
        <x:v>46003.93492572917</x:v>
      </x:c>
    </x:row>
    <x:row r="1202">
      <x:c r="A1202" s="18" t="str">
        <x:v>olho de babaçu</x:v>
      </x:c>
      <x:c r="B1202" s="18" t="str">
        <x:v>pichĩ</x:v>
      </x:c>
      <x:c r="C1202" s="19" t="n">
        <x:f>IF(B1202="",0,(LEN(B1202)-LEN(SUBSTITUTE(B1202," | ","")))/3+1)</x:f>
        <x:v>1</x:v>
      </x:c>
      <x:c r="D1202" t="str">
        <x:v>o</x:v>
      </x:c>
      <x:c r="E1202" t="str">
        <x:v>https://www.webonary.org/marubo/g36fc45b2-9ea1-4ada-898e-4efbd538c48c/</x:v>
      </x:c>
      <x:c r="F1202" t="str">
        <x:v>g770146e3-3c84-41d2-8502-4d8558c8cf6e</x:v>
      </x:c>
      <x:c r="G1202" s="20" t="n">
        <x:v>46003.93492572917</x:v>
      </x:c>
    </x:row>
    <x:row r="1203">
      <x:c r="A1203" s="18" t="str">
        <x:v>ombro</x:v>
      </x:c>
      <x:c r="B1203" s="18" t="str">
        <x:v>pesho</x:v>
      </x:c>
      <x:c r="C1203" s="19" t="n">
        <x:f>IF(B1203="",0,(LEN(B1203)-LEN(SUBSTITUTE(B1203," | ","")))/3+1)</x:f>
        <x:v>1</x:v>
      </x:c>
      <x:c r="D1203" t="str">
        <x:v>o</x:v>
      </x:c>
      <x:c r="E1203" t="str">
        <x:v>https://www.webonary.org/marubo/g05a224cb-f9bc-4513-8924-a5c924c13e26/</x:v>
      </x:c>
      <x:c r="F1203" t="str">
        <x:v>g4d42a1ca-4194-41cf-a524-7421ff1a1ee8</x:v>
      </x:c>
      <x:c r="G1203" s="20" t="n">
        <x:v>46003.93492572917</x:v>
      </x:c>
    </x:row>
    <x:row r="1204">
      <x:c r="A1204" s="18" t="str">
        <x:v>onça parda</x:v>
      </x:c>
      <x:c r="B1204" s="18" t="str">
        <x:v>kamã õchĩ</x:v>
      </x:c>
      <x:c r="C1204" s="19" t="n">
        <x:f>IF(B1204="",0,(LEN(B1204)-LEN(SUBSTITUTE(B1204," | ","")))/3+1)</x:f>
        <x:v>1</x:v>
      </x:c>
      <x:c r="D1204" t="str">
        <x:v>o</x:v>
      </x:c>
      <x:c r="E1204" t="str">
        <x:v>https://www.webonary.org/marubo/g4fbd62c8-1ae2-4d36-9a4a-6756155805b9/</x:v>
      </x:c>
      <x:c r="F1204" t="str">
        <x:v>g051b3d3c-f02b-4309-a85f-88e5497143aa</x:v>
      </x:c>
      <x:c r="G1204" s="20" t="n">
        <x:v>46003.93492572917</x:v>
      </x:c>
    </x:row>
    <x:row r="1205">
      <x:c r="A1205" s="18" t="str">
        <x:v>onça pintada</x:v>
      </x:c>
      <x:c r="B1205" s="18" t="str">
        <x:v>kamã | 1</x:v>
      </x:c>
      <x:c r="C1205" s="19" t="n">
        <x:f>IF(B1205="",0,(LEN(B1205)-LEN(SUBSTITUTE(B1205," | ","")))/3+1)</x:f>
        <x:v>2</x:v>
      </x:c>
      <x:c r="D1205" t="str">
        <x:v>o</x:v>
      </x:c>
      <x:c r="E1205" t="str">
        <x:v>https://www.webonary.org/marubo/gbae47635-cba5-49ce-951d-85b5da5af114/</x:v>
      </x:c>
      <x:c r="F1205" t="str">
        <x:v>g2d171a11-39c5-403f-a4e7-bac597935da7</x:v>
      </x:c>
      <x:c r="G1205" s="20" t="n">
        <x:v>46003.93492572917</x:v>
      </x:c>
    </x:row>
    <x:row r="1206">
      <x:c r="A1206" s="18" t="str">
        <x:v>onça preta</x:v>
      </x:c>
      <x:c r="B1206" s="18" t="str">
        <x:v>kamã txeshe</x:v>
      </x:c>
      <x:c r="C1206" s="19" t="n">
        <x:f>IF(B1206="",0,(LEN(B1206)-LEN(SUBSTITUTE(B1206," | ","")))/3+1)</x:f>
        <x:v>1</x:v>
      </x:c>
      <x:c r="D1206" t="str">
        <x:v>o</x:v>
      </x:c>
      <x:c r="E1206" t="str">
        <x:v>https://www.webonary.org/marubo/ged490ffa-af0a-46bc-8865-6cbdaeea9c2d/</x:v>
      </x:c>
      <x:c r="F1206" t="str">
        <x:v>g3519891f-dbe6-45d5-a385-6ad0564a89e7</x:v>
      </x:c>
      <x:c r="G1206" s="20" t="n">
        <x:v>46003.93493297454</x:v>
      </x:c>
    </x:row>
    <x:row r="1207">
      <x:c r="A1207" s="18" t="str">
        <x:v>onde</x:v>
      </x:c>
      <x:c r="B1207" s="18" t="str">
        <x:v>ato | 1 | awetó</x:v>
      </x:c>
      <x:c r="C1207" s="19" t="n">
        <x:f>IF(B1207="",0,(LEN(B1207)-LEN(SUBSTITUTE(B1207," | ","")))/3+1)</x:f>
        <x:v>3</x:v>
      </x:c>
      <x:c r="D1207" t="str">
        <x:v>o</x:v>
      </x:c>
      <x:c r="E1207" t="str">
        <x:v>https://www.webonary.org/marubo/g590e6a46-0209-4deb-8949-07676b5e8476/</x:v>
      </x:c>
      <x:c r="F1207" t="str">
        <x:v>gdcbcc433-815a-4956-8b4f-a80faa1245c8</x:v>
      </x:c>
      <x:c r="G1207" s="20" t="n">
        <x:v>46003.93493297454</x:v>
      </x:c>
    </x:row>
    <x:row r="1208">
      <x:c r="A1208" s="18" t="str">
        <x:v>ondulado</x:v>
      </x:c>
      <x:c r="B1208" s="18" t="str">
        <x:v>reshkéka</x:v>
      </x:c>
      <x:c r="C1208" s="19" t="n">
        <x:f>IF(B1208="",0,(LEN(B1208)-LEN(SUBSTITUTE(B1208," | ","")))/3+1)</x:f>
        <x:v>1</x:v>
      </x:c>
      <x:c r="D1208" t="str">
        <x:v>o</x:v>
      </x:c>
      <x:c r="E1208" t="str">
        <x:v>https://www.webonary.org/marubo/g2452d908-ac51-4b8a-a827-124b4e41f52b/</x:v>
      </x:c>
      <x:c r="F1208" t="str">
        <x:v>g90a58df5-7c82-4b4d-868b-ccf4e64a07dc</x:v>
      </x:c>
      <x:c r="G1208" s="20" t="n">
        <x:v>46003.93493297454</x:v>
      </x:c>
    </x:row>
    <x:row r="1209">
      <x:c r="A1209" s="18" t="str">
        <x:v>ONOM</x:v>
      </x:c>
      <x:c r="B1209" s="18" t="str"/>
      <x:c r="C1209" s="19" t="n">
        <x:f>IF(B1209="",0,(LEN(B1209)-LEN(SUBSTITUTE(B1209," | ","")))/3+1)</x:f>
        <x:v>0</x:v>
      </x:c>
      <x:c r="D1209" t="str">
        <x:v>o</x:v>
      </x:c>
      <x:c r="E1209" t="str"/>
      <x:c r="F1209" t="str">
        <x:v>g0607ce38-32b6-4fb7-8fbe-8807456f7bf9</x:v>
      </x:c>
      <x:c r="G1209" s="20" t="n">
        <x:v>46003.93493297454</x:v>
      </x:c>
    </x:row>
    <x:row r="1210">
      <x:c r="A1210" s="18" t="str">
        <x:v>ontem</x:v>
      </x:c>
      <x:c r="B1210" s="18" t="str">
        <x:v>shaváma</x:v>
      </x:c>
      <x:c r="C1210" s="19" t="n">
        <x:f>IF(B1210="",0,(LEN(B1210)-LEN(SUBSTITUTE(B1210," | ","")))/3+1)</x:f>
        <x:v>1</x:v>
      </x:c>
      <x:c r="D1210" t="str">
        <x:v>o</x:v>
      </x:c>
      <x:c r="E1210" t="str">
        <x:v>https://www.webonary.org/marubo/g515bdc5a-4305-4d19-8aed-3883f447be58/</x:v>
      </x:c>
      <x:c r="F1210" t="str">
        <x:v>gb1d06230-58c4-47f1-ba71-ecb60648e250</x:v>
      </x:c>
      <x:c r="G1210" s="20" t="n">
        <x:v>46003.93493297454</x:v>
      </x:c>
    </x:row>
    <x:row r="1211">
      <x:c r="A1211" s="18" t="str">
        <x:v>orelha</x:v>
      </x:c>
      <x:c r="B1211" s="18" t="str">
        <x:v>pãtxo | 1</x:v>
      </x:c>
      <x:c r="C1211" s="19" t="n">
        <x:f>IF(B1211="",0,(LEN(B1211)-LEN(SUBSTITUTE(B1211," | ","")))/3+1)</x:f>
        <x:v>2</x:v>
      </x:c>
      <x:c r="D1211" t="str">
        <x:v>o</x:v>
      </x:c>
      <x:c r="E1211" t="str">
        <x:v>https://www.webonary.org/marubo/gfc6fe5e1-6fe8-418b-ba23-7a3453a06d22/</x:v>
      </x:c>
      <x:c r="F1211" t="str">
        <x:v>g46687f7c-a6af-4154-ae90-df705bdb76d2</x:v>
      </x:c>
      <x:c r="G1211" s="20" t="n">
        <x:v>46003.93493297454</x:v>
      </x:c>
    </x:row>
    <x:row r="1212">
      <x:c r="A1212" s="18" t="str">
        <x:v>orelha superior</x:v>
      </x:c>
      <x:c r="B1212" s="18" t="str">
        <x:v>pãtxo sheki</x:v>
      </x:c>
      <x:c r="C1212" s="19" t="n">
        <x:f>IF(B1212="",0,(LEN(B1212)-LEN(SUBSTITUTE(B1212," | ","")))/3+1)</x:f>
        <x:v>1</x:v>
      </x:c>
      <x:c r="D1212" t="str">
        <x:v>o</x:v>
      </x:c>
      <x:c r="E1212" t="str">
        <x:v>https://www.webonary.org/marubo/g557ff69a-75f8-45b4-bf43-21d29fb30802/</x:v>
      </x:c>
      <x:c r="F1212" t="str">
        <x:v>gf4d48759-98ee-4a70-b917-3b23ee674092</x:v>
      </x:c>
      <x:c r="G1212" s="20" t="n">
        <x:v>46003.93493297454</x:v>
      </x:c>
    </x:row>
    <x:row r="1213">
      <x:c r="A1213" s="18" t="str">
        <x:v>orvalho</x:v>
      </x:c>
      <x:c r="B1213" s="18" t="str">
        <x:v>niví</x:v>
      </x:c>
      <x:c r="C1213" s="19" t="n">
        <x:f>IF(B1213="",0,(LEN(B1213)-LEN(SUBSTITUTE(B1213," | ","")))/3+1)</x:f>
        <x:v>1</x:v>
      </x:c>
      <x:c r="D1213" t="str">
        <x:v>o</x:v>
      </x:c>
      <x:c r="E1213" t="str">
        <x:v>https://www.webonary.org/marubo/gef97309d-95fa-4dc8-b908-b4b913c6b966/</x:v>
      </x:c>
      <x:c r="F1213" t="str">
        <x:v>ga209f2ae-1fd3-4d82-b22e-1cde28890bc1</x:v>
      </x:c>
      <x:c r="G1213" s="20" t="n">
        <x:v>46003.93493297454</x:v>
      </x:c>
    </x:row>
    <x:row r="1214">
      <x:c r="A1214" s="18" t="str">
        <x:v>osso</x:v>
      </x:c>
      <x:c r="B1214" s="18" t="str">
        <x:v>shao</x:v>
      </x:c>
      <x:c r="C1214" s="19" t="n">
        <x:f>IF(B1214="",0,(LEN(B1214)-LEN(SUBSTITUTE(B1214," | ","")))/3+1)</x:f>
        <x:v>1</x:v>
      </x:c>
      <x:c r="D1214" t="str">
        <x:v>o</x:v>
      </x:c>
      <x:c r="E1214" t="str">
        <x:v>https://www.webonary.org/marubo/g9c1d0e00-964c-4b88-9376-eca2ed50d4a1/</x:v>
      </x:c>
      <x:c r="F1214" t="str">
        <x:v>g93753a15-306e-4a63-90c6-7b4ddb726ff7</x:v>
      </x:c>
      <x:c r="G1214" s="20" t="n">
        <x:v>46003.93493297454</x:v>
      </x:c>
    </x:row>
    <x:row r="1215">
      <x:c r="A1215" s="18" t="str">
        <x:v>osso curto da traseira</x:v>
      </x:c>
      <x:c r="B1215" s="18" t="str">
        <x:v>txiriviti</x:v>
      </x:c>
      <x:c r="C1215" s="19" t="n">
        <x:f>IF(B1215="",0,(LEN(B1215)-LEN(SUBSTITUTE(B1215," | ","")))/3+1)</x:f>
        <x:v>1</x:v>
      </x:c>
      <x:c r="D1215" t="str">
        <x:v>o</x:v>
      </x:c>
      <x:c r="E1215" t="str">
        <x:v>https://www.webonary.org/marubo/g08fea955-c885-4146-9c24-2c7cf4503700/</x:v>
      </x:c>
      <x:c r="F1215" t="str">
        <x:v>gde9b37f7-9293-4dca-8a35-5dd318c45817</x:v>
      </x:c>
      <x:c r="G1215" s="20" t="n">
        <x:v>46003.93493297454</x:v>
      </x:c>
    </x:row>
    <x:row r="1216">
      <x:c r="A1216" s="18" t="str">
        <x:v>osso da bacia</x:v>
      </x:c>
      <x:c r="B1216" s="18" t="str">
        <x:v>txĩká payeshti</x:v>
      </x:c>
      <x:c r="C1216" s="19" t="n">
        <x:f>IF(B1216="",0,(LEN(B1216)-LEN(SUBSTITUTE(B1216," | ","")))/3+1)</x:f>
        <x:v>1</x:v>
      </x:c>
      <x:c r="D1216" t="str">
        <x:v>o</x:v>
      </x:c>
      <x:c r="E1216" t="str">
        <x:v>https://www.webonary.org/marubo/g089b8366-fcf8-4161-9fa4-d086ae17d83b/</x:v>
      </x:c>
      <x:c r="F1216" t="str">
        <x:v>g39910a8f-1a69-48fc-ae88-0223be6d6abd</x:v>
      </x:c>
      <x:c r="G1216" s="20" t="n">
        <x:v>46003.93493297454</x:v>
      </x:c>
    </x:row>
    <x:row r="1217">
      <x:c r="A1217" s="18" t="str">
        <x:v>osso do nariz</x:v>
      </x:c>
      <x:c r="B1217" s="18" t="str">
        <x:v>rekĩkãwĩ</x:v>
      </x:c>
      <x:c r="C1217" s="19" t="n">
        <x:f>IF(B1217="",0,(LEN(B1217)-LEN(SUBSTITUTE(B1217," | ","")))/3+1)</x:f>
        <x:v>1</x:v>
      </x:c>
      <x:c r="D1217" t="str">
        <x:v>o</x:v>
      </x:c>
      <x:c r="E1217" t="str">
        <x:v>https://www.webonary.org/marubo/g32a78706-9045-4f7d-ac4f-0dece31e3b86/</x:v>
      </x:c>
      <x:c r="F1217" t="str">
        <x:v>g7c554cc2-321b-497b-a744-d476e8394ce4</x:v>
      </x:c>
      <x:c r="G1217" s="20" t="n">
        <x:v>46003.93493297454</x:v>
      </x:c>
    </x:row>
    <x:row r="1218">
      <x:c r="A1218" s="18" t="str">
        <x:v>osso do tornozelo</x:v>
      </x:c>
      <x:c r="B1218" s="18" t="str">
        <x:v>notxo</x:v>
      </x:c>
      <x:c r="C1218" s="19" t="n">
        <x:f>IF(B1218="",0,(LEN(B1218)-LEN(SUBSTITUTE(B1218," | ","")))/3+1)</x:f>
        <x:v>1</x:v>
      </x:c>
      <x:c r="D1218" t="str">
        <x:v>o</x:v>
      </x:c>
      <x:c r="E1218" t="str">
        <x:v>https://www.webonary.org/marubo/gbe7f469d-0eba-40ea-a58c-472c9d99e4c6/</x:v>
      </x:c>
      <x:c r="F1218" t="str">
        <x:v>g171228be-74a8-4938-bb3b-86f5c9479388</x:v>
      </x:c>
      <x:c r="G1218" s="20" t="n">
        <x:v>46003.93493297454</x:v>
      </x:c>
    </x:row>
    <x:row r="1219">
      <x:c r="A1219" s="18" t="str">
        <x:v>ou palha de qualquer planta</x:v>
      </x:c>
      <x:c r="B1219" s="18" t="str">
        <x:v>petséa</x:v>
      </x:c>
      <x:c r="C1219" s="19" t="n">
        <x:f>IF(B1219="",0,(LEN(B1219)-LEN(SUBSTITUTE(B1219," | ","")))/3+1)</x:f>
        <x:v>1</x:v>
      </x:c>
      <x:c r="D1219" t="str">
        <x:v>o</x:v>
      </x:c>
      <x:c r="E1219" t="str">
        <x:v>https://www.webonary.org/marubo/g67154b4b-a1c3-4fcf-a13a-ca5a83a85e2e/</x:v>
      </x:c>
      <x:c r="F1219" t="str">
        <x:v>gb95c21a6-aec6-4437-afca-0a2dc7b5447e</x:v>
      </x:c>
      <x:c r="G1219" s="20" t="n">
        <x:v>46003.93493297454</x:v>
      </x:c>
    </x:row>
    <x:row r="1220">
      <x:c r="A1220" s="18" t="str">
        <x:v>ou primos cruzado</x:v>
      </x:c>
      <x:c r="B1220" s="18" t="str">
        <x:v>vava</x:v>
      </x:c>
      <x:c r="C1220" s="19" t="n">
        <x:f>IF(B1220="",0,(LEN(B1220)-LEN(SUBSTITUTE(B1220," | ","")))/3+1)</x:f>
        <x:v>1</x:v>
      </x:c>
      <x:c r="D1220" t="str">
        <x:v>o</x:v>
      </x:c>
      <x:c r="E1220" t="str">
        <x:v>https://www.webonary.org/marubo/gdf835bce-012a-4440-a3a9-c6ae798c5a18/</x:v>
      </x:c>
      <x:c r="F1220" t="str">
        <x:v>g5559b9f0-e506-4d9d-a172-abc816598821</x:v>
      </x:c>
      <x:c r="G1220" s="20" t="n">
        <x:v>46003.93493297454</x:v>
      </x:c>
    </x:row>
    <x:row r="1221">
      <x:c r="A1221" s="18" t="str">
        <x:v>ouco</x:v>
      </x:c>
      <x:c r="B1221" s="18" t="str">
        <x:v>shakĩya</x:v>
      </x:c>
      <x:c r="C1221" s="19" t="n">
        <x:f>IF(B1221="",0,(LEN(B1221)-LEN(SUBSTITUTE(B1221," | ","")))/3+1)</x:f>
        <x:v>1</x:v>
      </x:c>
      <x:c r="D1221" t="str">
        <x:v>o</x:v>
      </x:c>
      <x:c r="E1221" t="str">
        <x:v>https://www.webonary.org/marubo/g66ae9799-8e07-4022-b09c-6fcfba52895e/</x:v>
      </x:c>
      <x:c r="F1221" t="str">
        <x:v>gdd7db29a-c821-4202-917f-19d7d541be2b</x:v>
      </x:c>
      <x:c r="G1221" s="20" t="n">
        <x:v>46003.93493297454</x:v>
      </x:c>
    </x:row>
    <x:row r="1222">
      <x:c r="A1222" s="18" t="str">
        <x:v>outro</x:v>
      </x:c>
      <x:c r="B1222" s="18" t="str">
        <x:v>wetsa</x:v>
      </x:c>
      <x:c r="C1222" s="19" t="n">
        <x:f>IF(B1222="",0,(LEN(B1222)-LEN(SUBSTITUTE(B1222," | ","")))/3+1)</x:f>
        <x:v>1</x:v>
      </x:c>
      <x:c r="D1222" t="str">
        <x:v>o</x:v>
      </x:c>
      <x:c r="E1222" t="str">
        <x:v>https://www.webonary.org/marubo/g1b73e85f-1bf8-4afd-93d5-30364a832cdb/</x:v>
      </x:c>
      <x:c r="F1222" t="str">
        <x:v>g792a306b-ffa3-4db7-a553-1733f891246b</x:v>
      </x:c>
      <x:c r="G1222" s="20" t="n">
        <x:v>46003.93493297454</x:v>
      </x:c>
    </x:row>
    <x:row r="1223">
      <x:c r="A1223" s="18" t="str">
        <x:v>outro dia</x:v>
      </x:c>
      <x:c r="B1223" s="18" t="str">
        <x:v>samã</x:v>
      </x:c>
      <x:c r="C1223" s="19" t="n">
        <x:f>IF(B1223="",0,(LEN(B1223)-LEN(SUBSTITUTE(B1223," | ","")))/3+1)</x:f>
        <x:v>1</x:v>
      </x:c>
      <x:c r="D1223" t="str">
        <x:v>o</x:v>
      </x:c>
      <x:c r="E1223" t="str">
        <x:v>https://www.webonary.org/marubo/gdbedb3a5-7428-44ac-9254-4973c117c8c0/</x:v>
      </x:c>
      <x:c r="F1223" t="str">
        <x:v>g731d4fed-c86e-4e89-9d2c-52246f5a205d</x:v>
      </x:c>
      <x:c r="G1223" s="20" t="n">
        <x:v>46003.93493297454</x:v>
      </x:c>
    </x:row>
    <x:row r="1224">
      <x:c r="A1224" s="18" t="str">
        <x:v>outro lado</x:v>
      </x:c>
      <x:c r="B1224" s="18" t="str">
        <x:v>okiri</x:v>
      </x:c>
      <x:c r="C1224" s="19" t="n">
        <x:f>IF(B1224="",0,(LEN(B1224)-LEN(SUBSTITUTE(B1224," | ","")))/3+1)</x:f>
        <x:v>1</x:v>
      </x:c>
      <x:c r="D1224" t="str">
        <x:v>o</x:v>
      </x:c>
      <x:c r="E1224" t="str">
        <x:v>https://www.webonary.org/marubo/gc154bc9c-8422-4dbe-85ea-9ed1a06f8b87/</x:v>
      </x:c>
      <x:c r="F1224" t="str">
        <x:v>g7501af98-e177-48e8-be8b-df3f9bb03792</x:v>
      </x:c>
      <x:c r="G1224" s="20" t="n">
        <x:v>46003.93493297454</x:v>
      </x:c>
    </x:row>
    <x:row r="1225">
      <x:c r="A1225" s="18" t="str">
        <x:v>outro tipo de banana</x:v>
      </x:c>
      <x:c r="B1225" s="18" t="str">
        <x:v>shawe mani</x:v>
      </x:c>
      <x:c r="C1225" s="19" t="n">
        <x:f>IF(B1225="",0,(LEN(B1225)-LEN(SUBSTITUTE(B1225," | ","")))/3+1)</x:f>
        <x:v>1</x:v>
      </x:c>
      <x:c r="D1225" t="str">
        <x:v>o</x:v>
      </x:c>
      <x:c r="E1225" t="str">
        <x:v>https://www.webonary.org/marubo/ga73304c6-e957-405b-8082-81d08154258c/</x:v>
      </x:c>
      <x:c r="F1225" t="str">
        <x:v>ga2907a9b-afb8-44e3-ba98-2b1b71fa308c</x:v>
      </x:c>
      <x:c r="G1225" s="20" t="n">
        <x:v>46003.93493297454</x:v>
      </x:c>
    </x:row>
    <x:row r="1226">
      <x:c r="A1226" s="18" t="str">
        <x:v>outros</x:v>
      </x:c>
      <x:c r="B1226" s="18" t="str">
        <x:v>teréa</x:v>
      </x:c>
      <x:c r="C1226" s="19" t="n">
        <x:f>IF(B1226="",0,(LEN(B1226)-LEN(SUBSTITUTE(B1226," | ","")))/3+1)</x:f>
        <x:v>1</x:v>
      </x:c>
      <x:c r="D1226" t="str">
        <x:v>o</x:v>
      </x:c>
      <x:c r="E1226" t="str">
        <x:v>https://www.webonary.org/marubo/g3f91a5eb-b94d-4558-b214-3026e882697b/</x:v>
      </x:c>
      <x:c r="F1226" t="str">
        <x:v>gb5e55851-fd13-4c06-9289-57eea13a36f7</x:v>
      </x:c>
      <x:c r="G1226" s="20" t="n">
        <x:v>46003.93493297454</x:v>
      </x:c>
    </x:row>
    <x:row r="1227">
      <x:c r="A1227" s="18" t="str">
        <x:v>ouvido</x:v>
      </x:c>
      <x:c r="B1227" s="18" t="str">
        <x:v>pashekiti</x:v>
      </x:c>
      <x:c r="C1227" s="19" t="n">
        <x:f>IF(B1227="",0,(LEN(B1227)-LEN(SUBSTITUTE(B1227," | ","")))/3+1)</x:f>
        <x:v>1</x:v>
      </x:c>
      <x:c r="D1227" t="str">
        <x:v>o</x:v>
      </x:c>
      <x:c r="E1227" t="str">
        <x:v>https://www.webonary.org/marubo/gba82d461-1c51-4e44-9d4c-d1fd40951491/</x:v>
      </x:c>
      <x:c r="F1227" t="str">
        <x:v>g19c45f50-56fc-4b30-8f91-6414183dd131</x:v>
      </x:c>
      <x:c r="G1227" s="20" t="n">
        <x:v>46003.93493297454</x:v>
      </x:c>
    </x:row>
    <x:row r="1228">
      <x:c r="A1228" s="18" t="str">
        <x:v>oval</x:v>
      </x:c>
      <x:c r="B1228" s="18" t="str">
        <x:v>tsanoyãwa | nõtika</x:v>
      </x:c>
      <x:c r="C1228" s="19" t="n">
        <x:f>IF(B1228="",0,(LEN(B1228)-LEN(SUBSTITUTE(B1228," | ","")))/3+1)</x:f>
        <x:v>2</x:v>
      </x:c>
      <x:c r="D1228" t="str">
        <x:v>o</x:v>
      </x:c>
      <x:c r="E1228" t="str">
        <x:v>https://www.webonary.org/marubo/g1fab82f8-1e96-45ff-8da6-930cde1efe05/</x:v>
      </x:c>
      <x:c r="F1228" t="str">
        <x:v>gc2d70c78-1ff3-434e-a987-b91d72ae7694</x:v>
      </x:c>
      <x:c r="G1228" s="20" t="n">
        <x:v>46003.93493297454</x:v>
      </x:c>
    </x:row>
    <x:row r="1229">
      <x:c r="A1229" s="18" t="str">
        <x:v>ovo</x:v>
      </x:c>
      <x:c r="B1229" s="18" t="str">
        <x:v>vatxi</x:v>
      </x:c>
      <x:c r="C1229" s="19" t="n">
        <x:f>IF(B1229="",0,(LEN(B1229)-LEN(SUBSTITUTE(B1229," | ","")))/3+1)</x:f>
        <x:v>1</x:v>
      </x:c>
      <x:c r="D1229" t="str">
        <x:v>o</x:v>
      </x:c>
      <x:c r="E1229" t="str">
        <x:v>https://www.webonary.org/marubo/g4b20876b-f0e0-4758-929b-6398fd05f067/</x:v>
      </x:c>
      <x:c r="F1229" t="str">
        <x:v>gb403ad28-b0df-42ba-9c5d-11a34cacc004</x:v>
      </x:c>
      <x:c r="G1229" s="20" t="n">
        <x:v>46003.93493297454</x:v>
      </x:c>
    </x:row>
    <x:row r="1230">
      <x:c r="A1230" s="18" t="str">
        <x:v>pá</x:v>
      </x:c>
      <x:c r="B1230" s="18" t="str">
        <x:v>poi soati</x:v>
      </x:c>
      <x:c r="C1230" s="19" t="n">
        <x:f>IF(B1230="",0,(LEN(B1230)-LEN(SUBSTITUTE(B1230," | ","")))/3+1)</x:f>
        <x:v>1</x:v>
      </x:c>
      <x:c r="D1230" t="str">
        <x:v>p</x:v>
      </x:c>
      <x:c r="E1230" t="str">
        <x:v>https://www.webonary.org/marubo/g51a8cd38-a82e-4c99-b129-e7fbd4a2377e/</x:v>
      </x:c>
      <x:c r="F1230" t="str">
        <x:v>g2cf03c1e-5961-44b1-9ef8-d9453b02f4f4</x:v>
      </x:c>
      <x:c r="G1230" s="20" t="n">
        <x:v>46003.93493297454</x:v>
      </x:c>
    </x:row>
    <x:row r="1231">
      <x:c r="A1231" s="18" t="str">
        <x:v>paca</x:v>
      </x:c>
      <x:c r="B1231" s="18" t="str">
        <x:v>ano | 1</x:v>
      </x:c>
      <x:c r="C1231" s="19" t="n">
        <x:f>IF(B1231="",0,(LEN(B1231)-LEN(SUBSTITUTE(B1231," | ","")))/3+1)</x:f>
        <x:v>2</x:v>
      </x:c>
      <x:c r="D1231" t="str">
        <x:v>p</x:v>
      </x:c>
      <x:c r="E1231" t="str">
        <x:v>https://www.webonary.org/marubo/g89d00105-9100-4b62-bf0c-b12966f7ef1b/</x:v>
      </x:c>
      <x:c r="F1231" t="str">
        <x:v>gd35f29bb-7444-48d2-9a99-ec7f2ace947e</x:v>
      </x:c>
      <x:c r="G1231" s="20" t="n">
        <x:v>46003.93493297454</x:v>
      </x:c>
    </x:row>
    <x:row r="1232">
      <x:c r="A1232" s="18" t="str">
        <x:v>pacote</x:v>
      </x:c>
      <x:c r="B1232" s="18" t="str">
        <x:v>kawa</x:v>
      </x:c>
      <x:c r="C1232" s="19" t="n">
        <x:f>IF(B1232="",0,(LEN(B1232)-LEN(SUBSTITUTE(B1232," | ","")))/3+1)</x:f>
        <x:v>1</x:v>
      </x:c>
      <x:c r="D1232" t="str">
        <x:v>p</x:v>
      </x:c>
      <x:c r="E1232" t="str">
        <x:v>https://www.webonary.org/marubo/gc9c05ec0-701e-4790-b89a-3c0eec01ea83/</x:v>
      </x:c>
      <x:c r="F1232" t="str">
        <x:v>ga29768f1-8af9-4c21-bc03-d938da0af6e0</x:v>
      </x:c>
      <x:c r="G1232" s="20" t="n">
        <x:v>46003.93493297454</x:v>
      </x:c>
    </x:row>
    <x:row r="1233">
      <x:c r="A1233" s="18" t="str">
        <x:v>pacu</x:v>
      </x:c>
      <x:c r="B1233" s="18" t="str">
        <x:v>shawã make</x:v>
      </x:c>
      <x:c r="C1233" s="19" t="n">
        <x:f>IF(B1233="",0,(LEN(B1233)-LEN(SUBSTITUTE(B1233," | ","")))/3+1)</x:f>
        <x:v>1</x:v>
      </x:c>
      <x:c r="D1233" t="str">
        <x:v>p</x:v>
      </x:c>
      <x:c r="E1233" t="str">
        <x:v>https://www.webonary.org/marubo/g9cb9810c-068c-47cb-836d-2d156218a66a/</x:v>
      </x:c>
      <x:c r="F1233" t="str">
        <x:v>g43cb33f6-37b8-4a0e-8d81-47305102ffd3</x:v>
      </x:c>
      <x:c r="G1233" s="20" t="n">
        <x:v>46003.93493297454</x:v>
      </x:c>
    </x:row>
    <x:row r="1234">
      <x:c r="A1234" s="18" t="str">
        <x:v>pagar</x:v>
      </x:c>
      <x:c r="B1234" s="18" t="str">
        <x:v>kopímá</x:v>
      </x:c>
      <x:c r="C1234" s="19" t="n">
        <x:f>IF(B1234="",0,(LEN(B1234)-LEN(SUBSTITUTE(B1234," | ","")))/3+1)</x:f>
        <x:v>1</x:v>
      </x:c>
      <x:c r="D1234" t="str">
        <x:v>p</x:v>
      </x:c>
      <x:c r="E1234" t="str">
        <x:v>https://www.webonary.org/marubo/g88bd5524-6610-4d85-8761-5589fe623fe2/</x:v>
      </x:c>
      <x:c r="F1234" t="str">
        <x:v>gf88a79d9-9f85-477c-9555-81e69362cd80</x:v>
      </x:c>
      <x:c r="G1234" s="20" t="n">
        <x:v>46003.93493297454</x:v>
      </x:c>
    </x:row>
    <x:row r="1235">
      <x:c r="A1235" s="18" t="str">
        <x:v>pai</x:v>
      </x:c>
      <x:c r="B1235" s="18" t="str">
        <x:v>papa</x:v>
      </x:c>
      <x:c r="C1235" s="19" t="n">
        <x:f>IF(B1235="",0,(LEN(B1235)-LEN(SUBSTITUTE(B1235," | ","")))/3+1)</x:f>
        <x:v>1</x:v>
      </x:c>
      <x:c r="D1235" t="str">
        <x:v>p</x:v>
      </x:c>
      <x:c r="E1235" t="str">
        <x:v>https://www.webonary.org/marubo/g1245359f-51a1-4c1b-9653-9cee908f5b29/</x:v>
      </x:c>
      <x:c r="F1235" t="str">
        <x:v>g4b306d95-5ea7-4adb-95b2-a4fcfd636f42</x:v>
      </x:c>
      <x:c r="G1235" s="20" t="n">
        <x:v>46003.93493297454</x:v>
      </x:c>
    </x:row>
    <x:row r="1236">
      <x:c r="A1236" s="18" t="str">
        <x:v>pajé</x:v>
      </x:c>
      <x:c r="B1236" s="18" t="str">
        <x:v>romeya</x:v>
      </x:c>
      <x:c r="C1236" s="19" t="n">
        <x:f>IF(B1236="",0,(LEN(B1236)-LEN(SUBSTITUTE(B1236," | ","")))/3+1)</x:f>
        <x:v>1</x:v>
      </x:c>
      <x:c r="D1236" t="str">
        <x:v>p</x:v>
      </x:c>
      <x:c r="E1236" t="str">
        <x:v>https://www.webonary.org/marubo/gaf6391b7-fb99-4eb4-8f6f-390ee2f29dfe/</x:v>
      </x:c>
      <x:c r="F1236" t="str">
        <x:v>g4edd8c96-2040-42f1-b7f3-61d83f8c2904</x:v>
      </x:c>
      <x:c r="G1236" s="20" t="n">
        <x:v>46003.93493297454</x:v>
      </x:c>
    </x:row>
    <x:row r="1237">
      <x:c r="A1237" s="18" t="str">
        <x:v>palmito</x:v>
      </x:c>
      <x:c r="B1237" s="18" t="str">
        <x:v>nato</x:v>
      </x:c>
      <x:c r="C1237" s="19" t="n">
        <x:f>IF(B1237="",0,(LEN(B1237)-LEN(SUBSTITUTE(B1237," | ","")))/3+1)</x:f>
        <x:v>1</x:v>
      </x:c>
      <x:c r="D1237" t="str">
        <x:v>p</x:v>
      </x:c>
      <x:c r="E1237" t="str">
        <x:v>https://www.webonary.org/marubo/g26ca3edc-e523-4e3d-b0fd-24f1b94a4271/</x:v>
      </x:c>
      <x:c r="F1237" t="str">
        <x:v>gc1b86856-fed9-4aaf-b277-17405857ced7</x:v>
      </x:c>
      <x:c r="G1237" s="20" t="n">
        <x:v>46003.93493297454</x:v>
      </x:c>
    </x:row>
    <x:row r="1238">
      <x:c r="A1238" s="18" t="str">
        <x:v>paneiro</x:v>
      </x:c>
      <x:c r="B1238" s="18" t="str">
        <x:v>koróti</x:v>
      </x:c>
      <x:c r="C1238" s="19" t="n">
        <x:f>IF(B1238="",0,(LEN(B1238)-LEN(SUBSTITUTE(B1238," | ","")))/3+1)</x:f>
        <x:v>1</x:v>
      </x:c>
      <x:c r="D1238" t="str">
        <x:v>p</x:v>
      </x:c>
      <x:c r="E1238" t="str">
        <x:v>https://www.webonary.org/marubo/g69141961-8815-49e7-890b-e1c5f8af3037/</x:v>
      </x:c>
      <x:c r="F1238" t="str">
        <x:v>g2c93ff50-cf5f-4d4f-ad09-0bf255737c08</x:v>
      </x:c>
      <x:c r="G1238" s="20" t="n">
        <x:v>46003.93493297454</x:v>
      </x:c>
    </x:row>
    <x:row r="1239">
      <x:c r="A1239" s="18" t="str">
        <x:v>panela</x:v>
      </x:c>
      <x:c r="B1239" s="18" t="str">
        <x:v>maneyoa</x:v>
      </x:c>
      <x:c r="C1239" s="19" t="n">
        <x:f>IF(B1239="",0,(LEN(B1239)-LEN(SUBSTITUTE(B1239," | ","")))/3+1)</x:f>
        <x:v>1</x:v>
      </x:c>
      <x:c r="D1239" t="str">
        <x:v>p</x:v>
      </x:c>
      <x:c r="E1239" t="str">
        <x:v>https://www.webonary.org/marubo/gd974dbf3-ec17-4d9c-8b6c-74355509d0b0/</x:v>
      </x:c>
      <x:c r="F1239" t="str">
        <x:v>g04254e88-7962-4935-bef5-1cf477c1c513</x:v>
      </x:c>
      <x:c r="G1239" s="20" t="n">
        <x:v>46003.93493297454</x:v>
      </x:c>
    </x:row>
    <x:row r="1240">
      <x:c r="A1240" s="18" t="str">
        <x:v>panela)</x:v>
      </x:c>
      <x:c r="B1240" s="18" t="str">
        <x:v>nashkia</x:v>
      </x:c>
      <x:c r="C1240" s="19" t="n">
        <x:f>IF(B1240="",0,(LEN(B1240)-LEN(SUBSTITUTE(B1240," | ","")))/3+1)</x:f>
        <x:v>1</x:v>
      </x:c>
      <x:c r="D1240" t="str">
        <x:v>p</x:v>
      </x:c>
      <x:c r="E1240" t="str">
        <x:v>https://www.webonary.org/marubo/g9a554692-278a-4d5e-a8f4-a1f3f4bdf28f/</x:v>
      </x:c>
      <x:c r="F1240" t="str">
        <x:v>g5b299e3c-f5d5-4842-80e9-856106bc67e1</x:v>
      </x:c>
      <x:c r="G1240" s="20" t="n">
        <x:v>46003.93493297454</x:v>
      </x:c>
    </x:row>
    <x:row r="1241">
      <x:c r="A1241" s="18" t="str">
        <x:v>pani otoka</x:v>
      </x:c>
      <x:c r="B1241" s="18" t="str">
        <x:v>otóka</x:v>
      </x:c>
      <x:c r="C1241" s="19" t="n">
        <x:f>IF(B1241="",0,(LEN(B1241)-LEN(SUBSTITUTE(B1241," | ","")))/3+1)</x:f>
        <x:v>1</x:v>
      </x:c>
      <x:c r="D1241" t="str">
        <x:v>p</x:v>
      </x:c>
      <x:c r="E1241" t="str">
        <x:v>https://www.webonary.org/marubo/gf247ee18-d38f-4632-8221-968ce95510c7/</x:v>
      </x:c>
      <x:c r="F1241" t="str">
        <x:v>g2b8344eb-7024-4e4a-8c0f-db00ae3925a1</x:v>
      </x:c>
      <x:c r="G1241" s="20" t="n">
        <x:v>46003.93493297454</x:v>
      </x:c>
    </x:row>
    <x:row r="1242">
      <x:c r="A1242" s="18" t="str">
        <x:v>papagaio</x:v>
      </x:c>
      <x:c r="B1242" s="18" t="str">
        <x:v>vawa | 1</x:v>
      </x:c>
      <x:c r="C1242" s="19" t="n">
        <x:f>IF(B1242="",0,(LEN(B1242)-LEN(SUBSTITUTE(B1242," | ","")))/3+1)</x:f>
        <x:v>2</x:v>
      </x:c>
      <x:c r="D1242" t="str">
        <x:v>p</x:v>
      </x:c>
      <x:c r="E1242" t="str">
        <x:v>https://www.webonary.org/marubo/g35e7847a-ce29-4456-9a1a-a66661f4eaf0/</x:v>
      </x:c>
      <x:c r="F1242" t="str">
        <x:v>gc4eb359e-b262-43b1-962c-4695921a2ada</x:v>
      </x:c>
      <x:c r="G1242" s="20" t="n">
        <x:v>46003.93493297454</x:v>
      </x:c>
    </x:row>
    <x:row r="1243">
      <x:c r="A1243" s="18" t="str">
        <x:v>papagaio azul grande</x:v>
      </x:c>
      <x:c r="B1243" s="18" t="str">
        <x:v>kana</x:v>
      </x:c>
      <x:c r="C1243" s="19" t="n">
        <x:f>IF(B1243="",0,(LEN(B1243)-LEN(SUBSTITUTE(B1243," | ","")))/3+1)</x:f>
        <x:v>1</x:v>
      </x:c>
      <x:c r="D1243" t="str">
        <x:v>p</x:v>
      </x:c>
      <x:c r="E1243" t="str">
        <x:v>https://www.webonary.org/marubo/g2063d86a-6be6-4dc1-bbef-00d69d9f3fba/</x:v>
      </x:c>
      <x:c r="F1243" t="str">
        <x:v>g96152882-0282-4c70-a092-45adf2c833a2</x:v>
      </x:c>
      <x:c r="G1243" s="20" t="n">
        <x:v>46003.93493297454</x:v>
      </x:c>
    </x:row>
    <x:row r="1244">
      <x:c r="A1244" s="18" t="str">
        <x:v>papel</x:v>
      </x:c>
      <x:c r="B1244" s="18" t="str">
        <x:v>papíri</x:v>
      </x:c>
      <x:c r="C1244" s="19" t="n">
        <x:f>IF(B1244="",0,(LEN(B1244)-LEN(SUBSTITUTE(B1244," | ","")))/3+1)</x:f>
        <x:v>1</x:v>
      </x:c>
      <x:c r="D1244" t="str">
        <x:v>p</x:v>
      </x:c>
      <x:c r="E1244" t="str">
        <x:v>https://www.webonary.org/marubo/g317df89f-e124-4c31-a2d7-59a2108e511b/</x:v>
      </x:c>
      <x:c r="F1244" t="str">
        <x:v>g7fb7986d-0244-4c5e-b038-12863cc692df</x:v>
      </x:c>
      <x:c r="G1244" s="20" t="n">
        <x:v>46003.93493297454</x:v>
      </x:c>
    </x:row>
    <x:row r="1245">
      <x:c r="A1245" s="18" t="str">
        <x:v>papel (rolled up)</x:v>
      </x:c>
      <x:c r="B1245" s="18" t="str">
        <x:v>chõko aká</x:v>
      </x:c>
      <x:c r="C1245" s="19" t="n">
        <x:f>IF(B1245="",0,(LEN(B1245)-LEN(SUBSTITUTE(B1245," | ","")))/3+1)</x:f>
        <x:v>1</x:v>
      </x:c>
      <x:c r="D1245" t="str">
        <x:v>p</x:v>
      </x:c>
      <x:c r="E1245" t="str">
        <x:v>https://www.webonary.org/marubo/g22af92f8-36b9-4160-b995-8cbcf90bc951/</x:v>
      </x:c>
      <x:c r="F1245" t="str">
        <x:v>g03643843-92c4-468b-889f-bc3818a76071</x:v>
      </x:c>
      <x:c r="G1245" s="20" t="n">
        <x:v>46003.93493297454</x:v>
      </x:c>
    </x:row>
    <x:row r="1246">
      <x:c r="A1246" s="18" t="str">
        <x:v>para cá</x:v>
      </x:c>
      <x:c r="B1246" s="18" t="str">
        <x:v>neri</x:v>
      </x:c>
      <x:c r="C1246" s="19" t="n">
        <x:f>IF(B1246="",0,(LEN(B1246)-LEN(SUBSTITUTE(B1246," | ","")))/3+1)</x:f>
        <x:v>1</x:v>
      </x:c>
      <x:c r="D1246" t="str">
        <x:v>p</x:v>
      </x:c>
      <x:c r="E1246" t="str">
        <x:v>https://www.webonary.org/marubo/g2cd3b8b7-1f30-4fc8-8faf-32695229dca2/</x:v>
      </x:c>
      <x:c r="F1246" t="str">
        <x:v>gaf80fcd7-374d-4786-b2ce-b1cfe4d26ec7</x:v>
      </x:c>
      <x:c r="G1246" s="20" t="n">
        <x:v>46003.93493297454</x:v>
      </x:c>
    </x:row>
    <x:row r="1247">
      <x:c r="A1247" s="18" t="str">
        <x:v>para num lugar</x:v>
      </x:c>
      <x:c r="B1247" s="18" t="str">
        <x:v>kesõa</x:v>
      </x:c>
      <x:c r="C1247" s="19" t="n">
        <x:f>IF(B1247="",0,(LEN(B1247)-LEN(SUBSTITUTE(B1247," | ","")))/3+1)</x:f>
        <x:v>1</x:v>
      </x:c>
      <x:c r="D1247" t="str">
        <x:v>p</x:v>
      </x:c>
      <x:c r="E1247" t="str">
        <x:v>https://www.webonary.org/marubo/g94495ff3-4938-477a-9027-368e771c7d4c/</x:v>
      </x:c>
      <x:c r="F1247" t="str">
        <x:v>gc3709f1a-3e05-44e7-bb88-06833d3e095d</x:v>
      </x:c>
      <x:c r="G1247" s="20" t="n">
        <x:v>46003.93493297454</x:v>
      </x:c>
    </x:row>
    <x:row r="1248">
      <x:c r="A1248" s="18" t="str">
        <x:v>para que</x:v>
      </x:c>
      <x:c r="B1248" s="18" t="str">
        <x:v>iinã</x:v>
      </x:c>
      <x:c r="C1248" s="19" t="n">
        <x:f>IF(B1248="",0,(LEN(B1248)-LEN(SUBSTITUTE(B1248," | ","")))/3+1)</x:f>
        <x:v>1</x:v>
      </x:c>
      <x:c r="D1248" t="str">
        <x:v>p</x:v>
      </x:c>
      <x:c r="E1248" t="str">
        <x:v>https://www.webonary.org/marubo/ga90e27a4-cc21-4171-a600-ff10d386f9ee/</x:v>
      </x:c>
      <x:c r="F1248" t="str">
        <x:v>g6ef6f48f-4e07-4caf-9937-41c0c0d2d1ac</x:v>
      </x:c>
      <x:c r="G1248" s="20" t="n">
        <x:v>46003.93493297454</x:v>
      </x:c>
    </x:row>
    <x:row r="1249">
      <x:c r="A1249" s="18" t="str">
        <x:v>parar</x:v>
      </x:c>
      <x:c r="B1249" s="18" t="str">
        <x:v>kesoa | nesea</x:v>
      </x:c>
      <x:c r="C1249" s="19" t="n">
        <x:f>IF(B1249="",0,(LEN(B1249)-LEN(SUBSTITUTE(B1249," | ","")))/3+1)</x:f>
        <x:v>2</x:v>
      </x:c>
      <x:c r="D1249" t="str">
        <x:v>p</x:v>
      </x:c>
      <x:c r="E1249" t="str">
        <x:v>https://www.webonary.org/marubo/g5fb06c14-cb72-4601-b9b7-c1a9acdd93c2/</x:v>
      </x:c>
      <x:c r="F1249" t="str">
        <x:v>ga5029f36-10e2-4791-9514-91949ecfe833</x:v>
      </x:c>
      <x:c r="G1249" s="20" t="n">
        <x:v>46003.93493297454</x:v>
      </x:c>
    </x:row>
    <x:row r="1250">
      <x:c r="A1250" s="18" t="str">
        <x:v>parar num lugar no rio</x:v>
      </x:c>
      <x:c r="B1250" s="18" t="str">
        <x:v>neshéa</x:v>
      </x:c>
      <x:c r="C1250" s="19" t="n">
        <x:f>IF(B1250="",0,(LEN(B1250)-LEN(SUBSTITUTE(B1250," | ","")))/3+1)</x:f>
        <x:v>1</x:v>
      </x:c>
      <x:c r="D1250" t="str">
        <x:v>p</x:v>
      </x:c>
      <x:c r="E1250" t="str">
        <x:v>https://www.webonary.org/marubo/gc741b3a8-9f22-419e-b4d5-40c195f86661/</x:v>
      </x:c>
      <x:c r="F1250" t="str">
        <x:v>ge80244bc-61f4-4f0a-9213-d85abec7a5a6</x:v>
      </x:c>
      <x:c r="G1250" s="20" t="n">
        <x:v>46003.93493297454</x:v>
      </x:c>
    </x:row>
    <x:row r="1251">
      <x:c r="A1251" s="18" t="str">
        <x:v>parecido</x:v>
      </x:c>
      <x:c r="B1251" s="18" t="str">
        <x:v>keská</x:v>
      </x:c>
      <x:c r="C1251" s="19" t="n">
        <x:f>IF(B1251="",0,(LEN(B1251)-LEN(SUBSTITUTE(B1251," | ","")))/3+1)</x:f>
        <x:v>1</x:v>
      </x:c>
      <x:c r="D1251" t="str">
        <x:v>p</x:v>
      </x:c>
      <x:c r="E1251" t="str">
        <x:v>https://www.webonary.org/marubo/gdad193db-4974-40ab-94be-211147e06626/</x:v>
      </x:c>
      <x:c r="F1251" t="str">
        <x:v>g2fab2d1b-5a17-4f73-9a45-c38402b5f345</x:v>
      </x:c>
      <x:c r="G1251" s="20" t="n">
        <x:v>46003.93493297454</x:v>
      </x:c>
    </x:row>
    <x:row r="1252">
      <x:c r="A1252" s="18" t="str">
        <x:v>parecido como cana</x:v>
      </x:c>
      <x:c r="B1252" s="18" t="str">
        <x:v>txepe</x:v>
      </x:c>
      <x:c r="C1252" s="19" t="n">
        <x:f>IF(B1252="",0,(LEN(B1252)-LEN(SUBSTITUTE(B1252," | ","")))/3+1)</x:f>
        <x:v>1</x:v>
      </x:c>
      <x:c r="D1252" t="str">
        <x:v>p</x:v>
      </x:c>
      <x:c r="E1252" t="str">
        <x:v>https://www.webonary.org/marubo/g610fdb51-d30d-41ed-8b37-b83d0c47eb8a/</x:v>
      </x:c>
      <x:c r="F1252" t="str">
        <x:v>g2fb0c509-4a3a-4e3f-9fdb-f5ce74956aa8</x:v>
      </x:c>
      <x:c r="G1252" s="20" t="n">
        <x:v>46003.93493297454</x:v>
      </x:c>
    </x:row>
    <x:row r="1253">
      <x:c r="A1253" s="18" t="str">
        <x:v>parede</x:v>
      </x:c>
      <x:c r="B1253" s="18" t="str">
        <x:v>kene</x:v>
      </x:c>
      <x:c r="C1253" s="19" t="n">
        <x:f>IF(B1253="",0,(LEN(B1253)-LEN(SUBSTITUTE(B1253," | ","")))/3+1)</x:f>
        <x:v>1</x:v>
      </x:c>
      <x:c r="D1253" t="str">
        <x:v>p</x:v>
      </x:c>
      <x:c r="E1253" t="str">
        <x:v>https://www.webonary.org/marubo/g32974d52-a3e4-4779-a61d-2f7fbb3a0be8/</x:v>
      </x:c>
      <x:c r="F1253" t="str">
        <x:v>g4d0fc4ac-7c96-4ead-b3fa-c94739cf4cf1</x:v>
      </x:c>
      <x:c r="G1253" s="20" t="n">
        <x:v>46003.93493297454</x:v>
      </x:c>
    </x:row>
    <x:row r="1254">
      <x:c r="A1254" s="18" t="str">
        <x:v>parente</x:v>
      </x:c>
      <x:c r="B1254" s="18" t="str">
        <x:v>wetsama</x:v>
      </x:c>
      <x:c r="C1254" s="19" t="n">
        <x:f>IF(B1254="",0,(LEN(B1254)-LEN(SUBSTITUTE(B1254," | ","")))/3+1)</x:f>
        <x:v>1</x:v>
      </x:c>
      <x:c r="D1254" t="str">
        <x:v>p</x:v>
      </x:c>
      <x:c r="E1254" t="str">
        <x:v>https://www.webonary.org/marubo/g1f4d04b2-c18c-448b-b71f-3a3bf5731efa/</x:v>
      </x:c>
      <x:c r="F1254" t="str">
        <x:v>g23ecfa6a-c892-4a1e-bfc6-0a1e5c4afd4d</x:v>
      </x:c>
      <x:c r="G1254" s="20" t="n">
        <x:v>46003.93493297454</x:v>
      </x:c>
    </x:row>
    <x:row r="1255">
      <x:c r="A1255" s="18" t="str">
        <x:v>parentes femininos</x:v>
      </x:c>
      <x:c r="B1255" s="18" t="str">
        <x:v>aweshavo</x:v>
      </x:c>
      <x:c r="C1255" s="19" t="n">
        <x:f>IF(B1255="",0,(LEN(B1255)-LEN(SUBSTITUTE(B1255," | ","")))/3+1)</x:f>
        <x:v>1</x:v>
      </x:c>
      <x:c r="D1255" t="str">
        <x:v>p</x:v>
      </x:c>
      <x:c r="E1255" t="str">
        <x:v>https://www.webonary.org/marubo/ge699a6dd-88e8-40fb-8448-fd946a5b4119/</x:v>
      </x:c>
      <x:c r="F1255" t="str">
        <x:v>g737d221a-c8fb-46e4-929a-16d022c6cc56</x:v>
      </x:c>
      <x:c r="G1255" s="20" t="n">
        <x:v>46003.93493297454</x:v>
      </x:c>
    </x:row>
    <x:row r="1256">
      <x:c r="A1256" s="18" t="str">
        <x:v>parte central do olho</x:v>
      </x:c>
      <x:c r="B1256" s="18" t="str">
        <x:v>vero naki | vero eshe</x:v>
      </x:c>
      <x:c r="C1256" s="19" t="n">
        <x:f>IF(B1256="",0,(LEN(B1256)-LEN(SUBSTITUTE(B1256," | ","")))/3+1)</x:f>
        <x:v>2</x:v>
      </x:c>
      <x:c r="D1256" t="str">
        <x:v>p</x:v>
      </x:c>
      <x:c r="E1256" t="str">
        <x:v>https://www.webonary.org/marubo/gb2bfbbd5-1f16-425e-b7e8-ae673ba01411/</x:v>
      </x:c>
      <x:c r="F1256" t="str">
        <x:v>g44aa8d95-538a-44f7-bbd7-60732bee0211</x:v>
      </x:c>
      <x:c r="G1256" s="20" t="n">
        <x:v>46003.93493979167</x:v>
      </x:c>
    </x:row>
    <x:row r="1257">
      <x:c r="A1257" s="18" t="str">
        <x:v>parte de milho</x:v>
      </x:c>
      <x:c r="B1257" s="18" t="str">
        <x:v>voshká</x:v>
      </x:c>
      <x:c r="C1257" s="19" t="n">
        <x:f>IF(B1257="",0,(LEN(B1257)-LEN(SUBSTITUTE(B1257," | ","")))/3+1)</x:f>
        <x:v>1</x:v>
      </x:c>
      <x:c r="D1257" t="str">
        <x:v>p</x:v>
      </x:c>
      <x:c r="E1257" t="str">
        <x:v>https://www.webonary.org/marubo/gb8b21270-e4c5-448a-9d4e-6d3f3453c70a/</x:v>
      </x:c>
      <x:c r="F1257" t="str">
        <x:v>g0a494aaf-746a-4e28-9101-73cfe0a98510</x:v>
      </x:c>
      <x:c r="G1257" s="20" t="n">
        <x:v>46003.93493979167</x:v>
      </x:c>
    </x:row>
    <x:row r="1258">
      <x:c r="A1258" s="18" t="str">
        <x:v>parte debaixo do kenã</x:v>
      </x:c>
      <x:c r="B1258" s="18" t="str">
        <x:v>vosekiti</x:v>
      </x:c>
      <x:c r="C1258" s="19" t="n">
        <x:f>IF(B1258="",0,(LEN(B1258)-LEN(SUBSTITUTE(B1258," | ","")))/3+1)</x:f>
        <x:v>1</x:v>
      </x:c>
      <x:c r="D1258" t="str">
        <x:v>p</x:v>
      </x:c>
      <x:c r="E1258" t="str">
        <x:v>https://www.webonary.org/marubo/g029c2a38-057b-4a10-a1aa-4839a3d682ed/</x:v>
      </x:c>
      <x:c r="F1258" t="str">
        <x:v>g7fa4715a-55f4-4661-b9c5-405464ac4152</x:v>
      </x:c>
      <x:c r="G1258" s="20" t="n">
        <x:v>46003.93493979167</x:v>
      </x:c>
    </x:row>
    <x:row r="1259">
      <x:c r="A1259" s="18" t="str">
        <x:v>parte do interior abdominal</x:v>
      </x:c>
      <x:c r="B1259" s="18" t="str">
        <x:v>tsipose</x:v>
      </x:c>
      <x:c r="C1259" s="19" t="n">
        <x:f>IF(B1259="",0,(LEN(B1259)-LEN(SUBSTITUTE(B1259," | ","")))/3+1)</x:f>
        <x:v>1</x:v>
      </x:c>
      <x:c r="D1259" t="str">
        <x:v>p</x:v>
      </x:c>
      <x:c r="E1259" t="str">
        <x:v>https://www.webonary.org/marubo/g05f05bec-c63c-4c00-bf3a-fdd45a7ec0cb/</x:v>
      </x:c>
      <x:c r="F1259" t="str">
        <x:v>g6e6504bd-bbed-43a7-a84a-fb1fdf99c986</x:v>
      </x:c>
      <x:c r="G1259" s="20" t="n">
        <x:v>46003.93493979167</x:v>
      </x:c>
    </x:row>
    <x:row r="1260">
      <x:c r="A1260" s="18" t="str">
        <x:v>parte do pé de animal</x:v>
      </x:c>
      <x:c r="B1260" s="18" t="str">
        <x:v>merĩki</x:v>
      </x:c>
      <x:c r="C1260" s="19" t="n">
        <x:f>IF(B1260="",0,(LEN(B1260)-LEN(SUBSTITUTE(B1260," | ","")))/3+1)</x:f>
        <x:v>1</x:v>
      </x:c>
      <x:c r="D1260" t="str">
        <x:v>p</x:v>
      </x:c>
      <x:c r="E1260" t="str">
        <x:v>https://www.webonary.org/marubo/gf97b7ff9-910e-4c31-8fca-0661f32895ed/</x:v>
      </x:c>
      <x:c r="F1260" t="str">
        <x:v>gbe965869-dfaf-46c1-b7a1-a4e4bb86c87a</x:v>
      </x:c>
      <x:c r="G1260" s="20" t="n">
        <x:v>46003.93493979167</x:v>
      </x:c>
    </x:row>
    <x:row r="1261">
      <x:c r="A1261" s="18" t="str">
        <x:v>parte horizontal do cesto</x:v>
      </x:c>
      <x:c r="B1261" s="18" t="str">
        <x:v>yaketi</x:v>
      </x:c>
      <x:c r="C1261" s="19" t="n">
        <x:f>IF(B1261="",0,(LEN(B1261)-LEN(SUBSTITUTE(B1261," | ","")))/3+1)</x:f>
        <x:v>1</x:v>
      </x:c>
      <x:c r="D1261" t="str">
        <x:v>p</x:v>
      </x:c>
      <x:c r="E1261" t="str">
        <x:v>https://www.webonary.org/marubo/g0ef5b3b2-7d57-44b2-b172-f2a95ae2a917/</x:v>
      </x:c>
      <x:c r="F1261" t="str">
        <x:v>gc82fda1e-bc09-46ed-bcb9-9869f1cbc163</x:v>
      </x:c>
      <x:c r="G1261" s="20" t="n">
        <x:v>46003.93493979167</x:v>
      </x:c>
    </x:row>
    <x:row r="1262">
      <x:c r="A1262" s="18" t="str">
        <x:v>parte inférior da perna</x:v>
      </x:c>
      <x:c r="B1262" s="18" t="str">
        <x:v>itáshe</x:v>
      </x:c>
      <x:c r="C1262" s="19" t="n">
        <x:f>IF(B1262="",0,(LEN(B1262)-LEN(SUBSTITUTE(B1262," | ","")))/3+1)</x:f>
        <x:v>1</x:v>
      </x:c>
      <x:c r="D1262" t="str">
        <x:v>p</x:v>
      </x:c>
      <x:c r="E1262" t="str">
        <x:v>https://www.webonary.org/marubo/gc6e2e5ac-d69a-4573-ad56-92967e7893cc/</x:v>
      </x:c>
      <x:c r="F1262" t="str">
        <x:v>gcdf9961f-ad40-4624-9e59-517165ba3ad1</x:v>
      </x:c>
      <x:c r="G1262" s="20" t="n">
        <x:v>46003.93493979167</x:v>
      </x:c>
    </x:row>
    <x:row r="1263">
      <x:c r="A1263" s="18" t="str">
        <x:v>parte interior de abdômeno</x:v>
      </x:c>
      <x:c r="B1263" s="18" t="str">
        <x:v>txĩshã́</x:v>
      </x:c>
      <x:c r="C1263" s="19" t="n">
        <x:f>IF(B1263="",0,(LEN(B1263)-LEN(SUBSTITUTE(B1263," | ","")))/3+1)</x:f>
        <x:v>1</x:v>
      </x:c>
      <x:c r="D1263" t="str">
        <x:v>p</x:v>
      </x:c>
      <x:c r="E1263" t="str">
        <x:v>https://www.webonary.org/marubo/gc53d94de-caf9-4189-98dd-1a2865636edf/</x:v>
      </x:c>
      <x:c r="F1263" t="str">
        <x:v>gae291606-6fa0-4516-ac88-eed8bd5b7007</x:v>
      </x:c>
      <x:c r="G1263" s="20" t="n">
        <x:v>46003.93493979167</x:v>
      </x:c>
    </x:row>
    <x:row r="1264">
      <x:c r="A1264" s="18" t="str">
        <x:v>parte interior do peito</x:v>
      </x:c>
      <x:c r="B1264" s="18" t="str">
        <x:v>põshã</x:v>
      </x:c>
      <x:c r="C1264" s="19" t="n">
        <x:f>IF(B1264="",0,(LEN(B1264)-LEN(SUBSTITUTE(B1264," | ","")))/3+1)</x:f>
        <x:v>1</x:v>
      </x:c>
      <x:c r="D1264" t="str">
        <x:v>p</x:v>
      </x:c>
      <x:c r="E1264" t="str">
        <x:v>https://www.webonary.org/marubo/g2d872c69-c20a-4895-85a7-c9248caec832/</x:v>
      </x:c>
      <x:c r="F1264" t="str">
        <x:v>gba4580e4-6195-4a6d-954f-1de09f179fa6</x:v>
      </x:c>
      <x:c r="G1264" s="20" t="n">
        <x:v>46003.93493979167</x:v>
      </x:c>
    </x:row>
    <x:row r="1265">
      <x:c r="A1265" s="18" t="str">
        <x:v>parte interior do pescoço</x:v>
      </x:c>
      <x:c r="B1265" s="18" t="str">
        <x:v>tẽshaviti</x:v>
      </x:c>
      <x:c r="C1265" s="19" t="n">
        <x:f>IF(B1265="",0,(LEN(B1265)-LEN(SUBSTITUTE(B1265," | ","")))/3+1)</x:f>
        <x:v>1</x:v>
      </x:c>
      <x:c r="D1265" t="str">
        <x:v>p</x:v>
      </x:c>
      <x:c r="E1265" t="str">
        <x:v>https://www.webonary.org/marubo/g43e3c6f1-ec7a-4f41-afc7-4a862b5a91f7/</x:v>
      </x:c>
      <x:c r="F1265" t="str">
        <x:v>g0d0dd476-2f74-4e79-ad7d-e7bb05ecd255</x:v>
      </x:c>
      <x:c r="G1265" s="20" t="n">
        <x:v>46003.93493979167</x:v>
      </x:c>
    </x:row>
    <x:row r="1266">
      <x:c r="A1266" s="18" t="str">
        <x:v>parte interno de animal</x:v>
      </x:c>
      <x:c r="B1266" s="18" t="str">
        <x:v>ĩtã</x:v>
      </x:c>
      <x:c r="C1266" s="19" t="n">
        <x:f>IF(B1266="",0,(LEN(B1266)-LEN(SUBSTITUTE(B1266," | ","")))/3+1)</x:f>
        <x:v>1</x:v>
      </x:c>
      <x:c r="D1266" t="str">
        <x:v>p</x:v>
      </x:c>
      <x:c r="E1266" t="str">
        <x:v>https://www.webonary.org/marubo/gaa30c69f-3fe3-4f2c-b5f9-96115250d50d/</x:v>
      </x:c>
      <x:c r="F1266" t="str">
        <x:v>g09a1f79c-e525-4e46-b615-fa1bcc84f7db</x:v>
      </x:c>
      <x:c r="G1266" s="20" t="n">
        <x:v>46003.93493979167</x:v>
      </x:c>
    </x:row>
    <x:row r="1267">
      <x:c r="A1267" s="18" t="str">
        <x:v>parte lateral da maloca</x:v>
      </x:c>
      <x:c r="B1267" s="18" t="str">
        <x:v>txipã | 2</x:v>
      </x:c>
      <x:c r="C1267" s="19" t="n">
        <x:f>IF(B1267="",0,(LEN(B1267)-LEN(SUBSTITUTE(B1267," | ","")))/3+1)</x:f>
        <x:v>2</x:v>
      </x:c>
      <x:c r="D1267" t="str">
        <x:v>p</x:v>
      </x:c>
      <x:c r="E1267" t="str">
        <x:v>https://www.webonary.org/marubo/g3c526ae4-2ccf-4559-928a-098e1b1d5540/</x:v>
      </x:c>
      <x:c r="F1267" t="str">
        <x:v>g381b1710-68da-4561-8696-328161bb0d8d</x:v>
      </x:c>
      <x:c r="G1267" s="20" t="n">
        <x:v>46003.93493979167</x:v>
      </x:c>
    </x:row>
    <x:row r="1268">
      <x:c r="A1268" s="18" t="str">
        <x:v>parte mais alto da árvore</x:v>
      </x:c>
      <x:c r="B1268" s="18" t="str">
        <x:v>võshõri</x:v>
      </x:c>
      <x:c r="C1268" s="19" t="n">
        <x:f>IF(B1268="",0,(LEN(B1268)-LEN(SUBSTITUTE(B1268," | ","")))/3+1)</x:f>
        <x:v>1</x:v>
      </x:c>
      <x:c r="D1268" t="str">
        <x:v>p</x:v>
      </x:c>
      <x:c r="E1268" t="str">
        <x:v>https://www.webonary.org/marubo/g51001845-8b06-49f5-bd87-39605d5f4ebc/</x:v>
      </x:c>
      <x:c r="F1268" t="str">
        <x:v>g53cc4d65-62bd-4dd1-a6c2-eb41f6a5d654</x:v>
      </x:c>
      <x:c r="G1268" s="20" t="n">
        <x:v>46003.93493979167</x:v>
      </x:c>
    </x:row>
    <x:row r="1269">
      <x:c r="A1269" s="18" t="str">
        <x:v>parte média da costa</x:v>
      </x:c>
      <x:c r="B1269" s="18" t="str">
        <x:v>pẽtsĩvakĩ</x:v>
      </x:c>
      <x:c r="C1269" s="19" t="n">
        <x:f>IF(B1269="",0,(LEN(B1269)-LEN(SUBSTITUTE(B1269," | ","")))/3+1)</x:f>
        <x:v>1</x:v>
      </x:c>
      <x:c r="D1269" t="str">
        <x:v>p</x:v>
      </x:c>
      <x:c r="E1269" t="str">
        <x:v>https://www.webonary.org/marubo/g881533d5-6d45-46cd-8b0b-08292f81e845/</x:v>
      </x:c>
      <x:c r="F1269" t="str">
        <x:v>gfbcaa158-5562-48f8-9da8-b43c2be2c484</x:v>
      </x:c>
      <x:c r="G1269" s="20" t="n">
        <x:v>46003.93493979167</x:v>
      </x:c>
    </x:row>
    <x:row r="1270">
      <x:c r="A1270" s="18" t="str">
        <x:v>parte superior da testa</x:v>
      </x:c>
      <x:c r="B1270" s="18" t="str">
        <x:v>vẽchõti</x:v>
      </x:c>
      <x:c r="C1270" s="19" t="n">
        <x:f>IF(B1270="",0,(LEN(B1270)-LEN(SUBSTITUTE(B1270," | ","")))/3+1)</x:f>
        <x:v>1</x:v>
      </x:c>
      <x:c r="D1270" t="str">
        <x:v>p</x:v>
      </x:c>
      <x:c r="E1270" t="str">
        <x:v>https://www.webonary.org/marubo/g30b13ed5-9854-4ecc-a603-de5d981e8002/</x:v>
      </x:c>
      <x:c r="F1270" t="str">
        <x:v>gd452ce72-a886-4cbd-8600-32bb1e066786</x:v>
      </x:c>
      <x:c r="G1270" s="20" t="n">
        <x:v>46003.93493979167</x:v>
      </x:c>
    </x:row>
    <x:row r="1271">
      <x:c r="A1271" s="18" t="str">
        <x:v>parte superior das costas</x:v>
      </x:c>
      <x:c r="B1271" s="18" t="str">
        <x:v>tõpi | pemane</x:v>
      </x:c>
      <x:c r="C1271" s="19" t="n">
        <x:f>IF(B1271="",0,(LEN(B1271)-LEN(SUBSTITUTE(B1271," | ","")))/3+1)</x:f>
        <x:v>2</x:v>
      </x:c>
      <x:c r="D1271" t="str">
        <x:v>p</x:v>
      </x:c>
      <x:c r="E1271" t="str">
        <x:v>https://www.webonary.org/marubo/gb7153d6b-5a10-493b-836c-d5dff10b7cbc/</x:v>
      </x:c>
      <x:c r="F1271" t="str">
        <x:v>ge6bb123f-6556-4358-a9be-9ea8f3bd7eb0</x:v>
      </x:c>
      <x:c r="G1271" s="20" t="n">
        <x:v>46003.93493979167</x:v>
      </x:c>
    </x:row>
    <x:row r="1272">
      <x:c r="A1272" s="18" t="str">
        <x:v>parte traseira da cabeça</x:v>
      </x:c>
      <x:c r="B1272" s="18" t="str">
        <x:v>mapo txitõti</x:v>
      </x:c>
      <x:c r="C1272" s="19" t="n">
        <x:f>IF(B1272="",0,(LEN(B1272)-LEN(SUBSTITUTE(B1272," | ","")))/3+1)</x:f>
        <x:v>1</x:v>
      </x:c>
      <x:c r="D1272" t="str">
        <x:v>p</x:v>
      </x:c>
      <x:c r="E1272" t="str">
        <x:v>https://www.webonary.org/marubo/g7ac0dab7-6d73-47ea-9367-8b554d19df94/</x:v>
      </x:c>
      <x:c r="F1272" t="str">
        <x:v>g59737506-ea7f-4800-86ac-0e2fb0d74ad3</x:v>
      </x:c>
      <x:c r="G1272" s="20" t="n">
        <x:v>46003.93493979167</x:v>
      </x:c>
    </x:row>
    <x:row r="1273">
      <x:c r="A1273" s="18" t="str">
        <x:v>PAS2</x:v>
      </x:c>
      <x:c r="B1273" s="18" t="str">
        <x:v>-vai | 1</x:v>
      </x:c>
      <x:c r="C1273" s="19" t="n">
        <x:f>IF(B1273="",0,(LEN(B1273)-LEN(SUBSTITUTE(B1273," | ","")))/3+1)</x:f>
        <x:v>2</x:v>
      </x:c>
      <x:c r="D1273" t="str">
        <x:v>p</x:v>
      </x:c>
      <x:c r="E1273" t="str">
        <x:v>https://www.webonary.org/marubo/gf3daca8f-22d0-4994-a3e3-2f6d62f124f9/</x:v>
      </x:c>
      <x:c r="F1273" t="str">
        <x:v>g5fd5770c-b79a-48da-8808-b78aefb7226f</x:v>
      </x:c>
      <x:c r="G1273" s="20" t="n">
        <x:v>46003.93493979167</x:v>
      </x:c>
    </x:row>
    <x:row r="1274">
      <x:c r="A1274" s="18" t="str">
        <x:v>PAS3</x:v>
      </x:c>
      <x:c r="B1274" s="18" t="str">
        <x:v>-chĩa | -chná</x:v>
      </x:c>
      <x:c r="C1274" s="19" t="n">
        <x:f>IF(B1274="",0,(LEN(B1274)-LEN(SUBSTITUTE(B1274," | ","")))/3+1)</x:f>
        <x:v>2</x:v>
      </x:c>
      <x:c r="D1274" t="str">
        <x:v>p</x:v>
      </x:c>
      <x:c r="E1274" t="str">
        <x:v>https://www.webonary.org/marubo/g5c36bd2b-1163-47f6-828b-3cc8e291b144/</x:v>
      </x:c>
      <x:c r="F1274" t="str">
        <x:v>g2ef5b334-30ca-4fac-bb25-be8c3d986e48</x:v>
      </x:c>
      <x:c r="G1274" s="20" t="n">
        <x:v>46003.93493979167</x:v>
      </x:c>
    </x:row>
    <x:row r="1275">
      <x:c r="A1275" s="18" t="str">
        <x:v>PAS3.INT</x:v>
      </x:c>
      <x:c r="B1275" s="18" t="str">
        <x:v>-chní</x:v>
      </x:c>
      <x:c r="C1275" s="19" t="n">
        <x:f>IF(B1275="",0,(LEN(B1275)-LEN(SUBSTITUTE(B1275," | ","")))/3+1)</x:f>
        <x:v>1</x:v>
      </x:c>
      <x:c r="D1275" t="str">
        <x:v>p</x:v>
      </x:c>
      <x:c r="E1275" t="str">
        <x:v>https://www.webonary.org/marubo/gd5b37090-b5e9-4234-b7bf-67b6ea6965f7/</x:v>
      </x:c>
      <x:c r="F1275" t="str">
        <x:v>g96b6a9c1-48f1-4cd2-8908-fef5f8818b46</x:v>
      </x:c>
      <x:c r="G1275" s="20" t="n">
        <x:v>46003.93493979167</x:v>
      </x:c>
    </x:row>
    <x:row r="1276">
      <x:c r="A1276" s="18" t="str">
        <x:v>PAS4</x:v>
      </x:c>
      <x:c r="B1276" s="18" t="str">
        <x:v>-yãtá | -mtá</x:v>
      </x:c>
      <x:c r="C1276" s="19" t="n">
        <x:f>IF(B1276="",0,(LEN(B1276)-LEN(SUBSTITUTE(B1276," | ","")))/3+1)</x:f>
        <x:v>2</x:v>
      </x:c>
      <x:c r="D1276" t="str">
        <x:v>p</x:v>
      </x:c>
      <x:c r="E1276" t="str">
        <x:v>https://www.webonary.org/marubo/ge5519e12-7c56-46ae-8568-8b19cca7fc34/</x:v>
      </x:c>
      <x:c r="F1276" t="str">
        <x:v>g92d6b28c-878c-4995-a994-c3ceab5d3f21</x:v>
      </x:c>
      <x:c r="G1276" s="20" t="n">
        <x:v>46003.93493979167</x:v>
      </x:c>
    </x:row>
    <x:row r="1277">
      <x:c r="A1277" s="18" t="str">
        <x:v>PAS5</x:v>
      </x:c>
      <x:c r="B1277" s="18" t="str">
        <x:v>-ti | 2</x:v>
      </x:c>
      <x:c r="C1277" s="19" t="n">
        <x:f>IF(B1277="",0,(LEN(B1277)-LEN(SUBSTITUTE(B1277," | ","")))/3+1)</x:f>
        <x:v>2</x:v>
      </x:c>
      <x:c r="D1277" t="str">
        <x:v>p</x:v>
      </x:c>
      <x:c r="E1277" t="str">
        <x:v>https://www.webonary.org/marubo/g827b4d46-84ae-4028-b817-6d051c9226be/</x:v>
      </x:c>
      <x:c r="F1277" t="str">
        <x:v>gac901ae3-8abb-4ffb-ad9d-720b455684bb</x:v>
      </x:c>
      <x:c r="G1277" s="20" t="n">
        <x:v>46003.93493979167</x:v>
      </x:c>
    </x:row>
    <x:row r="1278">
      <x:c r="A1278" s="18" t="str">
        <x:v>passar</x:v>
      </x:c>
      <x:c r="B1278" s="18" t="str">
        <x:v>tavá | 2 | veva | kawã | paia</x:v>
      </x:c>
      <x:c r="C1278" s="19" t="n">
        <x:f>IF(B1278="",0,(LEN(B1278)-LEN(SUBSTITUTE(B1278," | ","")))/3+1)</x:f>
        <x:v>5</x:v>
      </x:c>
      <x:c r="D1278" t="str">
        <x:v>p</x:v>
      </x:c>
      <x:c r="E1278" t="str">
        <x:v>https://www.webonary.org/marubo/g7f470e19-f620-490d-b8c2-1ab83c77fd7a/</x:v>
      </x:c>
      <x:c r="F1278" t="str">
        <x:v>gc67c6427-f108-46d2-b0f8-7dde20ccc5b4</x:v>
      </x:c>
      <x:c r="G1278" s="20" t="n">
        <x:v>46003.93493979167</x:v>
      </x:c>
    </x:row>
    <x:row r="1279">
      <x:c r="A1279" s="18" t="str">
        <x:v>passaro</x:v>
      </x:c>
      <x:c r="B1279" s="18" t="str">
        <x:v>netxáshe</x:v>
      </x:c>
      <x:c r="C1279" s="19" t="n">
        <x:f>IF(B1279="",0,(LEN(B1279)-LEN(SUBSTITUTE(B1279," | ","")))/3+1)</x:f>
        <x:v>1</x:v>
      </x:c>
      <x:c r="D1279" t="str">
        <x:v>p</x:v>
      </x:c>
      <x:c r="E1279" t="str">
        <x:v>https://www.webonary.org/marubo/g2f7e8d57-f4e6-4e63-ad44-2ac068b37ce6/</x:v>
      </x:c>
      <x:c r="F1279" t="str">
        <x:v>g0c8e158f-9ff9-404f-81a7-dd8a51a7c2a8</x:v>
      </x:c>
      <x:c r="G1279" s="20" t="n">
        <x:v>46003.93493979167</x:v>
      </x:c>
    </x:row>
    <x:row r="1280">
      <x:c r="A1280" s="18" t="str">
        <x:v>pássaro</x:v>
      </x:c>
      <x:c r="B1280" s="18" t="str">
        <x:v>chai</x:v>
      </x:c>
      <x:c r="C1280" s="19" t="n">
        <x:f>IF(B1280="",0,(LEN(B1280)-LEN(SUBSTITUTE(B1280," | ","")))/3+1)</x:f>
        <x:v>1</x:v>
      </x:c>
      <x:c r="D1280" t="str">
        <x:v>p</x:v>
      </x:c>
      <x:c r="E1280" t="str">
        <x:v>https://www.webonary.org/marubo/g56300197-cc20-4934-b883-2a320bdd578e/</x:v>
      </x:c>
      <x:c r="F1280" t="str">
        <x:v>g2dcaf17d-8aeb-4804-967e-f222deb1e2cd</x:v>
      </x:c>
      <x:c r="G1280" s="20" t="n">
        <x:v>46003.93493979167</x:v>
      </x:c>
    </x:row>
    <x:row r="1281">
      <x:c r="A1281" s="18" t="str">
        <x:v>pássaro bem-te-vi</x:v>
      </x:c>
      <x:c r="B1281" s="18" t="str">
        <x:v>varĩ mismĩ</x:v>
      </x:c>
      <x:c r="C1281" s="19" t="n">
        <x:f>IF(B1281="",0,(LEN(B1281)-LEN(SUBSTITUTE(B1281," | ","")))/3+1)</x:f>
        <x:v>1</x:v>
      </x:c>
      <x:c r="D1281" t="str">
        <x:v>p</x:v>
      </x:c>
      <x:c r="E1281" t="str">
        <x:v>https://www.webonary.org/marubo/g35093be0-8134-4a64-904f-f5f07a47a1f7/</x:v>
      </x:c>
      <x:c r="F1281" t="str">
        <x:v>g0e81983c-556a-49a9-bf0e-bd5357f9e6fe</x:v>
      </x:c>
      <x:c r="G1281" s="20" t="n">
        <x:v>46003.93493979167</x:v>
      </x:c>
    </x:row>
    <x:row r="1282">
      <x:c r="A1282" s="18" t="str">
        <x:v>passaro chico preto</x:v>
      </x:c>
      <x:c r="B1282" s="18" t="str">
        <x:v>oka | 1</x:v>
      </x:c>
      <x:c r="C1282" s="19" t="n">
        <x:f>IF(B1282="",0,(LEN(B1282)-LEN(SUBSTITUTE(B1282," | ","")))/3+1)</x:f>
        <x:v>2</x:v>
      </x:c>
      <x:c r="D1282" t="str">
        <x:v>p</x:v>
      </x:c>
      <x:c r="E1282" t="str">
        <x:v>https://www.webonary.org/marubo/gaafe2761-6123-4920-b32b-77c2a9849584/</x:v>
      </x:c>
      <x:c r="F1282" t="str">
        <x:v>g6f119826-2620-42bb-9244-6a1a5b112d78</x:v>
      </x:c>
      <x:c r="G1282" s="20" t="n">
        <x:v>46003.93493979167</x:v>
      </x:c>
    </x:row>
    <x:row r="1283">
      <x:c r="A1283" s="18" t="str">
        <x:v>pássaro dorminhoco</x:v>
      </x:c>
      <x:c r="B1283" s="18" t="str">
        <x:v>pẽpí | 1</x:v>
      </x:c>
      <x:c r="C1283" s="19" t="n">
        <x:f>IF(B1283="",0,(LEN(B1283)-LEN(SUBSTITUTE(B1283," | ","")))/3+1)</x:f>
        <x:v>2</x:v>
      </x:c>
      <x:c r="D1283" t="str">
        <x:v>p</x:v>
      </x:c>
      <x:c r="E1283" t="str">
        <x:v>https://www.webonary.org/marubo/g28c76c74-3276-4099-ba38-f5be8cfbe272/</x:v>
      </x:c>
      <x:c r="F1283" t="str">
        <x:v>g68335619-4de5-4290-8e60-895913cbac3f</x:v>
      </x:c>
      <x:c r="G1283" s="20" t="n">
        <x:v>46003.93493979167</x:v>
      </x:c>
    </x:row>
    <x:row r="1284">
      <x:c r="A1284" s="18" t="str">
        <x:v>pássaro maracanã</x:v>
      </x:c>
      <x:c r="B1284" s="18" t="str">
        <x:v>txere</x:v>
      </x:c>
      <x:c r="C1284" s="19" t="n">
        <x:f>IF(B1284="",0,(LEN(B1284)-LEN(SUBSTITUTE(B1284," | ","")))/3+1)</x:f>
        <x:v>1</x:v>
      </x:c>
      <x:c r="D1284" t="str">
        <x:v>p</x:v>
      </x:c>
      <x:c r="E1284" t="str">
        <x:v>https://www.webonary.org/marubo/g21c8d3df-a739-4c02-a430-24c55be13ebc/</x:v>
      </x:c>
      <x:c r="F1284" t="str">
        <x:v>g8195f96c-887a-47c4-af6c-96a363b379b3</x:v>
      </x:c>
      <x:c r="G1284" s="20" t="n">
        <x:v>46003.93493979167</x:v>
      </x:c>
    </x:row>
    <x:row r="1285">
      <x:c r="A1285" s="18" t="str">
        <x:v>passaro pica pau pequeno</x:v>
      </x:c>
      <x:c r="B1285" s="18" t="str">
        <x:v>txiika</x:v>
      </x:c>
      <x:c r="C1285" s="19" t="n">
        <x:f>IF(B1285="",0,(LEN(B1285)-LEN(SUBSTITUTE(B1285," | ","")))/3+1)</x:f>
        <x:v>1</x:v>
      </x:c>
      <x:c r="D1285" t="str">
        <x:v>p</x:v>
      </x:c>
      <x:c r="E1285" t="str">
        <x:v>https://www.webonary.org/marubo/g50f63f79-e6b8-46ed-b956-02f72261529e/</x:v>
      </x:c>
      <x:c r="F1285" t="str">
        <x:v>g0888ab03-b1dc-4cc3-98e1-e4921da38194</x:v>
      </x:c>
      <x:c r="G1285" s="20" t="n">
        <x:v>46003.93493979167</x:v>
      </x:c>
    </x:row>
    <x:row r="1286">
      <x:c r="A1286" s="18" t="str">
        <x:v>pássaro que come pessoas mortas</x:v>
      </x:c>
      <x:c r="B1286" s="18" t="str">
        <x:v>yameshe</x:v>
      </x:c>
      <x:c r="C1286" s="19" t="n">
        <x:f>IF(B1286="",0,(LEN(B1286)-LEN(SUBSTITUTE(B1286," | ","")))/3+1)</x:f>
        <x:v>1</x:v>
      </x:c>
      <x:c r="D1286" t="str">
        <x:v>p</x:v>
      </x:c>
      <x:c r="E1286" t="str">
        <x:v>https://www.webonary.org/marubo/gac739e4d-5e78-45aa-b4b1-2dfcc7f579b1/</x:v>
      </x:c>
      <x:c r="F1286" t="str">
        <x:v>g01e76f86-4136-4090-ace5-472a630fed00</x:v>
      </x:c>
      <x:c r="G1286" s="20" t="n">
        <x:v>46003.93493979167</x:v>
      </x:c>
    </x:row>
    <x:row r="1287">
      <x:c r="A1287" s="18" t="str">
        <x:v>passo em fazer rede</x:v>
      </x:c>
      <x:c r="B1287" s="18" t="str">
        <x:v>kakea</x:v>
      </x:c>
      <x:c r="C1287" s="19" t="n">
        <x:f>IF(B1287="",0,(LEN(B1287)-LEN(SUBSTITUTE(B1287," | ","")))/3+1)</x:f>
        <x:v>1</x:v>
      </x:c>
      <x:c r="D1287" t="str">
        <x:v>p</x:v>
      </x:c>
      <x:c r="E1287" t="str">
        <x:v>https://www.webonary.org/marubo/g5a19cdd5-823a-4fc5-bf4d-22524dac9202/</x:v>
      </x:c>
      <x:c r="F1287" t="str">
        <x:v>g1b1a5cad-a30c-48ad-ae37-342b580628f6</x:v>
      </x:c>
      <x:c r="G1287" s="20" t="n">
        <x:v>46003.93493979167</x:v>
      </x:c>
    </x:row>
    <x:row r="1288">
      <x:c r="A1288" s="18" t="str">
        <x:v>pasta de dente</x:v>
      </x:c>
      <x:c r="B1288" s="18" t="str">
        <x:v>pashta</x:v>
      </x:c>
      <x:c r="C1288" s="19" t="n">
        <x:f>IF(B1288="",0,(LEN(B1288)-LEN(SUBSTITUTE(B1288," | ","")))/3+1)</x:f>
        <x:v>1</x:v>
      </x:c>
      <x:c r="D1288" t="str">
        <x:v>p</x:v>
      </x:c>
      <x:c r="E1288" t="str">
        <x:v>https://www.webonary.org/marubo/gfeb9f3eb-fc1a-4702-b5b0-69cf86816d2c/</x:v>
      </x:c>
      <x:c r="F1288" t="str">
        <x:v>ga4f515b6-e8ec-46b0-bd43-0c2c14a1dee4</x:v>
      </x:c>
      <x:c r="G1288" s="20" t="n">
        <x:v>46003.93493979167</x:v>
      </x:c>
    </x:row>
    <x:row r="1289">
      <x:c r="A1289" s="18" t="str">
        <x:v>patauá</x:v>
      </x:c>
      <x:c r="B1289" s="18" t="str">
        <x:v>isã</x:v>
      </x:c>
      <x:c r="C1289" s="19" t="n">
        <x:f>IF(B1289="",0,(LEN(B1289)-LEN(SUBSTITUTE(B1289," | ","")))/3+1)</x:f>
        <x:v>1</x:v>
      </x:c>
      <x:c r="D1289" t="str">
        <x:v>p</x:v>
      </x:c>
      <x:c r="E1289" t="str">
        <x:v>https://www.webonary.org/marubo/g27c25f2a-49fe-47ce-85b1-0f7edd49e0b5/</x:v>
      </x:c>
      <x:c r="F1289" t="str">
        <x:v>g8f1b1ebd-587f-4037-a7b8-dfdaaf51a035</x:v>
      </x:c>
      <x:c r="G1289" s="20" t="n">
        <x:v>46003.93493979167</x:v>
      </x:c>
    </x:row>
    <x:row r="1290">
      <x:c r="A1290" s="18" t="str">
        <x:v>patela</x:v>
      </x:c>
      <x:c r="B1290" s="18" t="str">
        <x:v>rome vetashti</x:v>
      </x:c>
      <x:c r="C1290" s="19" t="n">
        <x:f>IF(B1290="",0,(LEN(B1290)-LEN(SUBSTITUTE(B1290," | ","")))/3+1)</x:f>
        <x:v>1</x:v>
      </x:c>
      <x:c r="D1290" t="str">
        <x:v>p</x:v>
      </x:c>
      <x:c r="E1290" t="str">
        <x:v>https://www.webonary.org/marubo/gfef479ce-5f38-428c-96d4-90715f5c3d2c/</x:v>
      </x:c>
      <x:c r="F1290" t="str">
        <x:v>g0f7a3bc4-35e8-4798-8849-642a497976d6</x:v>
      </x:c>
      <x:c r="G1290" s="20" t="n">
        <x:v>46003.93493979167</x:v>
      </x:c>
    </x:row>
    <x:row r="1291">
      <x:c r="A1291" s="18" t="str">
        <x:v>patilhas</x:v>
      </x:c>
      <x:c r="B1291" s="18" t="str">
        <x:v>vechpi rani</x:v>
      </x:c>
      <x:c r="C1291" s="19" t="n">
        <x:f>IF(B1291="",0,(LEN(B1291)-LEN(SUBSTITUTE(B1291," | ","")))/3+1)</x:f>
        <x:v>1</x:v>
      </x:c>
      <x:c r="D1291" t="str">
        <x:v>p</x:v>
      </x:c>
      <x:c r="E1291" t="str">
        <x:v>https://www.webonary.org/marubo/gd7ad6676-973d-43cf-8b26-a4a19fb0133a/</x:v>
      </x:c>
      <x:c r="F1291" t="str">
        <x:v>g166edc97-e96f-4931-8388-635347a08212</x:v>
      </x:c>
      <x:c r="G1291" s="20" t="n">
        <x:v>46003.93493979167</x:v>
      </x:c>
    </x:row>
    <x:row r="1292">
      <x:c r="A1292" s="18" t="str">
        <x:v>pátio central da maloca</x:v>
      </x:c>
      <x:c r="B1292" s="18" t="str">
        <x:v>kaya</x:v>
      </x:c>
      <x:c r="C1292" s="19" t="n">
        <x:f>IF(B1292="",0,(LEN(B1292)-LEN(SUBSTITUTE(B1292," | ","")))/3+1)</x:f>
        <x:v>1</x:v>
      </x:c>
      <x:c r="D1292" t="str">
        <x:v>p</x:v>
      </x:c>
      <x:c r="E1292" t="str">
        <x:v>https://www.webonary.org/marubo/ga27346be-b8b3-46e0-87e1-d17aae4c88b3/</x:v>
      </x:c>
      <x:c r="F1292" t="str">
        <x:v>ga033a910-f17d-4822-bae5-0e1c7e190345</x:v>
      </x:c>
      <x:c r="G1292" s="20" t="n">
        <x:v>46003.93493979167</x:v>
      </x:c>
    </x:row>
    <x:row r="1293">
      <x:c r="A1293" s="18" t="str">
        <x:v>patrão</x:v>
      </x:c>
      <x:c r="B1293" s="18" t="str">
        <x:v>kakáya</x:v>
      </x:c>
      <x:c r="C1293" s="19" t="n">
        <x:f>IF(B1293="",0,(LEN(B1293)-LEN(SUBSTITUTE(B1293," | ","")))/3+1)</x:f>
        <x:v>1</x:v>
      </x:c>
      <x:c r="D1293" t="str">
        <x:v>p</x:v>
      </x:c>
      <x:c r="E1293" t="str">
        <x:v>https://www.webonary.org/marubo/g6d224a23-a109-465d-aa7e-4a85b88b0d81/</x:v>
      </x:c>
      <x:c r="F1293" t="str">
        <x:v>g026ad981-c4a1-4406-8001-e50bed65a4c8</x:v>
      </x:c>
      <x:c r="G1293" s="20" t="n">
        <x:v>46003.93493979167</x:v>
      </x:c>
    </x:row>
    <x:row r="1294">
      <x:c r="A1294" s="18" t="str">
        <x:v>paturrilha</x:v>
      </x:c>
      <x:c r="B1294" s="18" t="str">
        <x:v>itáshe posto</x:v>
      </x:c>
      <x:c r="C1294" s="19" t="n">
        <x:f>IF(B1294="",0,(LEN(B1294)-LEN(SUBSTITUTE(B1294," | ","")))/3+1)</x:f>
        <x:v>1</x:v>
      </x:c>
      <x:c r="D1294" t="str">
        <x:v>p</x:v>
      </x:c>
      <x:c r="E1294" t="str">
        <x:v>https://www.webonary.org/marubo/ge5454f93-ff86-4f33-a9bb-81c734893e88/</x:v>
      </x:c>
      <x:c r="F1294" t="str">
        <x:v>gca6f8897-0ec8-49e2-9e60-249ff89b4846</x:v>
      </x:c>
      <x:c r="G1294" s="20" t="n">
        <x:v>46003.93493979167</x:v>
      </x:c>
    </x:row>
    <x:row r="1295">
      <x:c r="A1295" s="18" t="str">
        <x:v>pau</x:v>
      </x:c>
      <x:c r="B1295" s="18" t="str">
        <x:v>voo aká</x:v>
      </x:c>
      <x:c r="C1295" s="19" t="n">
        <x:f>IF(B1295="",0,(LEN(B1295)-LEN(SUBSTITUTE(B1295," | ","")))/3+1)</x:f>
        <x:v>1</x:v>
      </x:c>
      <x:c r="D1295" t="str">
        <x:v>p</x:v>
      </x:c>
      <x:c r="E1295" t="str">
        <x:v>https://www.webonary.org/marubo/g88bbacc3-791c-497b-8434-e336fb260786/</x:v>
      </x:c>
      <x:c r="F1295" t="str">
        <x:v>g3c2e5487-bcdc-4b44-9719-73954f85200c</x:v>
      </x:c>
      <x:c r="G1295" s="20" t="n">
        <x:v>46003.93493979167</x:v>
      </x:c>
    </x:row>
    <x:row r="1296">
      <x:c r="A1296" s="18" t="str">
        <x:v>pau brasil</x:v>
      </x:c>
      <x:c r="B1296" s="18" t="str">
        <x:v>vekó</x:v>
      </x:c>
      <x:c r="C1296" s="19" t="n">
        <x:f>IF(B1296="",0,(LEN(B1296)-LEN(SUBSTITUTE(B1296," | ","")))/3+1)</x:f>
        <x:v>1</x:v>
      </x:c>
      <x:c r="D1296" t="str">
        <x:v>p</x:v>
      </x:c>
      <x:c r="E1296" t="str">
        <x:v>https://www.webonary.org/marubo/g19d01a73-428d-4124-b50a-187364f2ac87/</x:v>
      </x:c>
      <x:c r="F1296" t="str">
        <x:v>gf6e4ad8b-b5e2-427b-9b7c-08fe3366cfb2</x:v>
      </x:c>
      <x:c r="G1296" s="20" t="n">
        <x:v>46003.93493979167</x:v>
      </x:c>
    </x:row>
    <x:row r="1297">
      <x:c r="A1297" s="18" t="str">
        <x:v>pau de âmago</x:v>
      </x:c>
      <x:c r="B1297" s="18" t="str">
        <x:v>voĩti | keovi</x:v>
      </x:c>
      <x:c r="C1297" s="19" t="n">
        <x:f>IF(B1297="",0,(LEN(B1297)-LEN(SUBSTITUTE(B1297," | ","")))/3+1)</x:f>
        <x:v>2</x:v>
      </x:c>
      <x:c r="D1297" t="str">
        <x:v>p</x:v>
      </x:c>
      <x:c r="E1297" t="str">
        <x:v>https://www.webonary.org/marubo/ga6f33bc8-087e-427b-8b81-ab32f2469fe8/</x:v>
      </x:c>
      <x:c r="F1297" t="str">
        <x:v>g59c2a8b3-1d57-4e35-9029-d9f446576c9b</x:v>
      </x:c>
      <x:c r="G1297" s="20" t="n">
        <x:v>46003.93493979167</x:v>
      </x:c>
    </x:row>
    <x:row r="1298">
      <x:c r="A1298" s="18" t="str">
        <x:v>pau para mexer</x:v>
      </x:c>
      <x:c r="B1298" s="18" t="str">
        <x:v>wĩti</x:v>
      </x:c>
      <x:c r="C1298" s="19" t="n">
        <x:f>IF(B1298="",0,(LEN(B1298)-LEN(SUBSTITUTE(B1298," | ","")))/3+1)</x:f>
        <x:v>1</x:v>
      </x:c>
      <x:c r="D1298" t="str">
        <x:v>p</x:v>
      </x:c>
      <x:c r="E1298" t="str">
        <x:v>https://www.webonary.org/marubo/g66cfeb5b-f665-4605-a869-aae7c03c7536/</x:v>
      </x:c>
      <x:c r="F1298" t="str">
        <x:v>g4ba71210-172e-4423-926a-802f61ea3a95</x:v>
      </x:c>
      <x:c r="G1298" s="20" t="n">
        <x:v>46003.93493979167</x:v>
      </x:c>
    </x:row>
    <x:row r="1299">
      <x:c r="A1299" s="18" t="str">
        <x:v>pausa</x:v>
      </x:c>
      <x:c r="B1299" s="18" t="str">
        <x:v>wa</x:v>
      </x:c>
      <x:c r="C1299" s="19" t="n">
        <x:f>IF(B1299="",0,(LEN(B1299)-LEN(SUBSTITUTE(B1299," | ","")))/3+1)</x:f>
        <x:v>1</x:v>
      </x:c>
      <x:c r="D1299" t="str">
        <x:v>p</x:v>
      </x:c>
      <x:c r="E1299" t="str">
        <x:v>https://www.webonary.org/marubo/g601be0bb-ebef-4608-9401-c7de5caf1056/</x:v>
      </x:c>
      <x:c r="F1299" t="str">
        <x:v>g463921c0-05c0-431c-8831-04bfd5ab28ca</x:v>
      </x:c>
      <x:c r="G1299" s="20" t="n">
        <x:v>46003.93493979167</x:v>
      </x:c>
    </x:row>
    <x:row r="1300">
      <x:c r="A1300" s="18" t="str">
        <x:v>pé</x:v>
      </x:c>
      <x:c r="B1300" s="18" t="str">
        <x:v>tae</x:v>
      </x:c>
      <x:c r="C1300" s="19" t="n">
        <x:f>IF(B1300="",0,(LEN(B1300)-LEN(SUBSTITUTE(B1300," | ","")))/3+1)</x:f>
        <x:v>1</x:v>
      </x:c>
      <x:c r="D1300" t="str">
        <x:v>p</x:v>
      </x:c>
      <x:c r="E1300" t="str">
        <x:v>https://www.webonary.org/marubo/g9d9b66a2-9417-4636-b347-c7122ac6ea13/</x:v>
      </x:c>
      <x:c r="F1300" t="str">
        <x:v>g008a403a-2099-47d5-9d3c-4ca305d569f8</x:v>
      </x:c>
      <x:c r="G1300" s="20" t="n">
        <x:v>46003.93493979167</x:v>
      </x:c>
    </x:row>
    <x:row r="1301">
      <x:c r="A1301" s="18" t="str">
        <x:v>pé da orelha</x:v>
      </x:c>
      <x:c r="B1301" s="18" t="str">
        <x:v>pãtxo tae</x:v>
      </x:c>
      <x:c r="C1301" s="19" t="n">
        <x:f>IF(B1301="",0,(LEN(B1301)-LEN(SUBSTITUTE(B1301," | ","")))/3+1)</x:f>
        <x:v>1</x:v>
      </x:c>
      <x:c r="D1301" t="str">
        <x:v>p</x:v>
      </x:c>
      <x:c r="E1301" t="str">
        <x:v>https://www.webonary.org/marubo/g8ba73332-171a-4765-ac78-5be6eae5bb65/</x:v>
      </x:c>
      <x:c r="F1301" t="str">
        <x:v>gbe8924fd-4889-433f-bc68-6c46a596d9da</x:v>
      </x:c>
      <x:c r="G1301" s="20" t="n">
        <x:v>46003.93493979167</x:v>
      </x:c>
    </x:row>
    <x:row r="1302">
      <x:c r="A1302" s="18" t="str">
        <x:v>peça da carne de ave em cima do ânus</x:v>
      </x:c>
      <x:c r="B1302" s="18" t="str">
        <x:v>txikoĩ</x:v>
      </x:c>
      <x:c r="C1302" s="19" t="n">
        <x:f>IF(B1302="",0,(LEN(B1302)-LEN(SUBSTITUTE(B1302," | ","")))/3+1)</x:f>
        <x:v>1</x:v>
      </x:c>
      <x:c r="D1302" t="str">
        <x:v>p</x:v>
      </x:c>
      <x:c r="E1302" t="str">
        <x:v>https://www.webonary.org/marubo/ge2912e2b-53cf-43ed-91c7-17a5a658eca8/</x:v>
      </x:c>
      <x:c r="F1302" t="str">
        <x:v>gb2a96c06-87d4-4f1a-93da-7bc5c7274c77</x:v>
      </x:c>
      <x:c r="G1302" s="20" t="n">
        <x:v>46003.93493979167</x:v>
      </x:c>
    </x:row>
    <x:row r="1303">
      <x:c r="A1303" s="18" t="str">
        <x:v>pecar</x:v>
      </x:c>
      <x:c r="B1303" s="18" t="str">
        <x:v>kanéa</x:v>
      </x:c>
      <x:c r="C1303" s="19" t="n">
        <x:f>IF(B1303="",0,(LEN(B1303)-LEN(SUBSTITUTE(B1303," | ","")))/3+1)</x:f>
        <x:v>1</x:v>
      </x:c>
      <x:c r="D1303" t="str">
        <x:v>p</x:v>
      </x:c>
      <x:c r="E1303" t="str">
        <x:v>https://www.webonary.org/marubo/ga5ad1ca1-308b-4635-9db3-d19f83c57761/</x:v>
      </x:c>
      <x:c r="F1303" t="str">
        <x:v>ge005b470-8be1-4992-9b14-090e467709d4</x:v>
      </x:c>
      <x:c r="G1303" s="20" t="n">
        <x:v>46003.93493979167</x:v>
      </x:c>
    </x:row>
    <x:row r="1304">
      <x:c r="A1304" s="18" t="str">
        <x:v>peconha</x:v>
      </x:c>
      <x:c r="B1304" s="18" t="str">
        <x:v>neshti</x:v>
      </x:c>
      <x:c r="C1304" s="19" t="n">
        <x:f>IF(B1304="",0,(LEN(B1304)-LEN(SUBSTITUTE(B1304," | ","")))/3+1)</x:f>
        <x:v>1</x:v>
      </x:c>
      <x:c r="D1304" t="str">
        <x:v>p</x:v>
      </x:c>
      <x:c r="E1304" t="str">
        <x:v>https://www.webonary.org/marubo/gd95c4aea-ba97-47e5-847c-73d34e449abd/</x:v>
      </x:c>
      <x:c r="F1304" t="str">
        <x:v>gd0a2e3fd-9cbc-4339-acb1-c1daeff4ec80</x:v>
      </x:c>
      <x:c r="G1304" s="20" t="n">
        <x:v>46003.93493979167</x:v>
      </x:c>
    </x:row>
    <x:row r="1305">
      <x:c r="A1305" s="18" t="str">
        <x:v>pedaço de carne moqueado</x:v>
      </x:c>
      <x:c r="B1305" s="18" t="str">
        <x:v>txochi</x:v>
      </x:c>
      <x:c r="C1305" s="19" t="n">
        <x:f>IF(B1305="",0,(LEN(B1305)-LEN(SUBSTITUTE(B1305," | ","")))/3+1)</x:f>
        <x:v>1</x:v>
      </x:c>
      <x:c r="D1305" t="str">
        <x:v>p</x:v>
      </x:c>
      <x:c r="E1305" t="str">
        <x:v>https://www.webonary.org/marubo/gace8980b-383e-47c8-bc0f-db155affb01a/</x:v>
      </x:c>
      <x:c r="F1305" t="str">
        <x:v>g29c8c02d-e407-465e-8825-6fd0eb63189b</x:v>
      </x:c>
      <x:c r="G1305" s="20" t="n">
        <x:v>46003.93493979167</x:v>
      </x:c>
    </x:row>
    <x:row r="1306">
      <x:c r="A1306" s="18" t="str">
        <x:v>pedir</x:v>
      </x:c>
      <x:c r="B1306" s="18" t="str">
        <x:v>yoká</x:v>
      </x:c>
      <x:c r="C1306" s="19" t="n">
        <x:f>IF(B1306="",0,(LEN(B1306)-LEN(SUBSTITUTE(B1306," | ","")))/3+1)</x:f>
        <x:v>1</x:v>
      </x:c>
      <x:c r="D1306" t="str">
        <x:v>p</x:v>
      </x:c>
      <x:c r="E1306" t="str">
        <x:v>https://www.webonary.org/marubo/gc7d347f9-a2f8-42da-aaef-f934e7d55451/</x:v>
      </x:c>
      <x:c r="F1306" t="str">
        <x:v>g7b8156a3-096d-453e-b411-fed49a2149e4</x:v>
      </x:c>
      <x:c r="G1306" s="20" t="n">
        <x:v>46003.93494626157</x:v>
      </x:c>
    </x:row>
    <x:row r="1307">
      <x:c r="A1307" s="18" t="str">
        <x:v>pedra afiadora</x:v>
      </x:c>
      <x:c r="B1307" s="18" t="str">
        <x:v>michkí</x:v>
      </x:c>
      <x:c r="C1307" s="19" t="n">
        <x:f>IF(B1307="",0,(LEN(B1307)-LEN(SUBSTITUTE(B1307," | ","")))/3+1)</x:f>
        <x:v>1</x:v>
      </x:c>
      <x:c r="D1307" t="str">
        <x:v>p</x:v>
      </x:c>
      <x:c r="E1307" t="str">
        <x:v>https://www.webonary.org/marubo/gb1f47c1e-2f19-4026-b68b-86f61a05bf09/</x:v>
      </x:c>
      <x:c r="F1307" t="str">
        <x:v>g68eb4c0c-1002-4b1b-94ca-934b7804405c</x:v>
      </x:c>
      <x:c r="G1307" s="20" t="n">
        <x:v>46003.93494626157</x:v>
      </x:c>
    </x:row>
    <x:row r="1308">
      <x:c r="A1308" s="18" t="str">
        <x:v>pedras da praia</x:v>
      </x:c>
      <x:c r="B1308" s="18" t="str">
        <x:v>machi siro</x:v>
      </x:c>
      <x:c r="C1308" s="19" t="n">
        <x:f>IF(B1308="",0,(LEN(B1308)-LEN(SUBSTITUTE(B1308," | ","")))/3+1)</x:f>
        <x:v>1</x:v>
      </x:c>
      <x:c r="D1308" t="str">
        <x:v>p</x:v>
      </x:c>
      <x:c r="E1308" t="str">
        <x:v>https://www.webonary.org/marubo/gaf219bce-574a-43cb-a00f-1cab327121dc/</x:v>
      </x:c>
      <x:c r="F1308" t="str">
        <x:v>g790c5bcf-ea06-442a-a27f-44579a00c6ea</x:v>
      </x:c>
      <x:c r="G1308" s="20" t="n">
        <x:v>46003.93494626157</x:v>
      </x:c>
    </x:row>
    <x:row r="1309">
      <x:c r="A1309" s="18" t="str">
        <x:v>pedrinhas</x:v>
      </x:c>
      <x:c r="B1309" s="18" t="str">
        <x:v>shasho misko</x:v>
      </x:c>
      <x:c r="C1309" s="19" t="n">
        <x:f>IF(B1309="",0,(LEN(B1309)-LEN(SUBSTITUTE(B1309," | ","")))/3+1)</x:f>
        <x:v>1</x:v>
      </x:c>
      <x:c r="D1309" t="str">
        <x:v>p</x:v>
      </x:c>
      <x:c r="E1309" t="str">
        <x:v>https://www.webonary.org/marubo/gdf0c0abc-4a5d-48fd-8d5b-5985ad8f3d62/</x:v>
      </x:c>
      <x:c r="F1309" t="str">
        <x:v>gb791f1fa-e544-47d0-9193-5b1e8f3da107</x:v>
      </x:c>
      <x:c r="G1309" s="20" t="n">
        <x:v>46003.93494626157</x:v>
      </x:c>
    </x:row>
    <x:row r="1310">
      <x:c r="A1310" s="18" t="str">
        <x:v>pegar</x:v>
      </x:c>
      <x:c r="B1310" s="18" t="str">
        <x:v>viá | atxia</x:v>
      </x:c>
      <x:c r="C1310" s="19" t="n">
        <x:f>IF(B1310="",0,(LEN(B1310)-LEN(SUBSTITUTE(B1310," | ","")))/3+1)</x:f>
        <x:v>2</x:v>
      </x:c>
      <x:c r="D1310" t="str">
        <x:v>p</x:v>
      </x:c>
      <x:c r="E1310" t="str">
        <x:v>https://www.webonary.org/marubo/g3d62834b-f4dc-4192-982b-a5b93437d5dd/</x:v>
      </x:c>
      <x:c r="F1310" t="str">
        <x:v>g8afe64a6-5d79-42ea-9515-bb4e744b4f04</x:v>
      </x:c>
      <x:c r="G1310" s="20" t="n">
        <x:v>46003.93494626157</x:v>
      </x:c>
    </x:row>
    <x:row r="1311">
      <x:c r="A1311" s="18" t="str">
        <x:v>pegar com malhadeira</x:v>
      </x:c>
      <x:c r="B1311" s="18" t="str">
        <x:v>pamea</x:v>
      </x:c>
      <x:c r="C1311" s="19" t="n">
        <x:f>IF(B1311="",0,(LEN(B1311)-LEN(SUBSTITUTE(B1311," | ","")))/3+1)</x:f>
        <x:v>1</x:v>
      </x:c>
      <x:c r="D1311" t="str">
        <x:v>p</x:v>
      </x:c>
      <x:c r="E1311" t="str">
        <x:v>https://www.webonary.org/marubo/gfbab4519-f2c6-44e0-aede-0e95b82faf68/</x:v>
      </x:c>
      <x:c r="F1311" t="str">
        <x:v>g652ed826-42ac-48f2-b0fa-a905aa554dff</x:v>
      </x:c>
      <x:c r="G1311" s="20" t="n">
        <x:v>46003.93494626157</x:v>
      </x:c>
    </x:row>
    <x:row r="1312">
      <x:c r="A1312" s="18" t="str">
        <x:v>pegar debaixo dos sobacos</x:v>
      </x:c>
      <x:c r="B1312" s="18" t="str">
        <x:v>pitsõvakĩ</x:v>
      </x:c>
      <x:c r="C1312" s="19" t="n">
        <x:f>IF(B1312="",0,(LEN(B1312)-LEN(SUBSTITUTE(B1312," | ","")))/3+1)</x:f>
        <x:v>1</x:v>
      </x:c>
      <x:c r="D1312" t="str">
        <x:v>p</x:v>
      </x:c>
      <x:c r="E1312" t="str">
        <x:v>https://www.webonary.org/marubo/g2a911465-2e52-4250-8571-cc50e5e819af/</x:v>
      </x:c>
      <x:c r="F1312" t="str">
        <x:v>g6b084ace-bc66-49f3-8be9-b38e58184dc2</x:v>
      </x:c>
      <x:c r="G1312" s="20" t="n">
        <x:v>46003.93494626157</x:v>
      </x:c>
    </x:row>
    <x:row r="1313">
      <x:c r="A1313" s="18" t="str">
        <x:v>pegar emprestado</x:v>
      </x:c>
      <x:c r="B1313" s="18" t="str">
        <x:v>kãwãa</x:v>
      </x:c>
      <x:c r="C1313" s="19" t="n">
        <x:f>IF(B1313="",0,(LEN(B1313)-LEN(SUBSTITUTE(B1313," | ","")))/3+1)</x:f>
        <x:v>1</x:v>
      </x:c>
      <x:c r="D1313" t="str">
        <x:v>p</x:v>
      </x:c>
      <x:c r="E1313" t="str">
        <x:v>https://www.webonary.org/marubo/g6b0dbba5-762f-4ee9-b094-1c1572ad87f2/</x:v>
      </x:c>
      <x:c r="F1313" t="str">
        <x:v>g8985ce42-8aa0-4357-9c41-c614aba07d9c</x:v>
      </x:c>
      <x:c r="G1313" s="20" t="n">
        <x:v>46003.93494626157</x:v>
      </x:c>
    </x:row>
    <x:row r="1314">
      <x:c r="A1314" s="18" t="str">
        <x:v>pegar mão</x:v>
      </x:c>
      <x:c r="B1314" s="18" t="str">
        <x:v>meté ikí</x:v>
      </x:c>
      <x:c r="C1314" s="19" t="n">
        <x:f>IF(B1314="",0,(LEN(B1314)-LEN(SUBSTITUTE(B1314," | ","")))/3+1)</x:f>
        <x:v>1</x:v>
      </x:c>
      <x:c r="D1314" t="str">
        <x:v>p</x:v>
      </x:c>
      <x:c r="E1314" t="str">
        <x:v>https://www.webonary.org/marubo/gb1ce0ccb-dc57-41b0-9535-eadccdc168bb/</x:v>
      </x:c>
      <x:c r="F1314" t="str">
        <x:v>g8d5462bf-5112-430e-8c55-296e089b8205</x:v>
      </x:c>
      <x:c r="G1314" s="20" t="n">
        <x:v>46003.93494626157</x:v>
      </x:c>
    </x:row>
    <x:row r="1315">
      <x:c r="A1315" s="18" t="str">
        <x:v>peido</x:v>
      </x:c>
      <x:c r="B1315" s="18" t="str">
        <x:v>tsipísi</x:v>
      </x:c>
      <x:c r="C1315" s="19" t="n">
        <x:f>IF(B1315="",0,(LEN(B1315)-LEN(SUBSTITUTE(B1315," | ","")))/3+1)</x:f>
        <x:v>1</x:v>
      </x:c>
      <x:c r="D1315" t="str">
        <x:v>p</x:v>
      </x:c>
      <x:c r="E1315" t="str">
        <x:v>https://www.webonary.org/marubo/g19b27565-20b9-4c99-be87-9a552f049f50/</x:v>
      </x:c>
      <x:c r="F1315" t="str">
        <x:v>g57397157-bf8a-41bb-b585-1ea8f3d33b5f</x:v>
      </x:c>
      <x:c r="G1315" s="20" t="n">
        <x:v>46003.93494626157</x:v>
      </x:c>
    </x:row>
    <x:row r="1316">
      <x:c r="A1316" s="18" t="str">
        <x:v>peito</x:v>
      </x:c>
      <x:c r="B1316" s="18" t="str">
        <x:v>shoma</x:v>
      </x:c>
      <x:c r="C1316" s="19" t="n">
        <x:f>IF(B1316="",0,(LEN(B1316)-LEN(SUBSTITUTE(B1316," | ","")))/3+1)</x:f>
        <x:v>1</x:v>
      </x:c>
      <x:c r="D1316" t="str">
        <x:v>p</x:v>
      </x:c>
      <x:c r="E1316" t="str">
        <x:v>https://www.webonary.org/marubo/g0ae79333-f4a7-4918-b055-a9a337d5c7b7/</x:v>
      </x:c>
      <x:c r="F1316" t="str">
        <x:v>g40547d10-baf4-4db9-9f4a-66332decc12a</x:v>
      </x:c>
      <x:c r="G1316" s="20" t="n">
        <x:v>46003.93494626157</x:v>
      </x:c>
    </x:row>
    <x:row r="1317">
      <x:c r="A1317" s="18" t="str">
        <x:v>peito superior</x:v>
      </x:c>
      <x:c r="B1317" s="18" t="str">
        <x:v>shotxi</x:v>
      </x:c>
      <x:c r="C1317" s="19" t="n">
        <x:f>IF(B1317="",0,(LEN(B1317)-LEN(SUBSTITUTE(B1317," | ","")))/3+1)</x:f>
        <x:v>1</x:v>
      </x:c>
      <x:c r="D1317" t="str">
        <x:v>p</x:v>
      </x:c>
      <x:c r="E1317" t="str">
        <x:v>https://www.webonary.org/marubo/g1b3658cc-7b97-4e96-880c-27edcf54a812/</x:v>
      </x:c>
      <x:c r="F1317" t="str">
        <x:v>g444e8ae3-a6ba-44b3-8ef2-fb3762ff9647</x:v>
      </x:c>
      <x:c r="G1317" s="20" t="n">
        <x:v>46003.93494626157</x:v>
      </x:c>
    </x:row>
    <x:row r="1318">
      <x:c r="A1318" s="18" t="str">
        <x:v>peixe</x:v>
      </x:c>
      <x:c r="B1318" s="18" t="str">
        <x:v>sipa | yapa</x:v>
      </x:c>
      <x:c r="C1318" s="19" t="n">
        <x:f>IF(B1318="",0,(LEN(B1318)-LEN(SUBSTITUTE(B1318," | ","")))/3+1)</x:f>
        <x:v>2</x:v>
      </x:c>
      <x:c r="D1318" t="str">
        <x:v>p</x:v>
      </x:c>
      <x:c r="E1318" t="str">
        <x:v>https://www.webonary.org/marubo/ge9a9e8cb-47a2-453c-8f6e-f00302aebf17/</x:v>
      </x:c>
      <x:c r="F1318" t="str">
        <x:v>g143980a2-3683-4f93-b23e-a4c5b34657ed</x:v>
      </x:c>
      <x:c r="G1318" s="20" t="n">
        <x:v>46003.93494626157</x:v>
      </x:c>
    </x:row>
    <x:row r="1319">
      <x:c r="A1319" s="18" t="str">
        <x:v>peixe bodó</x:v>
      </x:c>
      <x:c r="B1319" s="18" t="str">
        <x:v>ipo</x:v>
      </x:c>
      <x:c r="C1319" s="19" t="n">
        <x:f>IF(B1319="",0,(LEN(B1319)-LEN(SUBSTITUTE(B1319," | ","")))/3+1)</x:f>
        <x:v>1</x:v>
      </x:c>
      <x:c r="D1319" t="str">
        <x:v>p</x:v>
      </x:c>
      <x:c r="E1319" t="str">
        <x:v>https://www.webonary.org/marubo/g1d3adee3-f635-4425-bb00-23424ddfc4a9/</x:v>
      </x:c>
      <x:c r="F1319" t="str">
        <x:v>ga53c70f7-f805-4a46-8301-a0a9926e1a58</x:v>
      </x:c>
      <x:c r="G1319" s="20" t="n">
        <x:v>46003.93494626157</x:v>
      </x:c>
    </x:row>
    <x:row r="1320">
      <x:c r="A1320" s="18" t="str">
        <x:v>peixe cachimbo</x:v>
      </x:c>
      <x:c r="B1320" s="18" t="str">
        <x:v>txãka</x:v>
      </x:c>
      <x:c r="C1320" s="19" t="n">
        <x:f>IF(B1320="",0,(LEN(B1320)-LEN(SUBSTITUTE(B1320," | ","")))/3+1)</x:f>
        <x:v>1</x:v>
      </x:c>
      <x:c r="D1320" t="str">
        <x:v>p</x:v>
      </x:c>
      <x:c r="E1320" t="str">
        <x:v>https://www.webonary.org/marubo/g57e864c9-475a-4f18-a6e8-346fb7573835/</x:v>
      </x:c>
      <x:c r="F1320" t="str">
        <x:v>g994a3561-d831-4d60-b6a8-a3dbde1deaff</x:v>
      </x:c>
      <x:c r="G1320" s="20" t="n">
        <x:v>46003.93494626157</x:v>
      </x:c>
    </x:row>
    <x:row r="1321">
      <x:c r="A1321" s="18" t="str">
        <x:v>peixe cará</x:v>
      </x:c>
      <x:c r="B1321" s="18" t="str">
        <x:v>maĩ</x:v>
      </x:c>
      <x:c r="C1321" s="19" t="n">
        <x:f>IF(B1321="",0,(LEN(B1321)-LEN(SUBSTITUTE(B1321," | ","")))/3+1)</x:f>
        <x:v>1</x:v>
      </x:c>
      <x:c r="D1321" t="str">
        <x:v>p</x:v>
      </x:c>
      <x:c r="E1321" t="str">
        <x:v>https://www.webonary.org/marubo/g87def285-0fae-41ad-a31b-f04de0fabe02/</x:v>
      </x:c>
      <x:c r="F1321" t="str">
        <x:v>g0e8133aa-5d18-4ccf-b7f7-2244075950c7</x:v>
      </x:c>
      <x:c r="G1321" s="20" t="n">
        <x:v>46003.93494626157</x:v>
      </x:c>
    </x:row>
    <x:row r="1322">
      <x:c r="A1322" s="18" t="str">
        <x:v>peixe eletrico</x:v>
      </x:c>
      <x:c r="B1322" s="18" t="str">
        <x:v>koni</x:v>
      </x:c>
      <x:c r="C1322" s="19" t="n">
        <x:f>IF(B1322="",0,(LEN(B1322)-LEN(SUBSTITUTE(B1322," | ","")))/3+1)</x:f>
        <x:v>1</x:v>
      </x:c>
      <x:c r="D1322" t="str">
        <x:v>p</x:v>
      </x:c>
      <x:c r="E1322" t="str">
        <x:v>https://www.webonary.org/marubo/g1b3d322f-ca38-46a3-8b27-4462794abf8a/</x:v>
      </x:c>
      <x:c r="F1322" t="str">
        <x:v>gee2c0af4-a8fa-4da4-831a-d6a3d09aa3f5</x:v>
      </x:c>
      <x:c r="G1322" s="20" t="n">
        <x:v>46003.93494626157</x:v>
      </x:c>
    </x:row>
    <x:row r="1323">
      <x:c r="A1323" s="18" t="str">
        <x:v>peixe liso</x:v>
      </x:c>
      <x:c r="B1323" s="18" t="str">
        <x:v>vaĩ</x:v>
      </x:c>
      <x:c r="C1323" s="19" t="n">
        <x:f>IF(B1323="",0,(LEN(B1323)-LEN(SUBSTITUTE(B1323," | ","")))/3+1)</x:f>
        <x:v>1</x:v>
      </x:c>
      <x:c r="D1323" t="str">
        <x:v>p</x:v>
      </x:c>
      <x:c r="E1323" t="str">
        <x:v>https://www.webonary.org/marubo/g8e9d3076-787d-489b-83dd-80f683523f1a/</x:v>
      </x:c>
      <x:c r="F1323" t="str">
        <x:v>g09e54fbc-2464-40b3-9ef7-84037766b5cc</x:v>
      </x:c>
      <x:c r="G1323" s="20" t="n">
        <x:v>46003.93494626157</x:v>
      </x:c>
    </x:row>
    <x:row r="1324">
      <x:c r="A1324" s="18" t="str">
        <x:v>pelado</x:v>
      </x:c>
      <x:c r="B1324" s="18" t="str">
        <x:v>txĩto</x:v>
      </x:c>
      <x:c r="C1324" s="19" t="n">
        <x:f>IF(B1324="",0,(LEN(B1324)-LEN(SUBSTITUTE(B1324," | ","")))/3+1)</x:f>
        <x:v>1</x:v>
      </x:c>
      <x:c r="D1324" t="str">
        <x:v>p</x:v>
      </x:c>
      <x:c r="E1324" t="str">
        <x:v>https://www.webonary.org/marubo/g77498844-e26b-434b-9ef6-45d162447225/</x:v>
      </x:c>
      <x:c r="F1324" t="str">
        <x:v>g31952780-9cbc-4efc-bc0e-a5bc6d9292c5</x:v>
      </x:c>
      <x:c r="G1324" s="20" t="n">
        <x:v>46003.93494626157</x:v>
      </x:c>
    </x:row>
    <x:row r="1325">
      <x:c r="A1325" s="18" t="str">
        <x:v>pele</x:v>
      </x:c>
      <x:c r="B1325" s="18" t="str">
        <x:v>eshpí</x:v>
      </x:c>
      <x:c r="C1325" s="19" t="n">
        <x:f>IF(B1325="",0,(LEN(B1325)-LEN(SUBSTITUTE(B1325," | ","")))/3+1)</x:f>
        <x:v>1</x:v>
      </x:c>
      <x:c r="D1325" t="str">
        <x:v>p</x:v>
      </x:c>
      <x:c r="E1325" t="str">
        <x:v>https://www.webonary.org/marubo/g4c0ce087-f982-42ed-aa02-98c8f6b05d07/</x:v>
      </x:c>
      <x:c r="F1325" t="str">
        <x:v>gdc4fa4ad-a761-497d-bd5a-607de9d28069</x:v>
      </x:c>
      <x:c r="G1325" s="20" t="n">
        <x:v>46003.93494626157</x:v>
      </x:c>
    </x:row>
    <x:row r="1326">
      <x:c r="A1326" s="18" t="str">
        <x:v>pele da traseira arriada</x:v>
      </x:c>
      <x:c r="B1326" s="18" t="str">
        <x:v>txipã</x:v>
      </x:c>
      <x:c r="C1326" s="19" t="n">
        <x:f>IF(B1326="",0,(LEN(B1326)-LEN(SUBSTITUTE(B1326," | ","")))/3+1)</x:f>
        <x:v>1</x:v>
      </x:c>
      <x:c r="D1326" t="str">
        <x:v>p</x:v>
      </x:c>
      <x:c r="E1326" t="str">
        <x:v>https://www.webonary.org/marubo/g02df7063-14b8-41a3-8d4a-2b66f872e5b9/</x:v>
      </x:c>
      <x:c r="F1326" t="str">
        <x:v>ga7bd8b5a-735b-423e-8fd6-aeb6d89bce1e</x:v>
      </x:c>
      <x:c r="G1326" s="20" t="n">
        <x:v>46003.93494626157</x:v>
      </x:c>
    </x:row>
    <x:row r="1327">
      <x:c r="A1327" s="18" t="str">
        <x:v>pele quente</x:v>
      </x:c>
      <x:c r="B1327" s="18" t="str">
        <x:v>txiika</x:v>
      </x:c>
      <x:c r="C1327" s="19" t="n">
        <x:f>IF(B1327="",0,(LEN(B1327)-LEN(SUBSTITUTE(B1327," | ","")))/3+1)</x:f>
        <x:v>1</x:v>
      </x:c>
      <x:c r="D1327" t="str">
        <x:v>p</x:v>
      </x:c>
      <x:c r="E1327" t="str">
        <x:v>https://www.webonary.org/marubo/g50f63f79-e6b8-46ed-b956-02f72261529e/</x:v>
      </x:c>
      <x:c r="F1327" t="str">
        <x:v>g0c4be947-4848-4dcb-8fe2-5a3e8225656b</x:v>
      </x:c>
      <x:c r="G1327" s="20" t="n">
        <x:v>46003.93494626157</x:v>
      </x:c>
    </x:row>
    <x:row r="1328">
      <x:c r="A1328" s="18" t="str">
        <x:v>pelo</x:v>
      </x:c>
      <x:c r="B1328" s="18" t="str">
        <x:v>rani</x:v>
      </x:c>
      <x:c r="C1328" s="19" t="n">
        <x:f>IF(B1328="",0,(LEN(B1328)-LEN(SUBSTITUTE(B1328," | ","")))/3+1)</x:f>
        <x:v>1</x:v>
      </x:c>
      <x:c r="D1328" t="str">
        <x:v>p</x:v>
      </x:c>
      <x:c r="E1328" t="str">
        <x:v>https://www.webonary.org/marubo/gaedadfe6-da1e-44a2-b71e-ec8c7fd18588/</x:v>
      </x:c>
      <x:c r="F1328" t="str">
        <x:v>gb1dcde6a-c39a-4b98-8a3d-f35be7734dfd</x:v>
      </x:c>
      <x:c r="G1328" s="20" t="n">
        <x:v>46003.93494626157</x:v>
      </x:c>
    </x:row>
    <x:row r="1329">
      <x:c r="A1329" s="18" t="str">
        <x:v>pelos pubianos</x:v>
      </x:c>
      <x:c r="B1329" s="18" t="str">
        <x:v>shani</x:v>
      </x:c>
      <x:c r="C1329" s="19" t="n">
        <x:f>IF(B1329="",0,(LEN(B1329)-LEN(SUBSTITUTE(B1329," | ","")))/3+1)</x:f>
        <x:v>1</x:v>
      </x:c>
      <x:c r="D1329" t="str">
        <x:v>p</x:v>
      </x:c>
      <x:c r="E1329" t="str">
        <x:v>https://www.webonary.org/marubo/g4d8dc353-2efe-4165-ab22-228470a3a3c6/</x:v>
      </x:c>
      <x:c r="F1329" t="str">
        <x:v>g40634515-c14c-45e7-925c-b0dfe824c0c8</x:v>
      </x:c>
      <x:c r="G1329" s="20" t="n">
        <x:v>46003.93494626157</x:v>
      </x:c>
    </x:row>
    <x:row r="1330">
      <x:c r="A1330" s="18" t="str">
        <x:v>pena</x:v>
      </x:c>
      <x:c r="B1330" s="18" t="str">
        <x:v>pei</x:v>
      </x:c>
      <x:c r="C1330" s="19" t="n">
        <x:f>IF(B1330="",0,(LEN(B1330)-LEN(SUBSTITUTE(B1330," | ","")))/3+1)</x:f>
        <x:v>1</x:v>
      </x:c>
      <x:c r="D1330" t="str">
        <x:v>p</x:v>
      </x:c>
      <x:c r="E1330" t="str">
        <x:v>https://www.webonary.org/marubo/g6e5da3ce-519d-4bb7-998f-997ebd93a294/</x:v>
      </x:c>
      <x:c r="F1330" t="str">
        <x:v>g57d3478b-165f-4a1f-ac56-c0fb7de1982f</x:v>
      </x:c>
      <x:c r="G1330" s="20" t="n">
        <x:v>46003.93494626157</x:v>
      </x:c>
    </x:row>
    <x:row r="1331">
      <x:c r="A1331" s="18" t="str">
        <x:v>penas da ave embaixo da traseira</x:v>
      </x:c>
      <x:c r="B1331" s="18" t="str">
        <x:v>txinã</x:v>
      </x:c>
      <x:c r="C1331" s="19" t="n">
        <x:f>IF(B1331="",0,(LEN(B1331)-LEN(SUBSTITUTE(B1331," | ","")))/3+1)</x:f>
        <x:v>1</x:v>
      </x:c>
      <x:c r="D1331" t="str">
        <x:v>p</x:v>
      </x:c>
      <x:c r="E1331" t="str">
        <x:v>https://www.webonary.org/marubo/g9fe78550-4db5-4777-a36b-725823751c73/</x:v>
      </x:c>
      <x:c r="F1331" t="str">
        <x:v>gdb86e48e-66d8-4ebe-96d1-ccb712710686</x:v>
      </x:c>
      <x:c r="G1331" s="20" t="n">
        <x:v>46003.93494626157</x:v>
      </x:c>
    </x:row>
    <x:row r="1332">
      <x:c r="A1332" s="18" t="str">
        <x:v>pendurado</x:v>
      </x:c>
      <x:c r="B1332" s="18" t="str">
        <x:v>ronóa</x:v>
      </x:c>
      <x:c r="C1332" s="19" t="n">
        <x:f>IF(B1332="",0,(LEN(B1332)-LEN(SUBSTITUTE(B1332," | ","")))/3+1)</x:f>
        <x:v>1</x:v>
      </x:c>
      <x:c r="D1332" t="str">
        <x:v>p</x:v>
      </x:c>
      <x:c r="E1332" t="str">
        <x:v>https://www.webonary.org/marubo/g1333f128-5508-49e0-be95-d60bdd7b9790/</x:v>
      </x:c>
      <x:c r="F1332" t="str">
        <x:v>g2df46848-083f-4704-bfed-aeb18fa1e47f</x:v>
      </x:c>
      <x:c r="G1332" s="20" t="n">
        <x:v>46003.93494626157</x:v>
      </x:c>
    </x:row>
    <x:row r="1333">
      <x:c r="A1333" s="18" t="str">
        <x:v>pendurar (rede)</x:v>
      </x:c>
      <x:c r="B1333" s="18" t="str">
        <x:v>txiwa | 2</x:v>
      </x:c>
      <x:c r="C1333" s="19" t="n">
        <x:f>IF(B1333="",0,(LEN(B1333)-LEN(SUBSTITUTE(B1333," | ","")))/3+1)</x:f>
        <x:v>2</x:v>
      </x:c>
      <x:c r="D1333" t="str">
        <x:v>p</x:v>
      </x:c>
      <x:c r="E1333" t="str">
        <x:v>https://www.webonary.org/marubo/ge4d2457d-cc88-42fc-8148-f5f2d8b536f7/</x:v>
      </x:c>
      <x:c r="F1333" t="str">
        <x:v>gec7850fc-2f20-4207-9d0c-4d871e57b1d9</x:v>
      </x:c>
      <x:c r="G1333" s="20" t="n">
        <x:v>46003.93494626157</x:v>
      </x:c>
    </x:row>
    <x:row r="1334">
      <x:c r="A1334" s="18" t="str">
        <x:v>peneirar</x:v>
      </x:c>
      <x:c r="B1334" s="18" t="str">
        <x:v>toa | 1</x:v>
      </x:c>
      <x:c r="C1334" s="19" t="n">
        <x:f>IF(B1334="",0,(LEN(B1334)-LEN(SUBSTITUTE(B1334," | ","")))/3+1)</x:f>
        <x:v>2</x:v>
      </x:c>
      <x:c r="D1334" t="str">
        <x:v>p</x:v>
      </x:c>
      <x:c r="E1334" t="str">
        <x:v>https://www.webonary.org/marubo/g13fb310d-1631-4318-8bb7-fc11304f46d9/</x:v>
      </x:c>
      <x:c r="F1334" t="str">
        <x:v>gf69006a2-966c-4744-8252-343370a4a109</x:v>
      </x:c>
      <x:c r="G1334" s="20" t="n">
        <x:v>46003.93494626157</x:v>
      </x:c>
    </x:row>
    <x:row r="1335">
      <x:c r="A1335" s="18" t="str">
        <x:v>pênis</x:v>
      </x:c>
      <x:c r="B1335" s="18" t="str">
        <x:v>ina</x:v>
      </x:c>
      <x:c r="C1335" s="19" t="n">
        <x:f>IF(B1335="",0,(LEN(B1335)-LEN(SUBSTITUTE(B1335," | ","")))/3+1)</x:f>
        <x:v>1</x:v>
      </x:c>
      <x:c r="D1335" t="str">
        <x:v>p</x:v>
      </x:c>
      <x:c r="E1335" t="str">
        <x:v>https://www.webonary.org/marubo/g9d7e3cce-9195-4248-bb50-6f82dacae948/</x:v>
      </x:c>
      <x:c r="F1335" t="str">
        <x:v>gbb1b8240-131a-4419-9b4b-5f49fca750ef</x:v>
      </x:c>
      <x:c r="G1335" s="20" t="n">
        <x:v>46003.93494626157</x:v>
      </x:c>
    </x:row>
    <x:row r="1336">
      <x:c r="A1336" s="18" t="str">
        <x:v>pensamento</x:v>
      </x:c>
      <x:c r="B1336" s="18" t="str">
        <x:v>aavĩ</x:v>
      </x:c>
      <x:c r="C1336" s="19" t="n">
        <x:f>IF(B1336="",0,(LEN(B1336)-LEN(SUBSTITUTE(B1336," | ","")))/3+1)</x:f>
        <x:v>1</x:v>
      </x:c>
      <x:c r="D1336" t="str">
        <x:v>p</x:v>
      </x:c>
      <x:c r="E1336" t="str">
        <x:v>https://www.webonary.org/marubo/g238259e8-b4b0-4468-9dc4-9a48eaebff4e/</x:v>
      </x:c>
      <x:c r="F1336" t="str">
        <x:v>gcd0db48c-5ade-402f-b74c-8038ad9ed5b7</x:v>
      </x:c>
      <x:c r="G1336" s="20" t="n">
        <x:v>46003.93494626157</x:v>
      </x:c>
    </x:row>
    <x:row r="1337">
      <x:c r="A1337" s="18" t="str">
        <x:v>pensar</x:v>
      </x:c>
      <x:c r="B1337" s="18" t="str">
        <x:v>chinã | 2</x:v>
      </x:c>
      <x:c r="C1337" s="19" t="n">
        <x:f>IF(B1337="",0,(LEN(B1337)-LEN(SUBSTITUTE(B1337," | ","")))/3+1)</x:f>
        <x:v>2</x:v>
      </x:c>
      <x:c r="D1337" t="str">
        <x:v>p</x:v>
      </x:c>
      <x:c r="E1337" t="str">
        <x:v>https://www.webonary.org/marubo/g761c0e08-6d89-4865-94a9-1f8f577ffe7e/</x:v>
      </x:c>
      <x:c r="F1337" t="str">
        <x:v>g4b8363b8-8014-48d8-89e7-36ebe0617d87</x:v>
      </x:c>
      <x:c r="G1337" s="20" t="n">
        <x:v>46003.93494626157</x:v>
      </x:c>
    </x:row>
    <x:row r="1338">
      <x:c r="A1338" s="18" t="str">
        <x:v>pente (tradicional)</x:v>
      </x:c>
      <x:c r="B1338" s="18" t="str">
        <x:v>voshti</x:v>
      </x:c>
      <x:c r="C1338" s="19" t="n">
        <x:f>IF(B1338="",0,(LEN(B1338)-LEN(SUBSTITUTE(B1338," | ","")))/3+1)</x:f>
        <x:v>1</x:v>
      </x:c>
      <x:c r="D1338" t="str">
        <x:v>p</x:v>
      </x:c>
      <x:c r="E1338" t="str">
        <x:v>https://www.webonary.org/marubo/gc955170c-2443-4989-80bb-2dedcc113b72/</x:v>
      </x:c>
      <x:c r="F1338" t="str">
        <x:v>g3dd5c56a-8c9b-4dfe-b61b-d4f3b04022aa</x:v>
      </x:c>
      <x:c r="G1338" s="20" t="n">
        <x:v>46003.93494626157</x:v>
      </x:c>
    </x:row>
    <x:row r="1339">
      <x:c r="A1339" s="18" t="str">
        <x:v>pentear</x:v>
      </x:c>
      <x:c r="B1339" s="18" t="str">
        <x:v>iti aká</x:v>
      </x:c>
      <x:c r="C1339" s="19" t="n">
        <x:f>IF(B1339="",0,(LEN(B1339)-LEN(SUBSTITUTE(B1339," | ","")))/3+1)</x:f>
        <x:v>1</x:v>
      </x:c>
      <x:c r="D1339" t="str">
        <x:v>p</x:v>
      </x:c>
      <x:c r="E1339" t="str">
        <x:v>https://www.webonary.org/marubo/g7a809d72-afbd-47d8-9c81-429e32a7208f/</x:v>
      </x:c>
      <x:c r="F1339" t="str">
        <x:v>gfab43441-ad8e-425e-94d4-60afff8314b2</x:v>
      </x:c>
      <x:c r="G1339" s="20" t="n">
        <x:v>46003.93494626157</x:v>
      </x:c>
    </x:row>
    <x:row r="1340">
      <x:c r="A1340" s="18" t="str">
        <x:v>pequeno</x:v>
      </x:c>
      <x:c r="B1340" s="18" t="str">
        <x:v>potochta | ichtócha</x:v>
      </x:c>
      <x:c r="C1340" s="19" t="n">
        <x:f>IF(B1340="",0,(LEN(B1340)-LEN(SUBSTITUTE(B1340," | ","")))/3+1)</x:f>
        <x:v>2</x:v>
      </x:c>
      <x:c r="D1340" t="str">
        <x:v>p</x:v>
      </x:c>
      <x:c r="E1340" t="str">
        <x:v>https://www.webonary.org/marubo/g3f61e649-9b74-4bf0-b871-68963d5dd3c6/</x:v>
      </x:c>
      <x:c r="F1340" t="str">
        <x:v>g1ebeacaf-cf15-4df2-afd6-582e2f0308fd</x:v>
      </x:c>
      <x:c r="G1340" s="20" t="n">
        <x:v>46003.93494626157</x:v>
      </x:c>
    </x:row>
    <x:row r="1341">
      <x:c r="A1341" s="18" t="str">
        <x:v>perder</x:v>
      </x:c>
      <x:c r="B1341" s="18" t="str">
        <x:v>õtxía</x:v>
      </x:c>
      <x:c r="C1341" s="19" t="n">
        <x:f>IF(B1341="",0,(LEN(B1341)-LEN(SUBSTITUTE(B1341," | ","")))/3+1)</x:f>
        <x:v>1</x:v>
      </x:c>
      <x:c r="D1341" t="str">
        <x:v>p</x:v>
      </x:c>
      <x:c r="E1341" t="str">
        <x:v>https://www.webonary.org/marubo/g91818649-8df4-4be0-91d3-94ed841473fa/</x:v>
      </x:c>
      <x:c r="F1341" t="str">
        <x:v>g710b51b2-d70d-4790-9bf9-f578529bab58</x:v>
      </x:c>
      <x:c r="G1341" s="20" t="n">
        <x:v>46003.93494626157</x:v>
      </x:c>
    </x:row>
    <x:row r="1342">
      <x:c r="A1342" s="18" t="str">
        <x:v>periquito</x:v>
      </x:c>
      <x:c r="B1342" s="18" t="str">
        <x:v>tõchi | 1 | sheshe | voré pichĩ | txoke | vero pichĩ</x:v>
      </x:c>
      <x:c r="C1342" s="19" t="n">
        <x:f>IF(B1342="",0,(LEN(B1342)-LEN(SUBSTITUTE(B1342," | ","")))/3+1)</x:f>
        <x:v>6</x:v>
      </x:c>
      <x:c r="D1342" t="str">
        <x:v>p</x:v>
      </x:c>
      <x:c r="E1342" t="str">
        <x:v>https://www.webonary.org/marubo/g7995bc60-4afc-45ab-a801-2a3c2fa6d559/</x:v>
      </x:c>
      <x:c r="F1342" t="str">
        <x:v>ga5035c66-a039-4aed-a11d-f7dfff3db95b</x:v>
      </x:c>
      <x:c r="G1342" s="20" t="n">
        <x:v>46003.93494626157</x:v>
      </x:c>
    </x:row>
    <x:row r="1343">
      <x:c r="A1343" s="18" t="str">
        <x:v>PERM</x:v>
      </x:c>
      <x:c r="B1343" s="18" t="str">
        <x:v>-pa | 3</x:v>
      </x:c>
      <x:c r="C1343" s="19" t="n">
        <x:f>IF(B1343="",0,(LEN(B1343)-LEN(SUBSTITUTE(B1343," | ","")))/3+1)</x:f>
        <x:v>2</x:v>
      </x:c>
      <x:c r="D1343" t="str">
        <x:v>p</x:v>
      </x:c>
      <x:c r="E1343" t="str">
        <x:v>https://www.webonary.org/marubo/gf0ddf642-ed44-461f-83e0-baa11e6d1b15/</x:v>
      </x:c>
      <x:c r="F1343" t="str">
        <x:v>g50a982e8-f0dd-4d2e-a5e2-0c84f4a12859</x:v>
      </x:c>
      <x:c r="G1343" s="20" t="n">
        <x:v>46003.93494626157</x:v>
      </x:c>
    </x:row>
    <x:row r="1344">
      <x:c r="A1344" s="18" t="str">
        <x:v>perna de pau</x:v>
      </x:c>
      <x:c r="B1344" s="18" t="str">
        <x:v>atxáti</x:v>
      </x:c>
      <x:c r="C1344" s="19" t="n">
        <x:f>IF(B1344="",0,(LEN(B1344)-LEN(SUBSTITUTE(B1344," | ","")))/3+1)</x:f>
        <x:v>1</x:v>
      </x:c>
      <x:c r="D1344" t="str">
        <x:v>p</x:v>
      </x:c>
      <x:c r="E1344" t="str">
        <x:v>https://www.webonary.org/marubo/g9a0b3f0a-ed5b-4944-84bc-4f96ec484cc5/</x:v>
      </x:c>
      <x:c r="F1344" t="str">
        <x:v>g40f1d1ce-22b3-4484-97cc-061cc7e20827</x:v>
      </x:c>
      <x:c r="G1344" s="20" t="n">
        <x:v>46003.93494626157</x:v>
      </x:c>
    </x:row>
    <x:row r="1345">
      <x:c r="A1345" s="18" t="str">
        <x:v>perna)</x:v>
      </x:c>
      <x:c r="B1345" s="18" t="str">
        <x:v>tsã ikí</x:v>
      </x:c>
      <x:c r="C1345" s="19" t="n">
        <x:f>IF(B1345="",0,(LEN(B1345)-LEN(SUBSTITUTE(B1345," | ","")))/3+1)</x:f>
        <x:v>1</x:v>
      </x:c>
      <x:c r="D1345" t="str">
        <x:v>p</x:v>
      </x:c>
      <x:c r="E1345" t="str">
        <x:v>https://www.webonary.org/marubo/g1691e615-b395-4145-a407-6647ca5c2ead/</x:v>
      </x:c>
      <x:c r="F1345" t="str">
        <x:v>gd2f67009-4510-4092-8bb1-5382a5adb7f1</x:v>
      </x:c>
      <x:c r="G1345" s="20" t="n">
        <x:v>46003.93494626157</x:v>
      </x:c>
    </x:row>
    <x:row r="1346">
      <x:c r="A1346" s="18" t="str">
        <x:v>perto</x:v>
      </x:c>
      <x:c r="B1346" s="18" t="str">
        <x:v>orama</x:v>
      </x:c>
      <x:c r="C1346" s="19" t="n">
        <x:f>IF(B1346="",0,(LEN(B1346)-LEN(SUBSTITUTE(B1346," | ","")))/3+1)</x:f>
        <x:v>1</x:v>
      </x:c>
      <x:c r="D1346" t="str">
        <x:v>p</x:v>
      </x:c>
      <x:c r="E1346" t="str">
        <x:v>https://www.webonary.org/marubo/g15a9190b-846d-4a77-b596-4fcc3aad5422/</x:v>
      </x:c>
      <x:c r="F1346" t="str">
        <x:v>g4d0fce00-9376-4e9c-8d2c-c597e9e28509</x:v>
      </x:c>
      <x:c r="G1346" s="20" t="n">
        <x:v>46003.93494626157</x:v>
      </x:c>
    </x:row>
    <x:row r="1347">
      <x:c r="A1347" s="18" t="str">
        <x:v>perto do topo</x:v>
      </x:c>
      <x:c r="B1347" s="18" t="str">
        <x:v>teréshka</x:v>
      </x:c>
      <x:c r="C1347" s="19" t="n">
        <x:f>IF(B1347="",0,(LEN(B1347)-LEN(SUBSTITUTE(B1347," | ","")))/3+1)</x:f>
        <x:v>1</x:v>
      </x:c>
      <x:c r="D1347" t="str">
        <x:v>p</x:v>
      </x:c>
      <x:c r="E1347" t="str">
        <x:v>https://www.webonary.org/marubo/ge366d5d1-5194-4785-be2b-762fbeadbe70/</x:v>
      </x:c>
      <x:c r="F1347" t="str">
        <x:v>ge64177e2-aa1c-4829-bb20-5d33cf008721</x:v>
      </x:c>
      <x:c r="G1347" s="20" t="n">
        <x:v>46003.93494626157</x:v>
      </x:c>
    </x:row>
    <x:row r="1348">
      <x:c r="A1348" s="18" t="str">
        <x:v>pesadelo</x:v>
      </x:c>
      <x:c r="B1348" s="18" t="str">
        <x:v>namá ichná</x:v>
      </x:c>
      <x:c r="C1348" s="19" t="n">
        <x:f>IF(B1348="",0,(LEN(B1348)-LEN(SUBSTITUTE(B1348," | ","")))/3+1)</x:f>
        <x:v>1</x:v>
      </x:c>
      <x:c r="D1348" t="str">
        <x:v>p</x:v>
      </x:c>
      <x:c r="E1348" t="str">
        <x:v>https://www.webonary.org/marubo/ge28e7bec-a462-4d29-9e76-22d69b3624fc/</x:v>
      </x:c>
      <x:c r="F1348" t="str">
        <x:v>g21767193-ceed-4293-83d3-f15a26b666c4</x:v>
      </x:c>
      <x:c r="G1348" s="20" t="n">
        <x:v>46003.93494626157</x:v>
      </x:c>
    </x:row>
    <x:row r="1349">
      <x:c r="A1349" s="18" t="str">
        <x:v>pesado</x:v>
      </x:c>
      <x:c r="B1349" s="18" t="str">
        <x:v>eweka</x:v>
      </x:c>
      <x:c r="C1349" s="19" t="n">
        <x:f>IF(B1349="",0,(LEN(B1349)-LEN(SUBSTITUTE(B1349," | ","")))/3+1)</x:f>
        <x:v>1</x:v>
      </x:c>
      <x:c r="D1349" t="str">
        <x:v>p</x:v>
      </x:c>
      <x:c r="E1349" t="str">
        <x:v>https://www.webonary.org/marubo/gb5edfe73-0d26-43d7-a0a7-b910d9f1ee61/</x:v>
      </x:c>
      <x:c r="F1349" t="str">
        <x:v>gc03c99f0-b42a-42d5-bd77-952b40527ba9</x:v>
      </x:c>
      <x:c r="G1349" s="20" t="n">
        <x:v>46003.93494626157</x:v>
      </x:c>
    </x:row>
    <x:row r="1350">
      <x:c r="A1350" s="18" t="str">
        <x:v>pescoço</x:v>
      </x:c>
      <x:c r="B1350" s="18" t="str">
        <x:v>tetxíchi | tepõ</x:v>
      </x:c>
      <x:c r="C1350" s="19" t="n">
        <x:f>IF(B1350="",0,(LEN(B1350)-LEN(SUBSTITUTE(B1350," | ","")))/3+1)</x:f>
        <x:v>2</x:v>
      </x:c>
      <x:c r="D1350" t="str">
        <x:v>p</x:v>
      </x:c>
      <x:c r="E1350" t="str">
        <x:v>https://www.webonary.org/marubo/g7521f25d-0dd1-4c67-9f36-b82e336ef5a1/</x:v>
      </x:c>
      <x:c r="F1350" t="str">
        <x:v>gbc950a39-ece7-4887-b784-099011b4d6a0</x:v>
      </x:c>
      <x:c r="G1350" s="20" t="n">
        <x:v>46003.93494626157</x:v>
      </x:c>
    </x:row>
    <x:row r="1351">
      <x:c r="A1351" s="18" t="str">
        <x:v>pessoa</x:v>
      </x:c>
      <x:c r="B1351" s="18" t="str">
        <x:v>yora</x:v>
      </x:c>
      <x:c r="C1351" s="19" t="n">
        <x:f>IF(B1351="",0,(LEN(B1351)-LEN(SUBSTITUTE(B1351," | ","")))/3+1)</x:f>
        <x:v>1</x:v>
      </x:c>
      <x:c r="D1351" t="str">
        <x:v>p</x:v>
      </x:c>
      <x:c r="E1351" t="str">
        <x:v>https://www.webonary.org/marubo/g3499d81a-1225-43ca-b49a-a281d0f50037/</x:v>
      </x:c>
      <x:c r="F1351" t="str">
        <x:v>ge5db7db4-1588-4f3b-ab85-7bcf984ba3e6</x:v>
      </x:c>
      <x:c r="G1351" s="20" t="n">
        <x:v>46003.93494626157</x:v>
      </x:c>
    </x:row>
    <x:row r="1352">
      <x:c r="A1352" s="18" t="str">
        <x:v>pessoa muito velha</x:v>
      </x:c>
      <x:c r="B1352" s="18" t="str">
        <x:v>txipã</x:v>
      </x:c>
      <x:c r="C1352" s="19" t="n">
        <x:f>IF(B1352="",0,(LEN(B1352)-LEN(SUBSTITUTE(B1352," | ","")))/3+1)</x:f>
        <x:v>1</x:v>
      </x:c>
      <x:c r="D1352" t="str">
        <x:v>p</x:v>
      </x:c>
      <x:c r="E1352" t="str">
        <x:v>https://www.webonary.org/marubo/g02df7063-14b8-41a3-8d4a-2b66f872e5b9/</x:v>
      </x:c>
      <x:c r="F1352" t="str">
        <x:v>g81d91aba-1ad5-448b-b053-bb60a3ef551a</x:v>
      </x:c>
      <x:c r="G1352" s="20" t="n">
        <x:v>46003.93494626157</x:v>
      </x:c>
    </x:row>
    <x:row r="1353">
      <x:c r="A1353" s="18" t="str">
        <x:v>pessoa solitária</x:v>
      </x:c>
      <x:c r="B1353" s="18" t="str">
        <x:v>wesnáka</x:v>
      </x:c>
      <x:c r="C1353" s="19" t="n">
        <x:f>IF(B1353="",0,(LEN(B1353)-LEN(SUBSTITUTE(B1353," | ","")))/3+1)</x:f>
        <x:v>1</x:v>
      </x:c>
      <x:c r="D1353" t="str">
        <x:v>p</x:v>
      </x:c>
      <x:c r="E1353" t="str">
        <x:v>https://www.webonary.org/marubo/ge1ed9598-5000-429f-b0ff-ef512894c975/</x:v>
      </x:c>
      <x:c r="F1353" t="str">
        <x:v>gc20fc5c3-85d6-46da-86a5-8d953d65068e</x:v>
      </x:c>
      <x:c r="G1353" s="20" t="n">
        <x:v>46003.93494626157</x:v>
      </x:c>
    </x:row>
    <x:row r="1354">
      <x:c r="A1354" s="18" t="str">
        <x:v>piau</x:v>
      </x:c>
      <x:c r="B1354" s="18" t="str">
        <x:v>vatõ</x:v>
      </x:c>
      <x:c r="C1354" s="19" t="n">
        <x:f>IF(B1354="",0,(LEN(B1354)-LEN(SUBSTITUTE(B1354," | ","")))/3+1)</x:f>
        <x:v>1</x:v>
      </x:c>
      <x:c r="D1354" t="str">
        <x:v>p</x:v>
      </x:c>
      <x:c r="E1354" t="str">
        <x:v>https://www.webonary.org/marubo/g4702532a-167f-4fa2-b34c-a8d9b9fbee09/</x:v>
      </x:c>
      <x:c r="F1354" t="str">
        <x:v>g1150d409-b534-46fe-ab1c-8a2590be1371</x:v>
      </x:c>
      <x:c r="G1354" s="20" t="n">
        <x:v>46003.93494626157</x:v>
      </x:c>
    </x:row>
    <x:row r="1355">
      <x:c r="A1355" s="18" t="str">
        <x:v>picada de pium</x:v>
      </x:c>
      <x:c r="B1355" s="18" t="str">
        <x:v>chiõ piá</x:v>
      </x:c>
      <x:c r="C1355" s="19" t="n">
        <x:f>IF(B1355="",0,(LEN(B1355)-LEN(SUBSTITUTE(B1355," | ","")))/3+1)</x:f>
        <x:v>1</x:v>
      </x:c>
      <x:c r="D1355" t="str">
        <x:v>p</x:v>
      </x:c>
      <x:c r="E1355" t="str">
        <x:v>https://www.webonary.org/marubo/gb5d06f6e-6fa8-4754-8c19-d11c428d388c/</x:v>
      </x:c>
      <x:c r="F1355" t="str">
        <x:v>gee222518-468a-4ded-89f6-52fc4b7d38cc</x:v>
      </x:c>
      <x:c r="G1355" s="20" t="n">
        <x:v>46003.93494626157</x:v>
      </x:c>
    </x:row>
    <x:row r="1356">
      <x:c r="A1356" s="18" t="str">
        <x:v>pica-pau</x:v>
      </x:c>
      <x:c r="B1356" s="18" t="str">
        <x:v>voĩ | 1</x:v>
      </x:c>
      <x:c r="C1356" s="19" t="n">
        <x:f>IF(B1356="",0,(LEN(B1356)-LEN(SUBSTITUTE(B1356," | ","")))/3+1)</x:f>
        <x:v>2</x:v>
      </x:c>
      <x:c r="D1356" t="str">
        <x:v>p</x:v>
      </x:c>
      <x:c r="E1356" t="str">
        <x:v>https://www.webonary.org/marubo/g78d97d2c-4dd5-4a8d-ac0a-cddc02298363/</x:v>
      </x:c>
      <x:c r="F1356" t="str">
        <x:v>gff1fcf49-34b1-4835-b464-f388631345aa</x:v>
      </x:c>
      <x:c r="G1356" s="20" t="n">
        <x:v>46003.9349546875</x:v>
      </x:c>
    </x:row>
    <x:row r="1357">
      <x:c r="A1357" s="18" t="str">
        <x:v>picar peixe</x:v>
      </x:c>
      <x:c r="B1357" s="18" t="str">
        <x:v>setea</x:v>
      </x:c>
      <x:c r="C1357" s="19" t="n">
        <x:f>IF(B1357="",0,(LEN(B1357)-LEN(SUBSTITUTE(B1357," | ","")))/3+1)</x:f>
        <x:v>1</x:v>
      </x:c>
      <x:c r="D1357" t="str">
        <x:v>p</x:v>
      </x:c>
      <x:c r="E1357" t="str">
        <x:v>https://www.webonary.org/marubo/g8e301de4-bc6f-4db0-a07e-a3c9f4538091/</x:v>
      </x:c>
      <x:c r="F1357" t="str">
        <x:v>gf7556317-dfdd-43a6-9af6-f33a00fc04a2</x:v>
      </x:c>
      <x:c r="G1357" s="20" t="n">
        <x:v>46003.9349546875</x:v>
      </x:c>
    </x:row>
    <x:row r="1358">
      <x:c r="A1358" s="18" t="str">
        <x:v>PICO</x:v>
      </x:c>
      <x:c r="B1358" s="18" t="str">
        <x:v>oĩtá</x:v>
      </x:c>
      <x:c r="C1358" s="19" t="n">
        <x:f>IF(B1358="",0,(LEN(B1358)-LEN(SUBSTITUTE(B1358," | ","")))/3+1)</x:f>
        <x:v>1</x:v>
      </x:c>
      <x:c r="D1358" t="str">
        <x:v>p</x:v>
      </x:c>
      <x:c r="E1358" t="str">
        <x:v>https://www.webonary.org/marubo/g4dcee0d3-6ea5-49a1-8728-da8b2d8c828e/</x:v>
      </x:c>
      <x:c r="F1358" t="str">
        <x:v>ga13d92fa-41b4-4eca-ab5e-36f20e50b9d8</x:v>
      </x:c>
      <x:c r="G1358" s="20" t="n">
        <x:v>46003.9349546875</x:v>
      </x:c>
    </x:row>
    <x:row r="1359">
      <x:c r="A1359" s="18" t="str">
        <x:v>pilha</x:v>
      </x:c>
      <x:c r="B1359" s="18" t="str">
        <x:v>amo eshe</x:v>
      </x:c>
      <x:c r="C1359" s="19" t="n">
        <x:f>IF(B1359="",0,(LEN(B1359)-LEN(SUBSTITUTE(B1359," | ","")))/3+1)</x:f>
        <x:v>1</x:v>
      </x:c>
      <x:c r="D1359" t="str">
        <x:v>p</x:v>
      </x:c>
      <x:c r="E1359" t="str">
        <x:v>https://www.webonary.org/marubo/gde34483d-803c-4434-a406-e6d35c7b30c5/</x:v>
      </x:c>
      <x:c r="F1359" t="str">
        <x:v>g2337ffa8-c43b-4ccb-8e49-11d8832538f8</x:v>
      </x:c>
      <x:c r="G1359" s="20" t="n">
        <x:v>46003.9349546875</x:v>
      </x:c>
    </x:row>
    <x:row r="1360">
      <x:c r="A1360" s="18" t="str">
        <x:v>pimenta</x:v>
      </x:c>
      <x:c r="B1360" s="18" t="str">
        <x:v>yotxi</x:v>
      </x:c>
      <x:c r="C1360" s="19" t="n">
        <x:f>IF(B1360="",0,(LEN(B1360)-LEN(SUBSTITUTE(B1360," | ","")))/3+1)</x:f>
        <x:v>1</x:v>
      </x:c>
      <x:c r="D1360" t="str">
        <x:v>p</x:v>
      </x:c>
      <x:c r="E1360" t="str">
        <x:v>https://www.webonary.org/marubo/g95ad1957-d597-40d0-8e66-7bd4b6d935a8/</x:v>
      </x:c>
      <x:c r="F1360" t="str">
        <x:v>g1e39eac1-ef84-4509-877c-8a8c225fc5f2</x:v>
      </x:c>
      <x:c r="G1360" s="20" t="n">
        <x:v>46003.9349546875</x:v>
      </x:c>
    </x:row>
    <x:row r="1361">
      <x:c r="A1361" s="18" t="str">
        <x:v>pingar</x:v>
      </x:c>
      <x:c r="B1361" s="18" t="str">
        <x:v>tois ikí</x:v>
      </x:c>
      <x:c r="C1361" s="19" t="n">
        <x:f>IF(B1361="",0,(LEN(B1361)-LEN(SUBSTITUTE(B1361," | ","")))/3+1)</x:f>
        <x:v>1</x:v>
      </x:c>
      <x:c r="D1361" t="str">
        <x:v>p</x:v>
      </x:c>
      <x:c r="E1361" t="str">
        <x:v>https://www.webonary.org/marubo/g08f0f906-3fcc-4a8e-9c8b-c33802d61d68/</x:v>
      </x:c>
      <x:c r="F1361" t="str">
        <x:v>gd3e4d1b1-a5dc-420a-886d-370164e4717d</x:v>
      </x:c>
      <x:c r="G1361" s="20" t="n">
        <x:v>46003.9349546875</x:v>
      </x:c>
    </x:row>
    <x:row r="1362">
      <x:c r="A1362" s="18" t="str">
        <x:v>pintado</x:v>
      </x:c>
      <x:c r="B1362" s="18" t="str">
        <x:v>aseka</x:v>
      </x:c>
      <x:c r="C1362" s="19" t="n">
        <x:f>IF(B1362="",0,(LEN(B1362)-LEN(SUBSTITUTE(B1362," | ","")))/3+1)</x:f>
        <x:v>1</x:v>
      </x:c>
      <x:c r="D1362" t="str">
        <x:v>p</x:v>
      </x:c>
      <x:c r="E1362" t="str">
        <x:v>https://www.webonary.org/marubo/g3df01a56-8699-4b63-b3d9-85ab3c89e770/</x:v>
      </x:c>
      <x:c r="F1362" t="str">
        <x:v>g16f51f7d-7146-49a6-8ce6-759f40121f90</x:v>
      </x:c>
      <x:c r="G1362" s="20" t="n">
        <x:v>46003.9349546875</x:v>
      </x:c>
    </x:row>
    <x:row r="1363">
      <x:c r="A1363" s="18" t="str">
        <x:v>pintar na boca</x:v>
      </x:c>
      <x:c r="B1363" s="18" t="str">
        <x:v>ãpósh mea</x:v>
      </x:c>
      <x:c r="C1363" s="19" t="n">
        <x:f>IF(B1363="",0,(LEN(B1363)-LEN(SUBSTITUTE(B1363," | ","")))/3+1)</x:f>
        <x:v>1</x:v>
      </x:c>
      <x:c r="D1363" t="str">
        <x:v>p</x:v>
      </x:c>
      <x:c r="E1363" t="str">
        <x:v>https://www.webonary.org/marubo/g4b16542a-a314-4291-bea9-ed2e1303100f/</x:v>
      </x:c>
      <x:c r="F1363" t="str">
        <x:v>g98b8e7a4-b200-4f28-9a43-754fd3fdf13c</x:v>
      </x:c>
      <x:c r="G1363" s="20" t="n">
        <x:v>46003.9349546875</x:v>
      </x:c>
    </x:row>
    <x:row r="1364">
      <x:c r="A1364" s="18" t="str">
        <x:v>piolho</x:v>
      </x:c>
      <x:c r="B1364" s="18" t="str">
        <x:v>ia | 1</x:v>
      </x:c>
      <x:c r="C1364" s="19" t="n">
        <x:f>IF(B1364="",0,(LEN(B1364)-LEN(SUBSTITUTE(B1364," | ","")))/3+1)</x:f>
        <x:v>2</x:v>
      </x:c>
      <x:c r="D1364" t="str">
        <x:v>p</x:v>
      </x:c>
      <x:c r="E1364" t="str">
        <x:v>https://www.webonary.org/marubo/g38a25cdf-df8a-4938-980a-79ce935b18c2/</x:v>
      </x:c>
      <x:c r="F1364" t="str">
        <x:v>gd728afd0-53de-43f8-ba4b-27925bf27e38</x:v>
      </x:c>
      <x:c r="G1364" s="20" t="n">
        <x:v>46003.9349546875</x:v>
      </x:c>
    </x:row>
    <x:row r="1365">
      <x:c r="A1365" s="18" t="str">
        <x:v>piranha</x:v>
      </x:c>
      <x:c r="B1365" s="18" t="str">
        <x:v>voo tashõti | make</x:v>
      </x:c>
      <x:c r="C1365" s="19" t="n">
        <x:f>IF(B1365="",0,(LEN(B1365)-LEN(SUBSTITUTE(B1365," | ","")))/3+1)</x:f>
        <x:v>2</x:v>
      </x:c>
      <x:c r="D1365" t="str">
        <x:v>p</x:v>
      </x:c>
      <x:c r="E1365" t="str">
        <x:v>https://www.webonary.org/marubo/g6db46bdb-15f1-48a9-9398-92d3437e21df/</x:v>
      </x:c>
      <x:c r="F1365" t="str">
        <x:v>gfac64246-2318-4a02-bbe1-3e0d489e77c8</x:v>
      </x:c>
      <x:c r="G1365" s="20" t="n">
        <x:v>46003.9349546875</x:v>
      </x:c>
    </x:row>
    <x:row r="1366">
      <x:c r="A1366" s="18" t="str">
        <x:v>pisar</x:v>
      </x:c>
      <x:c r="B1366" s="18" t="str">
        <x:v>paia</x:v>
      </x:c>
      <x:c r="C1366" s="19" t="n">
        <x:f>IF(B1366="",0,(LEN(B1366)-LEN(SUBSTITUTE(B1366," | ","")))/3+1)</x:f>
        <x:v>1</x:v>
      </x:c>
      <x:c r="D1366" t="str">
        <x:v>p</x:v>
      </x:c>
      <x:c r="E1366" t="str">
        <x:v>https://www.webonary.org/marubo/gd580397c-3d21-4972-a164-11b8a76a4349/</x:v>
      </x:c>
      <x:c r="F1366" t="str">
        <x:v>gba5869df-0976-406a-bee6-d773a115f330</x:v>
      </x:c>
      <x:c r="G1366" s="20" t="n">
        <x:v>46003.9349546875</x:v>
      </x:c>
    </x:row>
    <x:row r="1367">
      <x:c r="A1367" s="18" t="str">
        <x:v>piscar</x:v>
      </x:c>
      <x:c r="B1367" s="18" t="str">
        <x:v>vetso ikí</x:v>
      </x:c>
      <x:c r="C1367" s="19" t="n">
        <x:f>IF(B1367="",0,(LEN(B1367)-LEN(SUBSTITUTE(B1367," | ","")))/3+1)</x:f>
        <x:v>1</x:v>
      </x:c>
      <x:c r="D1367" t="str">
        <x:v>p</x:v>
      </x:c>
      <x:c r="E1367" t="str">
        <x:v>https://www.webonary.org/marubo/ge5005b49-909c-4cf5-ae48-6fc05528e2ca/</x:v>
      </x:c>
      <x:c r="F1367" t="str">
        <x:v>gd5b5a627-7a0b-4c8e-922f-9a0e6b28674c</x:v>
      </x:c>
      <x:c r="G1367" s="20" t="n">
        <x:v>46003.9349546875</x:v>
      </x:c>
    </x:row>
    <x:row r="1368">
      <x:c r="A1368" s="18" t="str">
        <x:v>pium</x:v>
      </x:c>
      <x:c r="B1368" s="18" t="str">
        <x:v>rõ chio | chio</x:v>
      </x:c>
      <x:c r="C1368" s="19" t="n">
        <x:f>IF(B1368="",0,(LEN(B1368)-LEN(SUBSTITUTE(B1368," | ","")))/3+1)</x:f>
        <x:v>2</x:v>
      </x:c>
      <x:c r="D1368" t="str">
        <x:v>p</x:v>
      </x:c>
      <x:c r="E1368" t="str">
        <x:v>https://www.webonary.org/marubo/g3489b54c-ba27-4c71-ab79-4e25b53e929b/</x:v>
      </x:c>
      <x:c r="F1368" t="str">
        <x:v>g48416513-9c8b-45ee-981a-667b8c3ce8d0</x:v>
      </x:c>
      <x:c r="G1368" s="20" t="n">
        <x:v>46003.9349546875</x:v>
      </x:c>
    </x:row>
    <x:row r="1369">
      <x:c r="A1369" s="18" t="str">
        <x:v>PL</x:v>
      </x:c>
      <x:c r="B1369" s="18" t="str">
        <x:v>-rasĩ</x:v>
      </x:c>
      <x:c r="C1369" s="19" t="n">
        <x:f>IF(B1369="",0,(LEN(B1369)-LEN(SUBSTITUTE(B1369," | ","")))/3+1)</x:f>
        <x:v>1</x:v>
      </x:c>
      <x:c r="D1369" t="str">
        <x:v>p</x:v>
      </x:c>
      <x:c r="E1369" t="str">
        <x:v>https://www.webonary.org/marubo/gd2e402e4-4d20-4299-9446-77d2e283e815/</x:v>
      </x:c>
      <x:c r="F1369" t="str">
        <x:v>g79ac5d41-c42a-4387-892b-1e49827d3eaf</x:v>
      </x:c>
      <x:c r="G1369" s="20" t="n">
        <x:v>46003.9349546875</x:v>
      </x:c>
    </x:row>
    <x:row r="1370">
      <x:c r="A1370" s="18" t="str">
        <x:v>planta</x:v>
      </x:c>
      <x:c r="B1370" s="18" t="str">
        <x:v>vaná</x:v>
      </x:c>
      <x:c r="C1370" s="19" t="n">
        <x:f>IF(B1370="",0,(LEN(B1370)-LEN(SUBSTITUTE(B1370," | ","")))/3+1)</x:f>
        <x:v>1</x:v>
      </x:c>
      <x:c r="D1370" t="str">
        <x:v>p</x:v>
      </x:c>
      <x:c r="E1370" t="str">
        <x:v>https://www.webonary.org/marubo/g9ad04860-7fdc-4900-9a70-b71637a79600/</x:v>
      </x:c>
      <x:c r="F1370" t="str">
        <x:v>gfda0ccdb-5f26-494e-bffb-e12f5d6d2027</x:v>
      </x:c>
      <x:c r="G1370" s="20" t="n">
        <x:v>46003.9349546875</x:v>
      </x:c>
    </x:row>
    <x:row r="1371">
      <x:c r="A1371" s="18" t="str">
        <x:v>planta na beira do rio</x:v>
      </x:c>
      <x:c r="B1371" s="18" t="str">
        <x:v>kaiyõ</x:v>
      </x:c>
      <x:c r="C1371" s="19" t="n">
        <x:f>IF(B1371="",0,(LEN(B1371)-LEN(SUBSTITUTE(B1371," | ","")))/3+1)</x:f>
        <x:v>1</x:v>
      </x:c>
      <x:c r="D1371" t="str">
        <x:v>p</x:v>
      </x:c>
      <x:c r="E1371" t="str">
        <x:v>https://www.webonary.org/marubo/g557dbb74-edbd-43ff-bc0d-fdabab8530e5/</x:v>
      </x:c>
      <x:c r="F1371" t="str">
        <x:v>gef27a500-b738-42d8-8f5f-36ccaeb42a34</x:v>
      </x:c>
      <x:c r="G1371" s="20" t="n">
        <x:v>46003.9349546875</x:v>
      </x:c>
    </x:row>
    <x:row r="1372">
      <x:c r="A1372" s="18" t="str">
        <x:v>planta que produz tinta para pintar saia</x:v>
      </x:c>
      <x:c r="B1372" s="18" t="str">
        <x:v>txeshna</x:v>
      </x:c>
      <x:c r="C1372" s="19" t="n">
        <x:f>IF(B1372="",0,(LEN(B1372)-LEN(SUBSTITUTE(B1372," | ","")))/3+1)</x:f>
        <x:v>1</x:v>
      </x:c>
      <x:c r="D1372" t="str">
        <x:v>p</x:v>
      </x:c>
      <x:c r="E1372" t="str">
        <x:v>https://www.webonary.org/marubo/g5856b846-6f5b-4ba0-9363-cf793edaf91e/</x:v>
      </x:c>
      <x:c r="F1372" t="str">
        <x:v>gf372dad3-f44c-46ad-bcc9-023f51c7e305</x:v>
      </x:c>
      <x:c r="G1372" s="20" t="n">
        <x:v>46003.9349546875</x:v>
      </x:c>
    </x:row>
    <x:row r="1373">
      <x:c r="A1373" s="18" t="str">
        <x:v>planta que tem goma</x:v>
      </x:c>
      <x:c r="B1373" s="18" t="str">
        <x:v>txepe</x:v>
      </x:c>
      <x:c r="C1373" s="19" t="n">
        <x:f>IF(B1373="",0,(LEN(B1373)-LEN(SUBSTITUTE(B1373," | ","")))/3+1)</x:f>
        <x:v>1</x:v>
      </x:c>
      <x:c r="D1373" t="str">
        <x:v>p</x:v>
      </x:c>
      <x:c r="E1373" t="str">
        <x:v>https://www.webonary.org/marubo/g610fdb51-d30d-41ed-8b37-b83d0c47eb8a/</x:v>
      </x:c>
      <x:c r="F1373" t="str">
        <x:v>gd0cd3bdc-8aab-4fda-b878-7ff4a798384f</x:v>
      </x:c>
      <x:c r="G1373" s="20" t="n">
        <x:v>46003.9349546875</x:v>
      </x:c>
    </x:row>
    <x:row r="1374">
      <x:c r="A1374" s="18" t="str">
        <x:v>planta usada na caça</x:v>
      </x:c>
      <x:c r="B1374" s="18" t="str">
        <x:v>chewẽ võko</x:v>
      </x:c>
      <x:c r="C1374" s="19" t="n">
        <x:f>IF(B1374="",0,(LEN(B1374)-LEN(SUBSTITUTE(B1374," | ","")))/3+1)</x:f>
        <x:v>1</x:v>
      </x:c>
      <x:c r="D1374" t="str">
        <x:v>p</x:v>
      </x:c>
      <x:c r="E1374" t="str">
        <x:v>https://www.webonary.org/marubo/g3bbe45e1-ae41-4ad8-9796-1d3e2ac2849a/</x:v>
      </x:c>
      <x:c r="F1374" t="str">
        <x:v>gb8a3bf6e-5d3c-412c-b7ae-a606d97d2fde</x:v>
      </x:c>
      <x:c r="G1374" s="20" t="n">
        <x:v>46003.9349546875</x:v>
      </x:c>
    </x:row>
    <x:row r="1375">
      <x:c r="A1375" s="18" t="str">
        <x:v>planta usada para lavar criança</x:v>
      </x:c>
      <x:c r="B1375" s="18" t="str">
        <x:v>chekéchni yochĩn aká</x:v>
      </x:c>
      <x:c r="C1375" s="19" t="n">
        <x:f>IF(B1375="",0,(LEN(B1375)-LEN(SUBSTITUTE(B1375," | ","")))/3+1)</x:f>
        <x:v>1</x:v>
      </x:c>
      <x:c r="D1375" t="str">
        <x:v>p</x:v>
      </x:c>
      <x:c r="E1375" t="str">
        <x:v>https://www.webonary.org/marubo/gdb7d1e23-ac84-418e-9a83-ee0065fe2881/</x:v>
      </x:c>
      <x:c r="F1375" t="str">
        <x:v>g44e86205-d8a7-4c96-afc4-67904b78fb30</x:v>
      </x:c>
      <x:c r="G1375" s="20" t="n">
        <x:v>46003.9349546875</x:v>
      </x:c>
    </x:row>
    <x:row r="1376">
      <x:c r="A1376" s="18" t="str">
        <x:v>plantar</x:v>
      </x:c>
      <x:c r="B1376" s="18" t="str">
        <x:v>vana | 1</x:v>
      </x:c>
      <x:c r="C1376" s="19" t="n">
        <x:f>IF(B1376="",0,(LEN(B1376)-LEN(SUBSTITUTE(B1376," | ","")))/3+1)</x:f>
        <x:v>2</x:v>
      </x:c>
      <x:c r="D1376" t="str">
        <x:v>p</x:v>
      </x:c>
      <x:c r="E1376" t="str">
        <x:v>https://www.webonary.org/marubo/gd2063ae1-f201-49d0-9575-cecf591880b1/</x:v>
      </x:c>
      <x:c r="F1376" t="str">
        <x:v>g46a382ab-b4ae-4370-a34a-5f1856ee0179</x:v>
      </x:c>
      <x:c r="G1376" s="20" t="n">
        <x:v>46003.9349546875</x:v>
      </x:c>
    </x:row>
    <x:row r="1377">
      <x:c r="A1377" s="18" t="str">
        <x:v>pó</x:v>
      </x:c>
      <x:c r="B1377" s="18" t="str">
        <x:v>poto</x:v>
      </x:c>
      <x:c r="C1377" s="19" t="n">
        <x:f>IF(B1377="",0,(LEN(B1377)-LEN(SUBSTITUTE(B1377," | ","")))/3+1)</x:f>
        <x:v>1</x:v>
      </x:c>
      <x:c r="D1377" t="str">
        <x:v>p</x:v>
      </x:c>
      <x:c r="E1377" t="str">
        <x:v>https://www.webonary.org/marubo/g301962c9-e716-4b10-a08a-f5265dece1c7/</x:v>
      </x:c>
      <x:c r="F1377" t="str">
        <x:v>g532a1f2b-5717-426a-bab2-851ee39dc0d2</x:v>
      </x:c>
      <x:c r="G1377" s="20" t="n">
        <x:v>46003.9349546875</x:v>
      </x:c>
    </x:row>
    <x:row r="1378">
      <x:c r="A1378" s="18" t="str">
        <x:v>polícia</x:v>
      </x:c>
      <x:c r="B1378" s="18" t="str">
        <x:v>teskekáya</x:v>
      </x:c>
      <x:c r="C1378" s="19" t="n">
        <x:f>IF(B1378="",0,(LEN(B1378)-LEN(SUBSTITUTE(B1378," | ","")))/3+1)</x:f>
        <x:v>1</x:v>
      </x:c>
      <x:c r="D1378" t="str">
        <x:v>p</x:v>
      </x:c>
      <x:c r="E1378" t="str">
        <x:v>https://www.webonary.org/marubo/g76ae508c-279f-475e-a899-b8d463db34a1/</x:v>
      </x:c>
      <x:c r="F1378" t="str">
        <x:v>gf3f75c81-efe1-4484-b496-3ac678c4b3b2</x:v>
      </x:c>
      <x:c r="G1378" s="20" t="n">
        <x:v>46003.9349546875</x:v>
      </x:c>
    </x:row>
    <x:row r="1379">
      <x:c r="A1379" s="18" t="str">
        <x:v>pomba</x:v>
      </x:c>
      <x:c r="B1379" s="18" t="str">
        <x:v>noma | 2 | 1</x:v>
      </x:c>
      <x:c r="C1379" s="19" t="n">
        <x:f>IF(B1379="",0,(LEN(B1379)-LEN(SUBSTITUTE(B1379," | ","")))/3+1)</x:f>
        <x:v>3</x:v>
      </x:c>
      <x:c r="D1379" t="str">
        <x:v>p</x:v>
      </x:c>
      <x:c r="E1379" t="str">
        <x:v>https://www.webonary.org/marubo/g6458ae08-b6b7-4e3f-ac3c-674ba147ec7d/</x:v>
      </x:c>
      <x:c r="F1379" t="str">
        <x:v>gea53082b-7d9c-4874-af88-78f66185e9f7</x:v>
      </x:c>
      <x:c r="G1379" s="20" t="n">
        <x:v>46003.9349546875</x:v>
      </x:c>
    </x:row>
    <x:row r="1380">
      <x:c r="A1380" s="18" t="str">
        <x:v>pombo</x:v>
      </x:c>
      <x:c r="B1380" s="18" t="str">
        <x:v>oshko</x:v>
      </x:c>
      <x:c r="C1380" s="19" t="n">
        <x:f>IF(B1380="",0,(LEN(B1380)-LEN(SUBSTITUTE(B1380," | ","")))/3+1)</x:f>
        <x:v>1</x:v>
      </x:c>
      <x:c r="D1380" t="str">
        <x:v>p</x:v>
      </x:c>
      <x:c r="E1380" t="str">
        <x:v>https://www.webonary.org/marubo/g6b2e791f-e4ea-4187-b338-e25411b6b992/</x:v>
      </x:c>
      <x:c r="F1380" t="str">
        <x:v>g264b098e-bca4-4a01-b99d-d48e8b5db3d3</x:v>
      </x:c>
      <x:c r="G1380" s="20" t="n">
        <x:v>46003.9349546875</x:v>
      </x:c>
    </x:row>
    <x:row r="1381">
      <x:c r="A1381" s="18" t="str">
        <x:v>PONT</x:v>
      </x:c>
      <x:c r="B1381" s="18" t="str">
        <x:v>-kẽwa</x:v>
      </x:c>
      <x:c r="C1381" s="19" t="n">
        <x:f>IF(B1381="",0,(LEN(B1381)-LEN(SUBSTITUTE(B1381," | ","")))/3+1)</x:f>
        <x:v>1</x:v>
      </x:c>
      <x:c r="D1381" t="str">
        <x:v>p</x:v>
      </x:c>
      <x:c r="E1381" t="str">
        <x:v>https://www.webonary.org/marubo/gcaebaa65-7758-4ef7-b954-3a5a2c8b12b2/</x:v>
      </x:c>
      <x:c r="F1381" t="str">
        <x:v>g7ddec208-91bb-4a7a-ba06-4525ad80fee3</x:v>
      </x:c>
      <x:c r="G1381" s="20" t="n">
        <x:v>46003.9349546875</x:v>
      </x:c>
    </x:row>
    <x:row r="1382">
      <x:c r="A1382" s="18" t="str">
        <x:v>ponta dos pés</x:v>
      </x:c>
      <x:c r="B1382" s="18" t="str">
        <x:v>nashtíiná ; nachtíiná</x:v>
      </x:c>
      <x:c r="C1382" s="19" t="n">
        <x:f>IF(B1382="",0,(LEN(B1382)-LEN(SUBSTITUTE(B1382," | ","")))/3+1)</x:f>
        <x:v>1</x:v>
      </x:c>
      <x:c r="D1382" t="str">
        <x:v>p</x:v>
      </x:c>
      <x:c r="E1382" t="str">
        <x:v>https://www.webonary.org/marubo/g8180ead0-bb8c-4b02-809b-aa0fdb41c1c0/</x:v>
      </x:c>
      <x:c r="F1382" t="str">
        <x:v>gbad7ed14-dc5e-4940-b534-0d30d4b3baf7</x:v>
      </x:c>
      <x:c r="G1382" s="20" t="n">
        <x:v>46003.9349546875</x:v>
      </x:c>
    </x:row>
    <x:row r="1383">
      <x:c r="A1383" s="18" t="str">
        <x:v>ponte</x:v>
      </x:c>
      <x:c r="B1383" s="18" t="str">
        <x:v>paiti</x:v>
      </x:c>
      <x:c r="C1383" s="19" t="n">
        <x:f>IF(B1383="",0,(LEN(B1383)-LEN(SUBSTITUTE(B1383," | ","")))/3+1)</x:f>
        <x:v>1</x:v>
      </x:c>
      <x:c r="D1383" t="str">
        <x:v>p</x:v>
      </x:c>
      <x:c r="E1383" t="str">
        <x:v>https://www.webonary.org/marubo/gdab1b724-4dfb-48c0-96c3-0cdefb7bd758/</x:v>
      </x:c>
      <x:c r="F1383" t="str">
        <x:v>g73022225-0d2c-4e01-8488-5d9f4c69f07a</x:v>
      </x:c>
      <x:c r="G1383" s="20" t="n">
        <x:v>46003.9349546875</x:v>
      </x:c>
    </x:row>
    <x:row r="1384">
      <x:c r="A1384" s="18" t="str">
        <x:v>ponto de caibro</x:v>
      </x:c>
      <x:c r="B1384" s="18" t="str">
        <x:v>txitáshe</x:v>
      </x:c>
      <x:c r="C1384" s="19" t="n">
        <x:f>IF(B1384="",0,(LEN(B1384)-LEN(SUBSTITUTE(B1384," | ","")))/3+1)</x:f>
        <x:v>1</x:v>
      </x:c>
      <x:c r="D1384" t="str">
        <x:v>p</x:v>
      </x:c>
      <x:c r="E1384" t="str">
        <x:v>https://www.webonary.org/marubo/g03b09655-d7df-4884-9efc-add64a46d9cc/</x:v>
      </x:c>
      <x:c r="F1384" t="str">
        <x:v>gb2636312-4a04-4edb-a842-e71d5fa3e7d9</x:v>
      </x:c>
      <x:c r="G1384" s="20" t="n">
        <x:v>46003.9349546875</x:v>
      </x:c>
    </x:row>
    <x:row r="1385">
      <x:c r="A1385" s="18" t="str">
        <x:v>pontudo</x:v>
      </x:c>
      <x:c r="B1385" s="18" t="str">
        <x:v>kenoka</x:v>
      </x:c>
      <x:c r="C1385" s="19" t="n">
        <x:f>IF(B1385="",0,(LEN(B1385)-LEN(SUBSTITUTE(B1385," | ","")))/3+1)</x:f>
        <x:v>1</x:v>
      </x:c>
      <x:c r="D1385" t="str">
        <x:v>p</x:v>
      </x:c>
      <x:c r="E1385" t="str">
        <x:v>https://www.webonary.org/marubo/g00191842-a656-4577-9dbc-88b2a64da96d/</x:v>
      </x:c>
      <x:c r="F1385" t="str">
        <x:v>g94860ff1-94aa-4117-bb12-621e24a36cff</x:v>
      </x:c>
      <x:c r="G1385" s="20" t="n">
        <x:v>46003.9349546875</x:v>
      </x:c>
    </x:row>
    <x:row r="1386">
      <x:c r="A1386" s="18" t="str">
        <x:v>popa de canoa</x:v>
      </x:c>
      <x:c r="B1386" s="18" t="str">
        <x:v>tsisõ</x:v>
      </x:c>
      <x:c r="C1386" s="19" t="n">
        <x:f>IF(B1386="",0,(LEN(B1386)-LEN(SUBSTITUTE(B1386," | ","")))/3+1)</x:f>
        <x:v>1</x:v>
      </x:c>
      <x:c r="D1386" t="str">
        <x:v>p</x:v>
      </x:c>
      <x:c r="E1386" t="str">
        <x:v>https://www.webonary.org/marubo/g2b524e03-277d-43d3-8242-2767194798e6/</x:v>
      </x:c>
      <x:c r="F1386" t="str">
        <x:v>g732bd071-6215-4e8c-aeac-ccbc49229922</x:v>
      </x:c>
      <x:c r="G1386" s="20" t="n">
        <x:v>46003.9349546875</x:v>
      </x:c>
    </x:row>
    <x:row r="1387">
      <x:c r="A1387" s="18" t="str">
        <x:v>por em pé</x:v>
      </x:c>
      <x:c r="B1387" s="18" t="str">
        <x:v>nitxĩa</x:v>
      </x:c>
      <x:c r="C1387" s="19" t="n">
        <x:f>IF(B1387="",0,(LEN(B1387)-LEN(SUBSTITUTE(B1387," | ","")))/3+1)</x:f>
        <x:v>1</x:v>
      </x:c>
      <x:c r="D1387" t="str">
        <x:v>p</x:v>
      </x:c>
      <x:c r="E1387" t="str">
        <x:v>https://www.webonary.org/marubo/ga238d9f3-fd9a-4147-a675-c321ecfe8b15/</x:v>
      </x:c>
      <x:c r="F1387" t="str">
        <x:v>g2fbf070f-836c-4048-b761-99d3019ce145</x:v>
      </x:c>
      <x:c r="G1387" s="20" t="n">
        <x:v>46003.9349546875</x:v>
      </x:c>
    </x:row>
    <x:row r="1388">
      <x:c r="A1388" s="18" t="str">
        <x:v>por remédio</x:v>
      </x:c>
      <x:c r="B1388" s="18" t="str">
        <x:v>raõa</x:v>
      </x:c>
      <x:c r="C1388" s="19" t="n">
        <x:f>IF(B1388="",0,(LEN(B1388)-LEN(SUBSTITUTE(B1388," | ","")))/3+1)</x:f>
        <x:v>1</x:v>
      </x:c>
      <x:c r="D1388" t="str">
        <x:v>p</x:v>
      </x:c>
      <x:c r="E1388" t="str">
        <x:v>https://www.webonary.org/marubo/gdaf39324-ff1b-4b58-9578-ae0f3c5fa5f4/</x:v>
      </x:c>
      <x:c r="F1388" t="str">
        <x:v>gcf02472e-55c5-4706-8641-b69369f1c90b</x:v>
      </x:c>
      <x:c r="G1388" s="20" t="n">
        <x:v>46003.9349546875</x:v>
      </x:c>
    </x:row>
    <x:row r="1389">
      <x:c r="A1389" s="18" t="str">
        <x:v>por sentado</x:v>
      </x:c>
      <x:c r="B1389" s="18" t="str">
        <x:v>tsaõa</x:v>
      </x:c>
      <x:c r="C1389" s="19" t="n">
        <x:f>IF(B1389="",0,(LEN(B1389)-LEN(SUBSTITUTE(B1389," | ","")))/3+1)</x:f>
        <x:v>1</x:v>
      </x:c>
      <x:c r="D1389" t="str">
        <x:v>p</x:v>
      </x:c>
      <x:c r="E1389" t="str">
        <x:v>https://www.webonary.org/marubo/gaa0e337b-d61a-4980-b736-1fe6d4612087/</x:v>
      </x:c>
      <x:c r="F1389" t="str">
        <x:v>g1eb0ddfb-87f2-41de-ad2f-ef50d4017802</x:v>
      </x:c>
      <x:c r="G1389" s="20" t="n">
        <x:v>46003.9349546875</x:v>
      </x:c>
    </x:row>
    <x:row r="1390">
      <x:c r="A1390" s="18" t="str">
        <x:v>porção</x:v>
      </x:c>
      <x:c r="B1390" s="18" t="str">
        <x:v>teshea | 1</x:v>
      </x:c>
      <x:c r="C1390" s="19" t="n">
        <x:f>IF(B1390="",0,(LEN(B1390)-LEN(SUBSTITUTE(B1390," | ","")))/3+1)</x:f>
        <x:v>2</x:v>
      </x:c>
      <x:c r="D1390" t="str">
        <x:v>p</x:v>
      </x:c>
      <x:c r="E1390" t="str">
        <x:v>https://www.webonary.org/marubo/g1394b541-e043-431d-8379-8ae14bc6eb08/</x:v>
      </x:c>
      <x:c r="F1390" t="str">
        <x:v>g9b291016-50cb-4e6f-ad9d-27ac463f6ce5</x:v>
      </x:c>
      <x:c r="G1390" s="20" t="n">
        <x:v>46003.9349546875</x:v>
      </x:c>
    </x:row>
    <x:row r="1391">
      <x:c r="A1391" s="18" t="str">
        <x:v>porco</x:v>
      </x:c>
      <x:c r="B1391" s="18" t="str">
        <x:v>kotxi</x:v>
      </x:c>
      <x:c r="C1391" s="19" t="n">
        <x:f>IF(B1391="",0,(LEN(B1391)-LEN(SUBSTITUTE(B1391," | ","")))/3+1)</x:f>
        <x:v>1</x:v>
      </x:c>
      <x:c r="D1391" t="str">
        <x:v>p</x:v>
      </x:c>
      <x:c r="E1391" t="str">
        <x:v>https://www.webonary.org/marubo/gee20be64-31ab-465d-a620-12261e1fab1a/</x:v>
      </x:c>
      <x:c r="F1391" t="str">
        <x:v>gdd381a7c-e469-44b7-a279-da314bb9760c</x:v>
      </x:c>
      <x:c r="G1391" s="20" t="n">
        <x:v>46003.9349546875</x:v>
      </x:c>
    </x:row>
    <x:row r="1392">
      <x:c r="A1392" s="18" t="str">
        <x:v>porco espinho</x:v>
      </x:c>
      <x:c r="B1392" s="18" t="str">
        <x:v>isa</x:v>
      </x:c>
      <x:c r="C1392" s="19" t="n">
        <x:f>IF(B1392="",0,(LEN(B1392)-LEN(SUBSTITUTE(B1392," | ","")))/3+1)</x:f>
        <x:v>1</x:v>
      </x:c>
      <x:c r="D1392" t="str">
        <x:v>p</x:v>
      </x:c>
      <x:c r="E1392" t="str">
        <x:v>https://www.webonary.org/marubo/g0f9d1d86-bcc7-4069-86c9-3c7ffae4b30e/</x:v>
      </x:c>
      <x:c r="F1392" t="str">
        <x:v>gd69f18e9-3aa5-462e-ab93-3b86f493c47e</x:v>
      </x:c>
      <x:c r="G1392" s="20" t="n">
        <x:v>46003.9349546875</x:v>
      </x:c>
    </x:row>
    <x:row r="1393">
      <x:c r="A1393" s="18" t="str">
        <x:v>porta</x:v>
      </x:c>
      <x:c r="B1393" s="18" t="str">
        <x:v>kepoti</x:v>
      </x:c>
      <x:c r="C1393" s="19" t="n">
        <x:f>IF(B1393="",0,(LEN(B1393)-LEN(SUBSTITUTE(B1393," | ","")))/3+1)</x:f>
        <x:v>1</x:v>
      </x:c>
      <x:c r="D1393" t="str">
        <x:v>p</x:v>
      </x:c>
      <x:c r="E1393" t="str">
        <x:v>https://www.webonary.org/marubo/g0fa1da93-a438-46ba-8dad-75f555df75d0/</x:v>
      </x:c>
      <x:c r="F1393" t="str">
        <x:v>g63e59877-cf3e-4bc1-8b58-0fb2d3d77641</x:v>
      </x:c>
      <x:c r="G1393" s="20" t="n">
        <x:v>46003.9349546875</x:v>
      </x:c>
    </x:row>
    <x:row r="1394">
      <x:c r="A1394" s="18" t="str">
        <x:v>positivo</x:v>
      </x:c>
      <x:c r="B1394" s="18" t="str">
        <x:v>aase</x:v>
      </x:c>
      <x:c r="C1394" s="19" t="n">
        <x:f>IF(B1394="",0,(LEN(B1394)-LEN(SUBSTITUTE(B1394," | ","")))/3+1)</x:f>
        <x:v>1</x:v>
      </x:c>
      <x:c r="D1394" t="str">
        <x:v>p</x:v>
      </x:c>
      <x:c r="E1394" t="str">
        <x:v>https://www.webonary.org/marubo/g86cf4a32-67e7-4d6d-a09c-b1a0d6556471/</x:v>
      </x:c>
      <x:c r="F1394" t="str">
        <x:v>g55fff997-c4e5-44ad-9eb6-3b3296a03512</x:v>
      </x:c>
      <x:c r="G1394" s="20" t="n">
        <x:v>46003.9349546875</x:v>
      </x:c>
    </x:row>
    <x:row r="1395">
      <x:c r="A1395" s="18" t="str">
        <x:v>POSS</x:v>
      </x:c>
      <x:c r="B1395" s="18" t="str">
        <x:v>-ramẽ | -̃ | 3</x:v>
      </x:c>
      <x:c r="C1395" s="19" t="n">
        <x:f>IF(B1395="",0,(LEN(B1395)-LEN(SUBSTITUTE(B1395," | ","")))/3+1)</x:f>
        <x:v>3</x:v>
      </x:c>
      <x:c r="D1395" t="str">
        <x:v>p</x:v>
      </x:c>
      <x:c r="E1395" t="str">
        <x:v>https://www.webonary.org/marubo/g2ac380fc-04d2-4327-b468-318330684674/</x:v>
      </x:c>
      <x:c r="F1395" t="str">
        <x:v>g08099418-9463-48b8-9dbb-0686e348de87</x:v>
      </x:c>
      <x:c r="G1395" s="20" t="n">
        <x:v>46003.9349546875</x:v>
      </x:c>
    </x:row>
    <x:row r="1396">
      <x:c r="A1396" s="18" t="str">
        <x:v>postes centrais da maloca</x:v>
      </x:c>
      <x:c r="B1396" s="18" t="str">
        <x:v>kayari natĩ</x:v>
      </x:c>
      <x:c r="C1396" s="19" t="n">
        <x:f>IF(B1396="",0,(LEN(B1396)-LEN(SUBSTITUTE(B1396," | ","")))/3+1)</x:f>
        <x:v>1</x:v>
      </x:c>
      <x:c r="D1396" t="str">
        <x:v>p</x:v>
      </x:c>
      <x:c r="E1396" t="str">
        <x:v>https://www.webonary.org/marubo/g82eac1c6-761a-4cae-b58c-1e087dd9aeac/</x:v>
      </x:c>
      <x:c r="F1396" t="str">
        <x:v>g2699961b-73b0-4152-90ff-4a183522c238</x:v>
      </x:c>
      <x:c r="G1396" s="20" t="n">
        <x:v>46003.9349546875</x:v>
      </x:c>
    </x:row>
    <x:row r="1397">
      <x:c r="A1397" s="18" t="str">
        <x:v>postes perto da beira da maloca</x:v>
      </x:c>
      <x:c r="B1397" s="18" t="str">
        <x:v>txivi tavá natĩ</x:v>
      </x:c>
      <x:c r="C1397" s="19" t="n">
        <x:f>IF(B1397="",0,(LEN(B1397)-LEN(SUBSTITUTE(B1397," | ","")))/3+1)</x:f>
        <x:v>1</x:v>
      </x:c>
      <x:c r="D1397" t="str">
        <x:v>p</x:v>
      </x:c>
      <x:c r="E1397" t="str">
        <x:v>https://www.webonary.org/marubo/gf8e2eae2-5f73-47c6-b1fe-d49d6451d973/</x:v>
      </x:c>
      <x:c r="F1397" t="str">
        <x:v>gd6914cb1-7aaf-4c4c-aa2c-80f1150816c1</x:v>
      </x:c>
      <x:c r="G1397" s="20" t="n">
        <x:v>46003.9349546875</x:v>
      </x:c>
    </x:row>
    <x:row r="1398">
      <x:c r="A1398" s="18" t="str">
        <x:v>postes perto da porta</x:v>
      </x:c>
      <x:c r="B1398" s="18" t="str">
        <x:v>koiti</x:v>
      </x:c>
      <x:c r="C1398" s="19" t="n">
        <x:f>IF(B1398="",0,(LEN(B1398)-LEN(SUBSTITUTE(B1398," | ","")))/3+1)</x:f>
        <x:v>1</x:v>
      </x:c>
      <x:c r="D1398" t="str">
        <x:v>p</x:v>
      </x:c>
      <x:c r="E1398" t="str">
        <x:v>https://www.webonary.org/marubo/g5bdd287f-c7d8-447f-9b85-6620c589c7ad/</x:v>
      </x:c>
      <x:c r="F1398" t="str">
        <x:v>g6290781e-dfcd-4e53-8939-10fcf280fa36</x:v>
      </x:c>
      <x:c r="G1398" s="20" t="n">
        <x:v>46003.9349546875</x:v>
      </x:c>
    </x:row>
    <x:row r="1399">
      <x:c r="A1399" s="18" t="str">
        <x:v>pote de barro pequeno para tomar ayhuasca</x:v>
      </x:c>
      <x:c r="B1399" s="18" t="str">
        <x:v>kẽpo</x:v>
      </x:c>
      <x:c r="C1399" s="19" t="n">
        <x:f>IF(B1399="",0,(LEN(B1399)-LEN(SUBSTITUTE(B1399," | ","")))/3+1)</x:f>
        <x:v>1</x:v>
      </x:c>
      <x:c r="D1399" t="str">
        <x:v>p</x:v>
      </x:c>
      <x:c r="E1399" t="str">
        <x:v>https://www.webonary.org/marubo/g806ce139-034f-4c66-8fb5-ca0454949eaa/</x:v>
      </x:c>
      <x:c r="F1399" t="str">
        <x:v>g5aa4bd3f-3882-4303-aa4b-39643857dfbc</x:v>
      </x:c>
      <x:c r="G1399" s="20" t="n">
        <x:v>46003.9349546875</x:v>
      </x:c>
    </x:row>
    <x:row r="1400">
      <x:c r="A1400" s="18" t="str">
        <x:v>pouco</x:v>
      </x:c>
      <x:c r="B1400" s="18" t="str">
        <x:v>veshpaka</x:v>
      </x:c>
      <x:c r="C1400" s="19" t="n">
        <x:f>IF(B1400="",0,(LEN(B1400)-LEN(SUBSTITUTE(B1400," | ","")))/3+1)</x:f>
        <x:v>1</x:v>
      </x:c>
      <x:c r="D1400" t="str">
        <x:v>p</x:v>
      </x:c>
      <x:c r="E1400" t="str">
        <x:v>https://www.webonary.org/marubo/ge7e4ef01-0af0-487a-b76b-a8b9605e6d50/</x:v>
      </x:c>
      <x:c r="F1400" t="str">
        <x:v>g7d90a963-de58-4ae7-913f-3dc53ee880e3</x:v>
      </x:c>
      <x:c r="G1400" s="20" t="n">
        <x:v>46003.9349546875</x:v>
      </x:c>
    </x:row>
    <x:row r="1401">
      <x:c r="A1401" s="18" t="str">
        <x:v>praia</x:v>
      </x:c>
      <x:c r="B1401" s="18" t="str">
        <x:v>machi</x:v>
      </x:c>
      <x:c r="C1401" s="19" t="n">
        <x:f>IF(B1401="",0,(LEN(B1401)-LEN(SUBSTITUTE(B1401," | ","")))/3+1)</x:f>
        <x:v>1</x:v>
      </x:c>
      <x:c r="D1401" t="str">
        <x:v>p</x:v>
      </x:c>
      <x:c r="E1401" t="str">
        <x:v>https://www.webonary.org/marubo/g268cb2f3-254d-4ea3-8c6a-b0d11c85ec48/</x:v>
      </x:c>
      <x:c r="F1401" t="str">
        <x:v>gf1f68333-20a6-407a-8c18-df0859a33399</x:v>
      </x:c>
      <x:c r="G1401" s="20" t="n">
        <x:v>46003.9349546875</x:v>
      </x:c>
    </x:row>
    <x:row r="1402">
      <x:c r="A1402" s="18" t="str">
        <x:v>prato</x:v>
      </x:c>
      <x:c r="B1402" s="18" t="str">
        <x:v>kẽtxasapa</x:v>
      </x:c>
      <x:c r="C1402" s="19" t="n">
        <x:f>IF(B1402="",0,(LEN(B1402)-LEN(SUBSTITUTE(B1402," | ","")))/3+1)</x:f>
        <x:v>1</x:v>
      </x:c>
      <x:c r="D1402" t="str">
        <x:v>p</x:v>
      </x:c>
      <x:c r="E1402" t="str">
        <x:v>https://www.webonary.org/marubo/g33f7d76d-1146-4568-ac33-2bbf349032e6/</x:v>
      </x:c>
      <x:c r="F1402" t="str">
        <x:v>gdee38a0f-b931-4809-9b32-e574c39f63ae</x:v>
      </x:c>
      <x:c r="G1402" s="20" t="n">
        <x:v>46003.9349546875</x:v>
      </x:c>
    </x:row>
    <x:row r="1403">
      <x:c r="A1403" s="18" t="str">
        <x:v>precisar</x:v>
      </x:c>
      <x:c r="B1403" s="18" t="str">
        <x:v>mãa</x:v>
      </x:c>
      <x:c r="C1403" s="19" t="n">
        <x:f>IF(B1403="",0,(LEN(B1403)-LEN(SUBSTITUTE(B1403," | ","")))/3+1)</x:f>
        <x:v>1</x:v>
      </x:c>
      <x:c r="D1403" t="str">
        <x:v>p</x:v>
      </x:c>
      <x:c r="E1403" t="str">
        <x:v>https://www.webonary.org/marubo/g287eadf7-5d6b-4627-84cd-b3fe428d449d/</x:v>
      </x:c>
      <x:c r="F1403" t="str">
        <x:v>g8a4ed4ad-2a5c-447e-89f8-f0651e69a8d7</x:v>
      </x:c>
      <x:c r="G1403" s="20" t="n">
        <x:v>46003.9349546875</x:v>
      </x:c>
    </x:row>
    <x:row r="1404">
      <x:c r="A1404" s="18" t="str">
        <x:v>prego</x:v>
      </x:c>
      <x:c r="B1404" s="18" t="str">
        <x:v>ravo</x:v>
      </x:c>
      <x:c r="C1404" s="19" t="n">
        <x:f>IF(B1404="",0,(LEN(B1404)-LEN(SUBSTITUTE(B1404," | ","")))/3+1)</x:f>
        <x:v>1</x:v>
      </x:c>
      <x:c r="D1404" t="str">
        <x:v>p</x:v>
      </x:c>
      <x:c r="E1404" t="str">
        <x:v>https://www.webonary.org/marubo/g1c0e9260-1f35-49d6-b972-a670a3610653/</x:v>
      </x:c>
      <x:c r="F1404" t="str">
        <x:v>gf063faba-7e58-4150-854b-bd9073fe9472</x:v>
      </x:c>
      <x:c r="G1404" s="20" t="n">
        <x:v>46003.9349546875</x:v>
      </x:c>
    </x:row>
    <x:row r="1405">
      <x:c r="A1405" s="18" t="str">
        <x:v>preguiça pequena</x:v>
      </x:c>
      <x:c r="B1405" s="18" t="str">
        <x:v>põsẽ naĩ</x:v>
      </x:c>
      <x:c r="C1405" s="19" t="n">
        <x:f>IF(B1405="",0,(LEN(B1405)-LEN(SUBSTITUTE(B1405," | ","")))/3+1)</x:f>
        <x:v>1</x:v>
      </x:c>
      <x:c r="D1405" t="str">
        <x:v>p</x:v>
      </x:c>
      <x:c r="E1405" t="str">
        <x:v>https://www.webonary.org/marubo/g03160bce-bc76-4982-b926-1a09bde2fe14/</x:v>
      </x:c>
      <x:c r="F1405" t="str">
        <x:v>g7f0b0414-42f2-4e9a-aa06-f6f2da18eb65</x:v>
      </x:c>
      <x:c r="G1405" s="20" t="n">
        <x:v>46003.9349546875</x:v>
      </x:c>
    </x:row>
    <x:row r="1406">
      <x:c r="A1406" s="18" t="str">
        <x:v>prender</x:v>
      </x:c>
      <x:c r="B1406" s="18" t="str">
        <x:v>atxia</x:v>
      </x:c>
      <x:c r="C1406" s="19" t="n">
        <x:f>IF(B1406="",0,(LEN(B1406)-LEN(SUBSTITUTE(B1406," | ","")))/3+1)</x:f>
        <x:v>1</x:v>
      </x:c>
      <x:c r="D1406" t="str">
        <x:v>p</x:v>
      </x:c>
      <x:c r="E1406" t="str">
        <x:v>https://www.webonary.org/marubo/g682e9319-386b-471f-bf50-d94d262da39a/</x:v>
      </x:c>
      <x:c r="F1406" t="str">
        <x:v>g936bbeee-e111-4b58-87c0-c1a6e55bec43</x:v>
      </x:c>
      <x:c r="G1406" s="20" t="n">
        <x:v>46003.93496210648</x:v>
      </x:c>
    </x:row>
    <x:row r="1407">
      <x:c r="A1407" s="18" t="str">
        <x:v>preocupar</x:v>
      </x:c>
      <x:c r="B1407" s="18" t="str">
        <x:v>tsaká</x:v>
      </x:c>
      <x:c r="C1407" s="19" t="n">
        <x:f>IF(B1407="",0,(LEN(B1407)-LEN(SUBSTITUTE(B1407," | ","")))/3+1)</x:f>
        <x:v>1</x:v>
      </x:c>
      <x:c r="D1407" t="str">
        <x:v>p</x:v>
      </x:c>
      <x:c r="E1407" t="str">
        <x:v>https://www.webonary.org/marubo/gd9f4a37e-7ceb-4805-bd3d-de905b86b5d1/</x:v>
      </x:c>
      <x:c r="F1407" t="str">
        <x:v>ga193be7f-2708-4d46-8701-f3b191879252</x:v>
      </x:c>
      <x:c r="G1407" s="20" t="n">
        <x:v>46003.93496210648</x:v>
      </x:c>
    </x:row>
    <x:row r="1408">
      <x:c r="A1408" s="18" t="str">
        <x:v>preparar comida</x:v>
      </x:c>
      <x:c r="B1408" s="18" t="str">
        <x:v>piti aká</x:v>
      </x:c>
      <x:c r="C1408" s="19" t="n">
        <x:f>IF(B1408="",0,(LEN(B1408)-LEN(SUBSTITUTE(B1408," | ","")))/3+1)</x:f>
        <x:v>1</x:v>
      </x:c>
      <x:c r="D1408" t="str">
        <x:v>p</x:v>
      </x:c>
      <x:c r="E1408" t="str">
        <x:v>https://www.webonary.org/marubo/gff1a9b29-26ed-4c93-9a65-ad6b714d540f/</x:v>
      </x:c>
      <x:c r="F1408" t="str">
        <x:v>g8fb0a7dc-26f1-4a79-810b-a975fd8ebadf</x:v>
      </x:c>
      <x:c r="G1408" s="20" t="n">
        <x:v>46003.93496210648</x:v>
      </x:c>
    </x:row>
    <x:row r="1409">
      <x:c r="A1409" s="18" t="str">
        <x:v>pressionar</x:v>
      </x:c>
      <x:c r="B1409" s="18" t="str">
        <x:v>masta pakéa</x:v>
      </x:c>
      <x:c r="C1409" s="19" t="n">
        <x:f>IF(B1409="",0,(LEN(B1409)-LEN(SUBSTITUTE(B1409," | ","")))/3+1)</x:f>
        <x:v>1</x:v>
      </x:c>
      <x:c r="D1409" t="str">
        <x:v>p</x:v>
      </x:c>
      <x:c r="E1409" t="str">
        <x:v>https://www.webonary.org/marubo/g723d353b-63fc-4c27-8998-935b5d1d3781/</x:v>
      </x:c>
      <x:c r="F1409" t="str">
        <x:v>g328e9f8a-0e69-4152-8998-c3f78bddc882</x:v>
      </x:c>
      <x:c r="G1409" s="20" t="n">
        <x:v>46003.93496210648</x:v>
      </x:c>
    </x:row>
    <x:row r="1410">
      <x:c r="A1410" s="18" t="str">
        <x:v>preto</x:v>
      </x:c>
      <x:c r="B1410" s="18" t="str">
        <x:v>txeshe | isoka</x:v>
      </x:c>
      <x:c r="C1410" s="19" t="n">
        <x:f>IF(B1410="",0,(LEN(B1410)-LEN(SUBSTITUTE(B1410," | ","")))/3+1)</x:f>
        <x:v>2</x:v>
      </x:c>
      <x:c r="D1410" t="str">
        <x:v>p</x:v>
      </x:c>
      <x:c r="E1410" t="str">
        <x:v>https://www.webonary.org/marubo/g869a694f-6b78-4915-aaed-3208a98f58e7/</x:v>
      </x:c>
      <x:c r="F1410" t="str">
        <x:v>gf8860e3e-baa2-4e3d-af25-2df1a1df655f</x:v>
      </x:c>
      <x:c r="G1410" s="20" t="n">
        <x:v>46003.93496210648</x:v>
      </x:c>
    </x:row>
    <x:row r="1411">
      <x:c r="A1411" s="18" t="str">
        <x:v>preventitivo</x:v>
      </x:c>
      <x:c r="B1411" s="18" t="str">
        <x:v>-misi</x:v>
      </x:c>
      <x:c r="C1411" s="19" t="n">
        <x:f>IF(B1411="",0,(LEN(B1411)-LEN(SUBSTITUTE(B1411," | ","")))/3+1)</x:f>
        <x:v>1</x:v>
      </x:c>
      <x:c r="D1411" t="str">
        <x:v>p</x:v>
      </x:c>
      <x:c r="E1411" t="str">
        <x:v>https://www.webonary.org/marubo/g97857fbc-eeb5-4ec5-9ca7-c05b735d4b53/</x:v>
      </x:c>
      <x:c r="F1411" t="str">
        <x:v>ga329975e-c193-4ad5-8843-e771dc33af5f</x:v>
      </x:c>
      <x:c r="G1411" s="20" t="n">
        <x:v>46003.93496210648</x:v>
      </x:c>
    </x:row>
    <x:row r="1412">
      <x:c r="A1412" s="18" t="str">
        <x:v>prima cruzada</x:v>
      </x:c>
      <x:c r="B1412" s="18" t="str">
        <x:v>tsave | pano</x:v>
      </x:c>
      <x:c r="C1412" s="19" t="n">
        <x:f>IF(B1412="",0,(LEN(B1412)-LEN(SUBSTITUTE(B1412," | ","")))/3+1)</x:f>
        <x:v>2</x:v>
      </x:c>
      <x:c r="D1412" t="str">
        <x:v>p</x:v>
      </x:c>
      <x:c r="E1412" t="str">
        <x:v>https://www.webonary.org/marubo/gebb601f5-47b1-45ac-a639-14fb337ae0ce/</x:v>
      </x:c>
      <x:c r="F1412" t="str">
        <x:v>gc4daf830-7450-4bf0-b95f-9212fb869fc0</x:v>
      </x:c>
      <x:c r="G1412" s="20" t="n">
        <x:v>46003.93496210648</x:v>
      </x:c>
    </x:row>
    <x:row r="1413">
      <x:c r="A1413" s="18" t="str">
        <x:v>primeiro</x:v>
      </x:c>
      <x:c r="B1413" s="18" t="str">
        <x:v>parí</x:v>
      </x:c>
      <x:c r="C1413" s="19" t="n">
        <x:f>IF(B1413="",0,(LEN(B1413)-LEN(SUBSTITUTE(B1413," | ","")))/3+1)</x:f>
        <x:v>1</x:v>
      </x:c>
      <x:c r="D1413" t="str">
        <x:v>p</x:v>
      </x:c>
      <x:c r="E1413" t="str">
        <x:v>https://www.webonary.org/marubo/g57ca16a9-ac5b-4644-ae1a-64d639fdfe0d/</x:v>
      </x:c>
      <x:c r="F1413" t="str">
        <x:v>g575a77e9-0d41-481b-a30d-4d6bb8d9ca27</x:v>
      </x:c>
      <x:c r="G1413" s="20" t="n">
        <x:v>46003.93496210648</x:v>
      </x:c>
    </x:row>
    <x:row r="1414">
      <x:c r="A1414" s="18" t="str">
        <x:v>primeiro filho</x:v>
      </x:c>
      <x:c r="B1414" s="18" t="str">
        <x:v>revĩ</x:v>
      </x:c>
      <x:c r="C1414" s="19" t="n">
        <x:f>IF(B1414="",0,(LEN(B1414)-LEN(SUBSTITUTE(B1414," | ","")))/3+1)</x:f>
        <x:v>1</x:v>
      </x:c>
      <x:c r="D1414" t="str">
        <x:v>p</x:v>
      </x:c>
      <x:c r="E1414" t="str">
        <x:v>https://www.webonary.org/marubo/g10ecdc53-f120-42c2-9d9c-4d3eeb745bca/</x:v>
      </x:c>
      <x:c r="F1414" t="str">
        <x:v>g29524aff-1f88-4cce-93fd-d1505b9e980a</x:v>
      </x:c>
      <x:c r="G1414" s="20" t="n">
        <x:v>46003.93496210648</x:v>
      </x:c>
    </x:row>
    <x:row r="1415">
      <x:c r="A1415" s="18" t="str">
        <x:v>primo cruzado</x:v>
      </x:c>
      <x:c r="B1415" s="18" t="str">
        <x:v>txai</x:v>
      </x:c>
      <x:c r="C1415" s="19" t="n">
        <x:f>IF(B1415="",0,(LEN(B1415)-LEN(SUBSTITUTE(B1415," | ","")))/3+1)</x:f>
        <x:v>1</x:v>
      </x:c>
      <x:c r="D1415" t="str">
        <x:v>p</x:v>
      </x:c>
      <x:c r="E1415" t="str">
        <x:v>https://www.webonary.org/marubo/g3dae912d-52d9-4961-8add-bcbbbdb161e9/</x:v>
      </x:c>
      <x:c r="F1415" t="str">
        <x:v>g736550e5-5340-4f74-b2c3-b0ab25be8204</x:v>
      </x:c>
      <x:c r="G1415" s="20" t="n">
        <x:v>46003.93496210648</x:v>
      </x:c>
    </x:row>
    <x:row r="1416">
      <x:c r="A1416" s="18" t="str">
        <x:v>problema de falar</x:v>
      </x:c>
      <x:c r="B1416" s="18" t="str">
        <x:v>ãcho | 1</x:v>
      </x:c>
      <x:c r="C1416" s="19" t="n">
        <x:f>IF(B1416="",0,(LEN(B1416)-LEN(SUBSTITUTE(B1416," | ","")))/3+1)</x:f>
        <x:v>2</x:v>
      </x:c>
      <x:c r="D1416" t="str">
        <x:v>p</x:v>
      </x:c>
      <x:c r="E1416" t="str">
        <x:v>https://www.webonary.org/marubo/g1a68a48f-20a5-4b3c-9fc7-ad593c903b0a/</x:v>
      </x:c>
      <x:c r="F1416" t="str">
        <x:v>gf4b4d546-a3de-440c-99b2-5a493bc5a3cb</x:v>
      </x:c>
      <x:c r="G1416" s="20" t="n">
        <x:v>46003.93496210648</x:v>
      </x:c>
    </x:row>
    <x:row r="1417">
      <x:c r="A1417" s="18" t="str">
        <x:v>procurar</x:v>
      </x:c>
      <x:c r="B1417" s="18" t="str">
        <x:v>itima</x:v>
      </x:c>
      <x:c r="C1417" s="19" t="n">
        <x:f>IF(B1417="",0,(LEN(B1417)-LEN(SUBSTITUTE(B1417," | ","")))/3+1)</x:f>
        <x:v>1</x:v>
      </x:c>
      <x:c r="D1417" t="str">
        <x:v>p</x:v>
      </x:c>
      <x:c r="E1417" t="str">
        <x:v>https://www.webonary.org/marubo/g898dba6c-3d59-48ed-abda-7c11f2ce292c/</x:v>
      </x:c>
      <x:c r="F1417" t="str">
        <x:v>g27a1d410-c5bd-4bc6-8ad8-f1a58ad3633a</x:v>
      </x:c>
      <x:c r="G1417" s="20" t="n">
        <x:v>46003.93496210648</x:v>
      </x:c>
    </x:row>
    <x:row r="1418">
      <x:c r="A1418" s="18" t="str">
        <x:v>procurar mulheres</x:v>
      </x:c>
      <x:c r="B1418" s="18" t="str">
        <x:v>sota méa</x:v>
      </x:c>
      <x:c r="C1418" s="19" t="n">
        <x:f>IF(B1418="",0,(LEN(B1418)-LEN(SUBSTITUTE(B1418," | ","")))/3+1)</x:f>
        <x:v>1</x:v>
      </x:c>
      <x:c r="D1418" t="str">
        <x:v>p</x:v>
      </x:c>
      <x:c r="E1418" t="str">
        <x:v>https://www.webonary.org/marubo/g8a20cc71-0bb8-47e0-8e86-44d856cfde2f/</x:v>
      </x:c>
      <x:c r="F1418" t="str">
        <x:v>gb8f84fa9-9dee-4bec-badd-8809db7c1291</x:v>
      </x:c>
      <x:c r="G1418" s="20" t="n">
        <x:v>46003.93496210648</x:v>
      </x:c>
    </x:row>
    <x:row r="1419">
      <x:c r="A1419" s="18" t="str">
        <x:v>professor</x:v>
      </x:c>
      <x:c r="B1419" s="18" t="str">
        <x:v>wichá tanámaya</x:v>
      </x:c>
      <x:c r="C1419" s="19" t="n">
        <x:f>IF(B1419="",0,(LEN(B1419)-LEN(SUBSTITUTE(B1419," | ","")))/3+1)</x:f>
        <x:v>1</x:v>
      </x:c>
      <x:c r="D1419" t="str">
        <x:v>p</x:v>
      </x:c>
      <x:c r="E1419" t="str">
        <x:v>https://www.webonary.org/marubo/g1e813502-6d21-44f9-9205-db61fd3f845c/</x:v>
      </x:c>
      <x:c r="F1419" t="str">
        <x:v>g9eda9081-1119-42e8-a6ba-bfc5b47b2f00</x:v>
      </x:c>
      <x:c r="G1419" s="20" t="n">
        <x:v>46003.93496210648</x:v>
      </x:c>
    </x:row>
    <x:row r="1420">
      <x:c r="A1420" s="18" t="str">
        <x:v>PROIB</x:v>
      </x:c>
      <x:c r="B1420" s="18" t="str">
        <x:v>-roa</x:v>
      </x:c>
      <x:c r="C1420" s="19" t="n">
        <x:f>IF(B1420="",0,(LEN(B1420)-LEN(SUBSTITUTE(B1420," | ","")))/3+1)</x:f>
        <x:v>1</x:v>
      </x:c>
      <x:c r="D1420" t="str">
        <x:v>p</x:v>
      </x:c>
      <x:c r="E1420" t="str">
        <x:v>https://www.webonary.org/marubo/g7a028b27-072e-42ad-bf0f-bfd944c2ee72/</x:v>
      </x:c>
      <x:c r="F1420" t="str">
        <x:v>gad6a5525-8470-4b9d-a71c-ffe68eb825b3</x:v>
      </x:c>
      <x:c r="G1420" s="20" t="n">
        <x:v>46003.93496210648</x:v>
      </x:c>
    </x:row>
    <x:row r="1421">
      <x:c r="A1421" s="18" t="str">
        <x:v>provar</x:v>
      </x:c>
      <x:c r="B1421" s="18" t="str">
        <x:v>taná | siroa</x:v>
      </x:c>
      <x:c r="C1421" s="19" t="n">
        <x:f>IF(B1421="",0,(LEN(B1421)-LEN(SUBSTITUTE(B1421," | ","")))/3+1)</x:f>
        <x:v>2</x:v>
      </x:c>
      <x:c r="D1421" t="str">
        <x:v>p</x:v>
      </x:c>
      <x:c r="E1421" t="str">
        <x:v>https://www.webonary.org/marubo/gd8650d83-a6ee-46b4-b3e9-db02cdd8e6ea/</x:v>
      </x:c>
      <x:c r="F1421" t="str">
        <x:v>gc5dcec7e-1a00-4d34-9e13-586c990b6f46</x:v>
      </x:c>
      <x:c r="G1421" s="20" t="n">
        <x:v>46003.93496210648</x:v>
      </x:c>
    </x:row>
    <x:row r="1422">
      <x:c r="A1422" s="18" t="str">
        <x:v>provavelmente</x:v>
      </x:c>
      <x:c r="B1422" s="18" t="str">
        <x:v>vesóka</x:v>
      </x:c>
      <x:c r="C1422" s="19" t="n">
        <x:f>IF(B1422="",0,(LEN(B1422)-LEN(SUBSTITUTE(B1422," | ","")))/3+1)</x:f>
        <x:v>1</x:v>
      </x:c>
      <x:c r="D1422" t="str">
        <x:v>p</x:v>
      </x:c>
      <x:c r="E1422" t="str">
        <x:v>https://www.webonary.org/marubo/g731d5aef-967e-48e0-a4a9-759d8fa8fb7d/</x:v>
      </x:c>
      <x:c r="F1422" t="str">
        <x:v>gb24c7d1c-cf56-4129-874f-7a5400abab9a</x:v>
      </x:c>
      <x:c r="G1422" s="20" t="n">
        <x:v>46003.93496210648</x:v>
      </x:c>
    </x:row>
    <x:row r="1423">
      <x:c r="A1423" s="18" t="str">
        <x:v>PROX</x:v>
      </x:c>
      <x:c r="B1423" s="18" t="str">
        <x:v>ne</x:v>
      </x:c>
      <x:c r="C1423" s="19" t="n">
        <x:f>IF(B1423="",0,(LEN(B1423)-LEN(SUBSTITUTE(B1423," | ","")))/3+1)</x:f>
        <x:v>1</x:v>
      </x:c>
      <x:c r="D1423" t="str">
        <x:v>p</x:v>
      </x:c>
      <x:c r="E1423" t="str">
        <x:v>https://www.webonary.org/marubo/g14538c3d-48a8-4dc7-baca-18d838ef3f6b/</x:v>
      </x:c>
      <x:c r="F1423" t="str">
        <x:v>g2cf0a036-0542-4906-b7eb-725ce85a01c3</x:v>
      </x:c>
      <x:c r="G1423" s="20" t="n">
        <x:v>46003.93496210648</x:v>
      </x:c>
    </x:row>
    <x:row r="1424">
      <x:c r="A1424" s="18" t="str">
        <x:v>pular</x:v>
      </x:c>
      <x:c r="B1424" s="18" t="str">
        <x:v>machít aká | nika</x:v>
      </x:c>
      <x:c r="C1424" s="19" t="n">
        <x:f>IF(B1424="",0,(LEN(B1424)-LEN(SUBSTITUTE(B1424," | ","")))/3+1)</x:f>
        <x:v>2</x:v>
      </x:c>
      <x:c r="D1424" t="str">
        <x:v>p</x:v>
      </x:c>
      <x:c r="E1424" t="str">
        <x:v>https://www.webonary.org/marubo/g74ad8a3f-b377-480c-a9cc-88518e0b1fa2/</x:v>
      </x:c>
      <x:c r="F1424" t="str">
        <x:v>gfb2b8f1b-cf2c-44ec-9b1c-0bad28c5cbb3</x:v>
      </x:c>
      <x:c r="G1424" s="20" t="n">
        <x:v>46003.93496210648</x:v>
      </x:c>
    </x:row>
    <x:row r="1425">
      <x:c r="A1425" s="18" t="str">
        <x:v>pular de uma arvore para outro</x:v>
      </x:c>
      <x:c r="B1425" s="18" t="str">
        <x:v>vonea</x:v>
      </x:c>
      <x:c r="C1425" s="19" t="n">
        <x:f>IF(B1425="",0,(LEN(B1425)-LEN(SUBSTITUTE(B1425," | ","")))/3+1)</x:f>
        <x:v>1</x:v>
      </x:c>
      <x:c r="D1425" t="str">
        <x:v>p</x:v>
      </x:c>
      <x:c r="E1425" t="str">
        <x:v>https://www.webonary.org/marubo/g5aec7bbe-e609-4f67-b616-15978da6f004/</x:v>
      </x:c>
      <x:c r="F1425" t="str">
        <x:v>ge48f3533-1821-4bf4-8f05-c0a58c822bb5</x:v>
      </x:c>
      <x:c r="G1425" s="20" t="n">
        <x:v>46003.93496210648</x:v>
      </x:c>
    </x:row>
    <x:row r="1426">
      <x:c r="A1426" s="18" t="str">
        <x:v>pular em cima</x:v>
      </x:c>
      <x:c r="B1426" s="18" t="str">
        <x:v>votse ipá</x:v>
      </x:c>
      <x:c r="C1426" s="19" t="n">
        <x:f>IF(B1426="",0,(LEN(B1426)-LEN(SUBSTITUTE(B1426," | ","")))/3+1)</x:f>
        <x:v>1</x:v>
      </x:c>
      <x:c r="D1426" t="str">
        <x:v>p</x:v>
      </x:c>
      <x:c r="E1426" t="str">
        <x:v>https://www.webonary.org/marubo/g990bda94-ebef-4468-92a9-85f13c17a3fa/</x:v>
      </x:c>
      <x:c r="F1426" t="str">
        <x:v>g4e546b5e-f767-4160-9709-6edbf79f0d44</x:v>
      </x:c>
      <x:c r="G1426" s="20" t="n">
        <x:v>46003.93496210648</x:v>
      </x:c>
    </x:row>
    <x:row r="1427">
      <x:c r="A1427" s="18" t="str">
        <x:v>pular por cima (como peixe)</x:v>
      </x:c>
      <x:c r="B1427" s="18" t="str">
        <x:v>tsiáse iná</x:v>
      </x:c>
      <x:c r="C1427" s="19" t="n">
        <x:f>IF(B1427="",0,(LEN(B1427)-LEN(SUBSTITUTE(B1427," | ","")))/3+1)</x:f>
        <x:v>1</x:v>
      </x:c>
      <x:c r="D1427" t="str">
        <x:v>p</x:v>
      </x:c>
      <x:c r="E1427" t="str">
        <x:v>https://www.webonary.org/marubo/g94ef6633-6e74-430d-b397-b3a66b7ec8ae/</x:v>
      </x:c>
      <x:c r="F1427" t="str">
        <x:v>g5a105d52-fb99-40c1-8755-e25ec54e1bf7</x:v>
      </x:c>
      <x:c r="G1427" s="20" t="n">
        <x:v>46003.93496210648</x:v>
      </x:c>
    </x:row>
    <x:row r="1428">
      <x:c r="A1428" s="18" t="str">
        <x:v>pulga</x:v>
      </x:c>
      <x:c r="B1428" s="18" t="str">
        <x:v>kaya</x:v>
      </x:c>
      <x:c r="C1428" s="19" t="n">
        <x:f>IF(B1428="",0,(LEN(B1428)-LEN(SUBSTITUTE(B1428," | ","")))/3+1)</x:f>
        <x:v>1</x:v>
      </x:c>
      <x:c r="D1428" t="str">
        <x:v>p</x:v>
      </x:c>
      <x:c r="E1428" t="str">
        <x:v>https://www.webonary.org/marubo/ga27346be-b8b3-46e0-87e1-d17aae4c88b3/</x:v>
      </x:c>
      <x:c r="F1428" t="str">
        <x:v>g623fc046-8180-43d5-bfd9-68b2dbbe2129</x:v>
      </x:c>
      <x:c r="G1428" s="20" t="n">
        <x:v>46003.93496210648</x:v>
      </x:c>
    </x:row>
    <x:row r="1429">
      <x:c r="A1429" s="18" t="str">
        <x:v>pulmão</x:v>
      </x:c>
      <x:c r="B1429" s="18" t="str">
        <x:v>tãshã́</x:v>
      </x:c>
      <x:c r="C1429" s="19" t="n">
        <x:f>IF(B1429="",0,(LEN(B1429)-LEN(SUBSTITUTE(B1429," | ","")))/3+1)</x:f>
        <x:v>1</x:v>
      </x:c>
      <x:c r="D1429" t="str">
        <x:v>p</x:v>
      </x:c>
      <x:c r="E1429" t="str">
        <x:v>https://www.webonary.org/marubo/g2745ec38-0f0f-42c8-afac-04564f9bae09/</x:v>
      </x:c>
      <x:c r="F1429" t="str">
        <x:v>g3736f3cf-1e6d-4351-8c1c-10cbff9ea3c0</x:v>
      </x:c>
      <x:c r="G1429" s="20" t="n">
        <x:v>46003.93496210648</x:v>
      </x:c>
    </x:row>
    <x:row r="1430">
      <x:c r="A1430" s="18" t="str">
        <x:v>pulseira</x:v>
      </x:c>
      <x:c r="B1430" s="18" t="str">
        <x:v>meneshti</x:v>
      </x:c>
      <x:c r="C1430" s="19" t="n">
        <x:f>IF(B1430="",0,(LEN(B1430)-LEN(SUBSTITUTE(B1430," | ","")))/3+1)</x:f>
        <x:v>1</x:v>
      </x:c>
      <x:c r="D1430" t="str">
        <x:v>p</x:v>
      </x:c>
      <x:c r="E1430" t="str">
        <x:v>https://www.webonary.org/marubo/gb2371d7b-68a7-4349-b43c-b7f0fd5f2311/</x:v>
      </x:c>
      <x:c r="F1430" t="str">
        <x:v>g055930dd-a61a-46bc-bed4-819b7d2da529</x:v>
      </x:c>
      <x:c r="G1430" s="20" t="n">
        <x:v>46003.93496210648</x:v>
      </x:c>
    </x:row>
    <x:row r="1431">
      <x:c r="A1431" s="18" t="str">
        <x:v>pulso</x:v>
      </x:c>
      <x:c r="B1431" s="18" t="str">
        <x:v>meroshko</x:v>
      </x:c>
      <x:c r="C1431" s="19" t="n">
        <x:f>IF(B1431="",0,(LEN(B1431)-LEN(SUBSTITUTE(B1431," | ","")))/3+1)</x:f>
        <x:v>1</x:v>
      </x:c>
      <x:c r="D1431" t="str">
        <x:v>p</x:v>
      </x:c>
      <x:c r="E1431" t="str">
        <x:v>https://www.webonary.org/marubo/g4ae36b22-6269-483e-ba7c-19a887cd5736/</x:v>
      </x:c>
      <x:c r="F1431" t="str">
        <x:v>g7d004977-a447-49d2-968e-80d3d57b07a7</x:v>
      </x:c>
      <x:c r="G1431" s="20" t="n">
        <x:v>46003.93496210648</x:v>
      </x:c>
    </x:row>
    <x:row r="1432">
      <x:c r="A1432" s="18" t="str">
        <x:v>punho de clasa</x:v>
      </x:c>
      <x:c r="B1432" s="18" t="str">
        <x:v>keshtóa</x:v>
      </x:c>
      <x:c r="C1432" s="19" t="n">
        <x:f>IF(B1432="",0,(LEN(B1432)-LEN(SUBSTITUTE(B1432," | ","")))/3+1)</x:f>
        <x:v>1</x:v>
      </x:c>
      <x:c r="D1432" t="str">
        <x:v>p</x:v>
      </x:c>
      <x:c r="E1432" t="str">
        <x:v>https://www.webonary.org/marubo/g85992857-b867-4a42-a02c-91f6bc424aa3/</x:v>
      </x:c>
      <x:c r="F1432" t="str">
        <x:v>gf05fe471-e9af-4ef7-a86a-fa2953a02b87</x:v>
      </x:c>
      <x:c r="G1432" s="20" t="n">
        <x:v>46003.93496210648</x:v>
      </x:c>
    </x:row>
    <x:row r="1433">
      <x:c r="A1433" s="18" t="str">
        <x:v>pupunha</x:v>
      </x:c>
      <x:c r="B1433" s="18" t="str">
        <x:v>wanĩ</x:v>
      </x:c>
      <x:c r="C1433" s="19" t="n">
        <x:f>IF(B1433="",0,(LEN(B1433)-LEN(SUBSTITUTE(B1433," | ","")))/3+1)</x:f>
        <x:v>1</x:v>
      </x:c>
      <x:c r="D1433" t="str">
        <x:v>p</x:v>
      </x:c>
      <x:c r="E1433" t="str">
        <x:v>https://www.webonary.org/marubo/g87bbb33e-96a1-417c-aa68-6e0c33b4ba03/</x:v>
      </x:c>
      <x:c r="F1433" t="str">
        <x:v>g9e4cf2e7-97c8-4ba0-a0a0-707701e6dc02</x:v>
      </x:c>
      <x:c r="G1433" s="20" t="n">
        <x:v>46003.93496210648</x:v>
      </x:c>
    </x:row>
    <x:row r="1434">
      <x:c r="A1434" s="18" t="str">
        <x:v>pupunha drink</x:v>
      </x:c>
      <x:c r="B1434" s="18" t="str">
        <x:v>wanĩ waka</x:v>
      </x:c>
      <x:c r="C1434" s="19" t="n">
        <x:f>IF(B1434="",0,(LEN(B1434)-LEN(SUBSTITUTE(B1434," | ","")))/3+1)</x:f>
        <x:v>1</x:v>
      </x:c>
      <x:c r="D1434" t="str">
        <x:v>p</x:v>
      </x:c>
      <x:c r="E1434" t="str">
        <x:v>https://www.webonary.org/marubo/gde12b571-f265-46a3-90f8-516a5207f6fe/</x:v>
      </x:c>
      <x:c r="F1434" t="str">
        <x:v>gea17a64d-c34a-4a16-bf88-50717309286a</x:v>
      </x:c>
      <x:c r="G1434" s="20" t="n">
        <x:v>46003.93496210648</x:v>
      </x:c>
    </x:row>
    <x:row r="1435">
      <x:c r="A1435" s="18" t="str">
        <x:v>pupunha verde</x:v>
      </x:c>
      <x:c r="B1435" s="18" t="str">
        <x:v>evo | 2</x:v>
      </x:c>
      <x:c r="C1435" s="19" t="n">
        <x:f>IF(B1435="",0,(LEN(B1435)-LEN(SUBSTITUTE(B1435," | ","")))/3+1)</x:f>
        <x:v>2</x:v>
      </x:c>
      <x:c r="D1435" t="str">
        <x:v>p</x:v>
      </x:c>
      <x:c r="E1435" t="str">
        <x:v>https://www.webonary.org/marubo/g80006f95-1d0e-482f-8e5e-dfffe15cbca5/</x:v>
      </x:c>
      <x:c r="F1435" t="str">
        <x:v>g68fa394b-a37e-48a4-8fff-0f95f4a259b0</x:v>
      </x:c>
      <x:c r="G1435" s="20" t="n">
        <x:v>46003.93496210648</x:v>
      </x:c>
    </x:row>
    <x:row r="1436">
      <x:c r="A1436" s="18" t="str">
        <x:v>puraque</x:v>
      </x:c>
      <x:c r="B1436" s="18" t="str">
        <x:v>koni</x:v>
      </x:c>
      <x:c r="C1436" s="19" t="n">
        <x:f>IF(B1436="",0,(LEN(B1436)-LEN(SUBSTITUTE(B1436," | ","")))/3+1)</x:f>
        <x:v>1</x:v>
      </x:c>
      <x:c r="D1436" t="str">
        <x:v>p</x:v>
      </x:c>
      <x:c r="E1436" t="str">
        <x:v>https://www.webonary.org/marubo/g1b3d322f-ca38-46a3-8b27-4462794abf8a/</x:v>
      </x:c>
      <x:c r="F1436" t="str">
        <x:v>gabebdf5e-d545-48cd-86ce-cf63534f22f7</x:v>
      </x:c>
      <x:c r="G1436" s="20" t="n">
        <x:v>46003.93496210648</x:v>
      </x:c>
    </x:row>
    <x:row r="1437">
      <x:c r="A1437" s="18" t="str">
        <x:v>puxar</x:v>
      </x:c>
      <x:c r="B1437" s="18" t="str">
        <x:v>sherevarã</x:v>
      </x:c>
      <x:c r="C1437" s="19" t="n">
        <x:f>IF(B1437="",0,(LEN(B1437)-LEN(SUBSTITUTE(B1437," | ","")))/3+1)</x:f>
        <x:v>1</x:v>
      </x:c>
      <x:c r="D1437" t="str">
        <x:v>p</x:v>
      </x:c>
      <x:c r="E1437" t="str">
        <x:v>https://www.webonary.org/marubo/g77cc3153-cf1c-49d6-a025-c2ac0d94a485/</x:v>
      </x:c>
      <x:c r="F1437" t="str">
        <x:v>gdd54b932-25d2-4f77-a416-cc85985d2e61</x:v>
      </x:c>
      <x:c r="G1437" s="20" t="n">
        <x:v>46003.93496210648</x:v>
      </x:c>
    </x:row>
    <x:row r="1438">
      <x:c r="A1438" s="18" t="str">
        <x:v>puxar (cipó)</x:v>
      </x:c>
      <x:c r="B1438" s="18" t="str">
        <x:v>tesa</x:v>
      </x:c>
      <x:c r="C1438" s="19" t="n">
        <x:f>IF(B1438="",0,(LEN(B1438)-LEN(SUBSTITUTE(B1438," | ","")))/3+1)</x:f>
        <x:v>1</x:v>
      </x:c>
      <x:c r="D1438" t="str">
        <x:v>p</x:v>
      </x:c>
      <x:c r="E1438" t="str">
        <x:v>https://www.webonary.org/marubo/g69a7ff08-a069-4df9-ac7f-fedbb479bebb/</x:v>
      </x:c>
      <x:c r="F1438" t="str">
        <x:v>gd065d067-af42-4035-a0dc-55ab90f45bbb</x:v>
      </x:c>
      <x:c r="G1438" s="20" t="n">
        <x:v>46003.93496210648</x:v>
      </x:c>
    </x:row>
    <x:row r="1439">
      <x:c r="A1439" s="18" t="str">
        <x:v>puxar buriti</x:v>
      </x:c>
      <x:c r="B1439" s="18" t="str">
        <x:v>teréa</x:v>
      </x:c>
      <x:c r="C1439" s="19" t="n">
        <x:f>IF(B1439="",0,(LEN(B1439)-LEN(SUBSTITUTE(B1439," | ","")))/3+1)</x:f>
        <x:v>1</x:v>
      </x:c>
      <x:c r="D1439" t="str">
        <x:v>p</x:v>
      </x:c>
      <x:c r="E1439" t="str">
        <x:v>https://www.webonary.org/marubo/g3f91a5eb-b94d-4558-b214-3026e882697b/</x:v>
      </x:c>
      <x:c r="F1439" t="str">
        <x:v>g944e19dd-0611-4e6b-88b1-edc09361ee98</x:v>
      </x:c>
      <x:c r="G1439" s="20" t="n">
        <x:v>46003.93496210648</x:v>
      </x:c>
    </x:row>
    <x:row r="1440">
      <x:c r="A1440" s="18" t="str">
        <x:v>puxar do alto</x:v>
      </x:c>
      <x:c r="B1440" s="18" t="str">
        <x:v>rashkoa</x:v>
      </x:c>
      <x:c r="C1440" s="19" t="n">
        <x:f>IF(B1440="",0,(LEN(B1440)-LEN(SUBSTITUTE(B1440," | ","")))/3+1)</x:f>
        <x:v>1</x:v>
      </x:c>
      <x:c r="D1440" t="str">
        <x:v>p</x:v>
      </x:c>
      <x:c r="E1440" t="str">
        <x:v>https://www.webonary.org/marubo/g3e452485-f992-4239-a5c5-5f34d0241153/</x:v>
      </x:c>
      <x:c r="F1440" t="str">
        <x:v>gade461d0-ffb7-418e-b2dd-39a37d8f01e7</x:v>
      </x:c>
      <x:c r="G1440" s="20" t="n">
        <x:v>46003.93496210648</x:v>
      </x:c>
    </x:row>
    <x:row r="1441">
      <x:c r="A1441" s="18" t="str">
        <x:v>puxar linha</x:v>
      </x:c>
      <x:c r="B1441" s="18" t="str">
        <x:v>tẽẽ aká</x:v>
      </x:c>
      <x:c r="C1441" s="19" t="n">
        <x:f>IF(B1441="",0,(LEN(B1441)-LEN(SUBSTITUTE(B1441," | ","")))/3+1)</x:f>
        <x:v>1</x:v>
      </x:c>
      <x:c r="D1441" t="str">
        <x:v>p</x:v>
      </x:c>
      <x:c r="E1441" t="str">
        <x:v>https://www.webonary.org/marubo/g6ae0ea03-953d-4c0a-9bb0-4c2d11dd68b8/</x:v>
      </x:c>
      <x:c r="F1441" t="str">
        <x:v>gb42c105d-09d5-4231-8554-7efa8c423bb9</x:v>
      </x:c>
      <x:c r="G1441" s="20" t="n">
        <x:v>46003.93496210648</x:v>
      </x:c>
    </x:row>
    <x:row r="1442">
      <x:c r="A1442" s="18" t="str">
        <x:v>quadrado</x:v>
      </x:c>
      <x:c r="B1442" s="18" t="str">
        <x:v>tsãteka</x:v>
      </x:c>
      <x:c r="C1442" s="19" t="n">
        <x:f>IF(B1442="",0,(LEN(B1442)-LEN(SUBSTITUTE(B1442," | ","")))/3+1)</x:f>
        <x:v>1</x:v>
      </x:c>
      <x:c r="D1442" t="str">
        <x:v>q</x:v>
      </x:c>
      <x:c r="E1442" t="str">
        <x:v>https://www.webonary.org/marubo/gc783edb7-5c6b-4180-bc12-fad4760a4e69/</x:v>
      </x:c>
      <x:c r="F1442" t="str">
        <x:v>g4e74ccf3-c4da-4065-a6e9-99dc1c21af74</x:v>
      </x:c>
      <x:c r="G1442" s="20" t="n">
        <x:v>46003.93496210648</x:v>
      </x:c>
    </x:row>
    <x:row r="1443">
      <x:c r="A1443" s="18" t="str">
        <x:v>QUAL</x:v>
      </x:c>
      <x:c r="B1443" s="18" t="str">
        <x:v>-ya | 2</x:v>
      </x:c>
      <x:c r="C1443" s="19" t="n">
        <x:f>IF(B1443="",0,(LEN(B1443)-LEN(SUBSTITUTE(B1443," | ","")))/3+1)</x:f>
        <x:v>2</x:v>
      </x:c>
      <x:c r="D1443" t="str">
        <x:v>q</x:v>
      </x:c>
      <x:c r="E1443" t="str">
        <x:v>https://www.webonary.org/marubo/g3f51d6a3-d029-4292-ad51-cc9d880393b6/</x:v>
      </x:c>
      <x:c r="F1443" t="str">
        <x:v>g1c156dc3-2eed-42c6-8f36-b16ccee4a71e</x:v>
      </x:c>
      <x:c r="G1443" s="20" t="n">
        <x:v>46003.93496210648</x:v>
      </x:c>
    </x:row>
    <x:row r="1444">
      <x:c r="A1444" s="18" t="str">
        <x:v>qualidade de</x:v>
      </x:c>
      <x:c r="B1444" s="18" t="str">
        <x:v>-yaõka</x:v>
      </x:c>
      <x:c r="C1444" s="19" t="n">
        <x:f>IF(B1444="",0,(LEN(B1444)-LEN(SUBSTITUTE(B1444," | ","")))/3+1)</x:f>
        <x:v>1</x:v>
      </x:c>
      <x:c r="D1444" t="str">
        <x:v>q</x:v>
      </x:c>
      <x:c r="E1444" t="str">
        <x:v>https://www.webonary.org/marubo/g39b84f2b-a034-4cf2-9427-a4a751f39706/</x:v>
      </x:c>
      <x:c r="F1444" t="str">
        <x:v>g1ae60ac4-441d-4182-9bbb-b8e463875df1</x:v>
      </x:c>
      <x:c r="G1444" s="20" t="n">
        <x:v>46003.93496210648</x:v>
      </x:c>
    </x:row>
    <x:row r="1445">
      <x:c r="A1445" s="18" t="str">
        <x:v>qualquer parte perigosa (que pode morrer) do corpo</x:v>
      </x:c>
      <x:c r="B1445" s="18" t="str">
        <x:v>tenãsti</x:v>
      </x:c>
      <x:c r="C1445" s="19" t="n">
        <x:f>IF(B1445="",0,(LEN(B1445)-LEN(SUBSTITUTE(B1445," | ","")))/3+1)</x:f>
        <x:v>1</x:v>
      </x:c>
      <x:c r="D1445" t="str">
        <x:v>q</x:v>
      </x:c>
      <x:c r="E1445" t="str">
        <x:v>https://www.webonary.org/marubo/g243648fa-561d-45bd-b987-70513a9f52b2/</x:v>
      </x:c>
      <x:c r="F1445" t="str">
        <x:v>gfe5a076c-43ae-4c5f-8ab4-08eb3f4d8f74</x:v>
      </x:c>
      <x:c r="G1445" s="20" t="n">
        <x:v>46003.93496210648</x:v>
      </x:c>
    </x:row>
    <x:row r="1446">
      <x:c r="A1446" s="18" t="str">
        <x:v>quando</x:v>
      </x:c>
      <x:c r="B1446" s="18" t="str">
        <x:v>awetiã</x:v>
      </x:c>
      <x:c r="C1446" s="19" t="n">
        <x:f>IF(B1446="",0,(LEN(B1446)-LEN(SUBSTITUTE(B1446," | ","")))/3+1)</x:f>
        <x:v>1</x:v>
      </x:c>
      <x:c r="D1446" t="str">
        <x:v>q</x:v>
      </x:c>
      <x:c r="E1446" t="str">
        <x:v>https://www.webonary.org/marubo/gcf2603c9-8341-443b-9268-130054b85fd6/</x:v>
      </x:c>
      <x:c r="F1446" t="str">
        <x:v>gf0220419-df00-4ee6-aa8c-daf285932539</x:v>
      </x:c>
      <x:c r="G1446" s="20" t="n">
        <x:v>46003.93496210648</x:v>
      </x:c>
    </x:row>
    <x:row r="1447">
      <x:c r="A1447" s="18" t="str">
        <x:v>quando água entra no ouvido</x:v>
      </x:c>
      <x:c r="B1447" s="18" t="str">
        <x:v>pakosh méa</x:v>
      </x:c>
      <x:c r="C1447" s="19" t="n">
        <x:f>IF(B1447="",0,(LEN(B1447)-LEN(SUBSTITUTE(B1447," | ","")))/3+1)</x:f>
        <x:v>1</x:v>
      </x:c>
      <x:c r="D1447" t="str">
        <x:v>q</x:v>
      </x:c>
      <x:c r="E1447" t="str">
        <x:v>https://www.webonary.org/marubo/ge508966c-7a91-4a4c-a9a9-437b9c6f185a/</x:v>
      </x:c>
      <x:c r="F1447" t="str">
        <x:v>g11d464e7-cf2c-46c3-a9df-a03c0af980bf</x:v>
      </x:c>
      <x:c r="G1447" s="20" t="n">
        <x:v>46003.93496210648</x:v>
      </x:c>
    </x:row>
    <x:row r="1448">
      <x:c r="A1448" s="18" t="str">
        <x:v>quando entra algo nos olhos</x:v>
      </x:c>
      <x:c r="B1448" s="18" t="str">
        <x:v>vero ikí</x:v>
      </x:c>
      <x:c r="C1448" s="19" t="n">
        <x:f>IF(B1448="",0,(LEN(B1448)-LEN(SUBSTITUTE(B1448," | ","")))/3+1)</x:f>
        <x:v>1</x:v>
      </x:c>
      <x:c r="D1448" t="str">
        <x:v>q</x:v>
      </x:c>
      <x:c r="E1448" t="str">
        <x:v>https://www.webonary.org/marubo/g1689b563-2b29-413e-8be5-75f41327b8a6/</x:v>
      </x:c>
      <x:c r="F1448" t="str">
        <x:v>g2938e93b-efa0-4071-85ef-fff32621d39d</x:v>
      </x:c>
      <x:c r="G1448" s="20" t="n">
        <x:v>46003.93496210648</x:v>
      </x:c>
    </x:row>
    <x:row r="1449">
      <x:c r="A1449" s="18" t="str">
        <x:v>quando o corpo mexe</x:v>
      </x:c>
      <x:c r="B1449" s="18" t="str">
        <x:v>oto oto ikí</x:v>
      </x:c>
      <x:c r="C1449" s="19" t="n">
        <x:f>IF(B1449="",0,(LEN(B1449)-LEN(SUBSTITUTE(B1449," | ","")))/3+1)</x:f>
        <x:v>1</x:v>
      </x:c>
      <x:c r="D1449" t="str">
        <x:v>q</x:v>
      </x:c>
      <x:c r="E1449" t="str">
        <x:v>https://www.webonary.org/marubo/g49f3bdc9-d1c1-4764-a128-2aae178907c9/</x:v>
      </x:c>
      <x:c r="F1449" t="str">
        <x:v>g3d3bb8cb-c030-4ca4-aff9-7583e67aeae5</x:v>
      </x:c>
      <x:c r="G1449" s="20" t="n">
        <x:v>46003.93496210648</x:v>
      </x:c>
    </x:row>
    <x:row r="1450">
      <x:c r="A1450" s="18" t="str">
        <x:v>quando queima o rosto</x:v>
      </x:c>
      <x:c r="B1450" s="18" t="str">
        <x:v>vesó ikí</x:v>
      </x:c>
      <x:c r="C1450" s="19" t="n">
        <x:f>IF(B1450="",0,(LEN(B1450)-LEN(SUBSTITUTE(B1450," | ","")))/3+1)</x:f>
        <x:v>1</x:v>
      </x:c>
      <x:c r="D1450" t="str">
        <x:v>q</x:v>
      </x:c>
      <x:c r="E1450" t="str">
        <x:v>https://www.webonary.org/marubo/g7b046b5d-8a53-4f13-ab34-1b6b51fedf9b/</x:v>
      </x:c>
      <x:c r="F1450" t="str">
        <x:v>g73acd8a7-669d-4b65-93b2-4a80a3378279</x:v>
      </x:c>
      <x:c r="G1450" s="20" t="n">
        <x:v>46003.93496210648</x:v>
      </x:c>
    </x:row>
    <x:row r="1451">
      <x:c r="A1451" s="18" t="str">
        <x:v>quando uma árvore cai sozinho</x:v>
      </x:c>
      <x:c r="B1451" s="18" t="str">
        <x:v>tsivose ikí</x:v>
      </x:c>
      <x:c r="C1451" s="19" t="n">
        <x:f>IF(B1451="",0,(LEN(B1451)-LEN(SUBSTITUTE(B1451," | ","")))/3+1)</x:f>
        <x:v>1</x:v>
      </x:c>
      <x:c r="D1451" t="str">
        <x:v>q</x:v>
      </x:c>
      <x:c r="E1451" t="str">
        <x:v>https://www.webonary.org/marubo/gc0ecfb4b-4639-4438-9c57-aedea5bea520/</x:v>
      </x:c>
      <x:c r="F1451" t="str">
        <x:v>gd69394f5-3ff3-403c-9ccd-955376e037ba</x:v>
      </x:c>
      <x:c r="G1451" s="20" t="n">
        <x:v>46003.93496210648</x:v>
      </x:c>
    </x:row>
    <x:row r="1452">
      <x:c r="A1452" s="18" t="str">
        <x:v>quando uma coisa cai da palha</x:v>
      </x:c>
      <x:c r="B1452" s="18" t="str">
        <x:v>pesine mea</x:v>
      </x:c>
      <x:c r="C1452" s="19" t="n">
        <x:f>IF(B1452="",0,(LEN(B1452)-LEN(SUBSTITUTE(B1452," | ","")))/3+1)</x:f>
        <x:v>1</x:v>
      </x:c>
      <x:c r="D1452" t="str">
        <x:v>q</x:v>
      </x:c>
      <x:c r="E1452" t="str">
        <x:v>https://www.webonary.org/marubo/g6d35eabb-4324-40d0-986d-fe077bebe205/</x:v>
      </x:c>
      <x:c r="F1452" t="str">
        <x:v>g890cac72-2385-430f-8c0f-bc82e8b206d8</x:v>
      </x:c>
      <x:c r="G1452" s="20" t="n">
        <x:v>46003.93496210648</x:v>
      </x:c>
    </x:row>
    <x:row r="1453">
      <x:c r="A1453" s="18" t="str">
        <x:v>quando uma pessoa escapa a maloca pela palha</x:v>
      </x:c>
      <x:c r="B1453" s="18" t="str">
        <x:v>pesine mea</x:v>
      </x:c>
      <x:c r="C1453" s="19" t="n">
        <x:f>IF(B1453="",0,(LEN(B1453)-LEN(SUBSTITUTE(B1453," | ","")))/3+1)</x:f>
        <x:v>1</x:v>
      </x:c>
      <x:c r="D1453" t="str">
        <x:v>q</x:v>
      </x:c>
      <x:c r="E1453" t="str">
        <x:v>https://www.webonary.org/marubo/g6d35eabb-4324-40d0-986d-fe077bebe205/</x:v>
      </x:c>
      <x:c r="F1453" t="str">
        <x:v>g80853463-8bb6-422c-b5a9-f7408d2a658a</x:v>
      </x:c>
      <x:c r="G1453" s="20" t="n">
        <x:v>46003.93496210648</x:v>
      </x:c>
    </x:row>
    <x:row r="1454">
      <x:c r="A1454" s="18" t="str">
        <x:v>quantos</x:v>
      </x:c>
      <x:c r="B1454" s="18" t="str">
        <x:v>aweti</x:v>
      </x:c>
      <x:c r="C1454" s="19" t="n">
        <x:f>IF(B1454="",0,(LEN(B1454)-LEN(SUBSTITUTE(B1454," | ","")))/3+1)</x:f>
        <x:v>1</x:v>
      </x:c>
      <x:c r="D1454" t="str">
        <x:v>q</x:v>
      </x:c>
      <x:c r="E1454" t="str">
        <x:v>https://www.webonary.org/marubo/g91cca235-7fd0-416d-b29d-112a783cf0be/</x:v>
      </x:c>
      <x:c r="F1454" t="str">
        <x:v>g3baeffd0-3d5e-4ddd-85f2-533d0592ce82</x:v>
      </x:c>
      <x:c r="G1454" s="20" t="n">
        <x:v>46003.93496210648</x:v>
      </x:c>
    </x:row>
    <x:row r="1455">
      <x:c r="A1455" s="18" t="str">
        <x:v>quarto</x:v>
      </x:c>
      <x:c r="B1455" s="18" t="str">
        <x:v>shanẽ</x:v>
      </x:c>
      <x:c r="C1455" s="19" t="n">
        <x:f>IF(B1455="",0,(LEN(B1455)-LEN(SUBSTITUTE(B1455," | ","")))/3+1)</x:f>
        <x:v>1</x:v>
      </x:c>
      <x:c r="D1455" t="str">
        <x:v>q</x:v>
      </x:c>
      <x:c r="E1455" t="str">
        <x:v>https://www.webonary.org/marubo/gc629068a-bafd-403e-a9f4-261528871a19/</x:v>
      </x:c>
      <x:c r="F1455" t="str">
        <x:v>g9d3bf859-3eed-4854-a364-1a14a765ed3c</x:v>
      </x:c>
      <x:c r="G1455" s="20" t="n">
        <x:v>46003.93496210648</x:v>
      </x:c>
    </x:row>
    <x:row r="1456">
      <x:c r="A1456" s="18" t="str">
        <x:v>quebrar</x:v>
      </x:c>
      <x:c r="B1456" s="18" t="str">
        <x:v>tosha | tovía</x:v>
      </x:c>
      <x:c r="C1456" s="19" t="n">
        <x:f>IF(B1456="",0,(LEN(B1456)-LEN(SUBSTITUTE(B1456," | ","")))/3+1)</x:f>
        <x:v>2</x:v>
      </x:c>
      <x:c r="D1456" t="str">
        <x:v>q</x:v>
      </x:c>
      <x:c r="E1456" t="str">
        <x:v>https://www.webonary.org/marubo/g961540ea-ede3-4256-9ff6-5671001cce0b/</x:v>
      </x:c>
      <x:c r="F1456" t="str">
        <x:v>g94d6ae5f-f7fc-4e26-aaff-042fd4be22aa</x:v>
      </x:c>
      <x:c r="G1456" s="20" t="n">
        <x:v>46003.934968981484</x:v>
      </x:c>
    </x:row>
    <x:row r="1457">
      <x:c r="A1457" s="18" t="str">
        <x:v>quebrar (como peça de ferro</x:v>
      </x:c>
      <x:c r="B1457" s="18" t="str">
        <x:v>tsã ikí</x:v>
      </x:c>
      <x:c r="C1457" s="19" t="n">
        <x:f>IF(B1457="",0,(LEN(B1457)-LEN(SUBSTITUTE(B1457," | ","")))/3+1)</x:f>
        <x:v>1</x:v>
      </x:c>
      <x:c r="D1457" t="str">
        <x:v>q</x:v>
      </x:c>
      <x:c r="E1457" t="str">
        <x:v>https://www.webonary.org/marubo/g1691e615-b395-4145-a407-6647ca5c2ead/</x:v>
      </x:c>
      <x:c r="F1457" t="str">
        <x:v>gf099fe0e-4833-4630-b394-7706076fea3c</x:v>
      </x:c>
      <x:c r="G1457" s="20" t="n">
        <x:v>46003.934968981484</x:v>
      </x:c>
    </x:row>
    <x:row r="1458">
      <x:c r="A1458" s="18" t="str">
        <x:v>quebrar asa de ave</x:v>
      </x:c>
      <x:c r="B1458" s="18" t="str">
        <x:v>pestã aká</x:v>
      </x:c>
      <x:c r="C1458" s="19" t="n">
        <x:f>IF(B1458="",0,(LEN(B1458)-LEN(SUBSTITUTE(B1458," | ","")))/3+1)</x:f>
        <x:v>1</x:v>
      </x:c>
      <x:c r="D1458" t="str">
        <x:v>q</x:v>
      </x:c>
      <x:c r="E1458" t="str">
        <x:v>https://www.webonary.org/marubo/gdc927657-c49b-4681-becd-0f6531b52615/</x:v>
      </x:c>
      <x:c r="F1458" t="str">
        <x:v>g05bd698a-1136-46c9-89cf-2c00fde931ce</x:v>
      </x:c>
      <x:c r="G1458" s="20" t="n">
        <x:v>46003.934968981484</x:v>
      </x:c>
    </x:row>
    <x:row r="1459">
      <x:c r="A1459" s="18" t="str">
        <x:v>quebrar cabeça</x:v>
      </x:c>
      <x:c r="B1459" s="18" t="str">
        <x:v>tetxásha</x:v>
      </x:c>
      <x:c r="C1459" s="19" t="n">
        <x:f>IF(B1459="",0,(LEN(B1459)-LEN(SUBSTITUTE(B1459," | ","")))/3+1)</x:f>
        <x:v>1</x:v>
      </x:c>
      <x:c r="D1459" t="str">
        <x:v>q</x:v>
      </x:c>
      <x:c r="E1459" t="str">
        <x:v>https://www.webonary.org/marubo/g4af6c123-c324-4889-a7cb-e72c016974e5/</x:v>
      </x:c>
      <x:c r="F1459" t="str">
        <x:v>g7b987f8f-9bdb-4bcb-ac73-311a52dd51ce</x:v>
      </x:c>
      <x:c r="G1459" s="20" t="n">
        <x:v>46003.934968981484</x:v>
      </x:c>
    </x:row>
    <x:row r="1460">
      <x:c r="A1460" s="18" t="str">
        <x:v>quebrar em muitos pedaços</x:v>
      </x:c>
      <x:c r="B1460" s="18" t="str">
        <x:v>rorororóa</x:v>
      </x:c>
      <x:c r="C1460" s="19" t="n">
        <x:f>IF(B1460="",0,(LEN(B1460)-LEN(SUBSTITUTE(B1460," | ","")))/3+1)</x:f>
        <x:v>1</x:v>
      </x:c>
      <x:c r="D1460" t="str">
        <x:v>q</x:v>
      </x:c>
      <x:c r="E1460" t="str">
        <x:v>https://www.webonary.org/marubo/gef79a6f7-88bc-43f5-8652-e8f6b166d654/</x:v>
      </x:c>
      <x:c r="F1460" t="str">
        <x:v>gf99c5888-7798-407a-81d9-bd9ef3c7cba8</x:v>
      </x:c>
      <x:c r="G1460" s="20" t="n">
        <x:v>46003.934968981484</x:v>
      </x:c>
    </x:row>
    <x:row r="1461">
      <x:c r="A1461" s="18" t="str">
        <x:v>quebrar pescoço</x:v>
      </x:c>
      <x:c r="B1461" s="18" t="str">
        <x:v>teshtóa</x:v>
      </x:c>
      <x:c r="C1461" s="19" t="n">
        <x:f>IF(B1461="",0,(LEN(B1461)-LEN(SUBSTITUTE(B1461," | ","")))/3+1)</x:f>
        <x:v>1</x:v>
      </x:c>
      <x:c r="D1461" t="str">
        <x:v>q</x:v>
      </x:c>
      <x:c r="E1461" t="str">
        <x:v>https://www.webonary.org/marubo/gd22f9423-9673-468b-a145-5dfd53958585/</x:v>
      </x:c>
      <x:c r="F1461" t="str">
        <x:v>gcf5d51b9-c54a-4f72-8eea-a80c3d5b7b3a</x:v>
      </x:c>
      <x:c r="G1461" s="20" t="n">
        <x:v>46003.934968981484</x:v>
      </x:c>
    </x:row>
    <x:row r="1462">
      <x:c r="A1462" s="18" t="str">
        <x:v>queimar</x:v>
      </x:c>
      <x:c r="B1462" s="18" t="str">
        <x:v>senã | koa | 2 | oá aká</x:v>
      </x:c>
      <x:c r="C1462" s="19" t="n">
        <x:f>IF(B1462="",0,(LEN(B1462)-LEN(SUBSTITUTE(B1462," | ","")))/3+1)</x:f>
        <x:v>4</x:v>
      </x:c>
      <x:c r="D1462" t="str">
        <x:v>q</x:v>
      </x:c>
      <x:c r="E1462" t="str">
        <x:v>https://www.webonary.org/marubo/g6ae86bd7-c73f-475d-972c-6f88d3ec8f8a/</x:v>
      </x:c>
      <x:c r="F1462" t="str">
        <x:v>gc73bce77-d4f5-43d0-b258-4fdd248deba7</x:v>
      </x:c>
      <x:c r="G1462" s="20" t="n">
        <x:v>46003.934968981484</x:v>
      </x:c>
    </x:row>
    <x:row r="1463">
      <x:c r="A1463" s="18" t="str">
        <x:v>queimar panelo de barro</x:v>
      </x:c>
      <x:c r="B1463" s="18" t="str">
        <x:v>oia</x:v>
      </x:c>
      <x:c r="C1463" s="19" t="n">
        <x:f>IF(B1463="",0,(LEN(B1463)-LEN(SUBSTITUTE(B1463," | ","")))/3+1)</x:f>
        <x:v>1</x:v>
      </x:c>
      <x:c r="D1463" t="str">
        <x:v>q</x:v>
      </x:c>
      <x:c r="E1463" t="str">
        <x:v>https://www.webonary.org/marubo/g78f69b18-b6e6-4afa-99f7-7ef91351d6d5/</x:v>
      </x:c>
      <x:c r="F1463" t="str">
        <x:v>g0af240c8-d4f1-4ad3-af11-5addb59421e5</x:v>
      </x:c>
      <x:c r="G1463" s="20" t="n">
        <x:v>46003.934968981484</x:v>
      </x:c>
    </x:row>
    <x:row r="1464">
      <x:c r="A1464" s="18" t="str">
        <x:v>queimar pelo de macaco</x:v>
      </x:c>
      <x:c r="B1464" s="18" t="str">
        <x:v>soo aká</x:v>
      </x:c>
      <x:c r="C1464" s="19" t="n">
        <x:f>IF(B1464="",0,(LEN(B1464)-LEN(SUBSTITUTE(B1464," | ","")))/3+1)</x:f>
        <x:v>1</x:v>
      </x:c>
      <x:c r="D1464" t="str">
        <x:v>q</x:v>
      </x:c>
      <x:c r="E1464" t="str">
        <x:v>https://www.webonary.org/marubo/gd9ca358b-684f-4b53-9020-5a01aadd9e54/</x:v>
      </x:c>
      <x:c r="F1464" t="str">
        <x:v>gba0d032e-2b6c-46e7-903a-98fa9d0860f5</x:v>
      </x:c>
      <x:c r="G1464" s="20" t="n">
        <x:v>46003.934968981484</x:v>
      </x:c>
    </x:row>
    <x:row r="1465">
      <x:c r="A1465" s="18" t="str">
        <x:v>queixada</x:v>
      </x:c>
      <x:c r="B1465" s="18" t="str">
        <x:v>yawa | 1</x:v>
      </x:c>
      <x:c r="C1465" s="19" t="n">
        <x:f>IF(B1465="",0,(LEN(B1465)-LEN(SUBSTITUTE(B1465," | ","")))/3+1)</x:f>
        <x:v>2</x:v>
      </x:c>
      <x:c r="D1465" t="str">
        <x:v>q</x:v>
      </x:c>
      <x:c r="E1465" t="str">
        <x:v>https://www.webonary.org/marubo/g72ddf70b-df59-4f25-824b-43ac1c4b07a0/</x:v>
      </x:c>
      <x:c r="F1465" t="str">
        <x:v>ge94404d9-e0e4-4fbb-af27-acdb564c4d6c</x:v>
      </x:c>
      <x:c r="G1465" s="20" t="n">
        <x:v>46003.934968981484</x:v>
      </x:c>
    </x:row>
    <x:row r="1466">
      <x:c r="A1466" s="18" t="str">
        <x:v>queixo</x:v>
      </x:c>
      <x:c r="B1466" s="18" t="str">
        <x:v>koi</x:v>
      </x:c>
      <x:c r="C1466" s="19" t="n">
        <x:f>IF(B1466="",0,(LEN(B1466)-LEN(SUBSTITUTE(B1466," | ","")))/3+1)</x:f>
        <x:v>1</x:v>
      </x:c>
      <x:c r="D1466" t="str">
        <x:v>q</x:v>
      </x:c>
      <x:c r="E1466" t="str">
        <x:v>https://www.webonary.org/marubo/g2e0087a7-10e4-4877-9fc4-1af4e57e64db/</x:v>
      </x:c>
      <x:c r="F1466" t="str">
        <x:v>g678db101-33a8-45f4-a448-e469026a6947</x:v>
      </x:c>
      <x:c r="G1466" s="20" t="n">
        <x:v>46003.934968981484</x:v>
      </x:c>
    </x:row>
    <x:row r="1467">
      <x:c r="A1467" s="18" t="str">
        <x:v>quem</x:v>
      </x:c>
      <x:c r="B1467" s="18" t="str">
        <x:v>tsoa</x:v>
      </x:c>
      <x:c r="C1467" s="19" t="n">
        <x:f>IF(B1467="",0,(LEN(B1467)-LEN(SUBSTITUTE(B1467," | ","")))/3+1)</x:f>
        <x:v>1</x:v>
      </x:c>
      <x:c r="D1467" t="str">
        <x:v>q</x:v>
      </x:c>
      <x:c r="E1467" t="str">
        <x:v>https://www.webonary.org/marubo/gdf5339a3-e5a8-4b08-ab0a-3b0356529d55/</x:v>
      </x:c>
      <x:c r="F1467" t="str">
        <x:v>gfbd095cb-251c-4b3d-8c49-c0081cec694c</x:v>
      </x:c>
      <x:c r="G1467" s="20" t="n">
        <x:v>46003.934968981484</x:v>
      </x:c>
    </x:row>
    <x:row r="1468">
      <x:c r="A1468" s="18" t="str">
        <x:v>quente</x:v>
      </x:c>
      <x:c r="B1468" s="18" t="str">
        <x:v>shanaka</x:v>
      </x:c>
      <x:c r="C1468" s="19" t="n">
        <x:f>IF(B1468="",0,(LEN(B1468)-LEN(SUBSTITUTE(B1468," | ","")))/3+1)</x:f>
        <x:v>1</x:v>
      </x:c>
      <x:c r="D1468" t="str">
        <x:v>q</x:v>
      </x:c>
      <x:c r="E1468" t="str">
        <x:v>https://www.webonary.org/marubo/g2bd10212-7747-403c-b549-41ac66865820/</x:v>
      </x:c>
      <x:c r="F1468" t="str">
        <x:v>g04716fdd-27de-4f23-a8cf-efa49891fa9d</x:v>
      </x:c>
      <x:c r="G1468" s="20" t="n">
        <x:v>46003.934968981484</x:v>
      </x:c>
    </x:row>
    <x:row r="1469">
      <x:c r="A1469" s="18" t="str">
        <x:v>quieto</x:v>
      </x:c>
      <x:c r="B1469" s="18" t="str">
        <x:v>matsíka</x:v>
      </x:c>
      <x:c r="C1469" s="19" t="n">
        <x:f>IF(B1469="",0,(LEN(B1469)-LEN(SUBSTITUTE(B1469," | ","")))/3+1)</x:f>
        <x:v>1</x:v>
      </x:c>
      <x:c r="D1469" t="str">
        <x:v>q</x:v>
      </x:c>
      <x:c r="E1469" t="str">
        <x:v>https://www.webonary.org/marubo/g49fe6407-b962-4908-8b58-f263f41c0568/</x:v>
      </x:c>
      <x:c r="F1469" t="str">
        <x:v>g5c7fef7a-3e7d-44ba-bf88-5afb3e4cb3cd</x:v>
      </x:c>
      <x:c r="G1469" s="20" t="n">
        <x:v>46003.934968981484</x:v>
      </x:c>
    </x:row>
    <x:row r="1470">
      <x:c r="A1470" s="18" t="str">
        <x:v>quilha</x:v>
      </x:c>
      <x:c r="B1470" s="18" t="str">
        <x:v>kate</x:v>
      </x:c>
      <x:c r="C1470" s="19" t="n">
        <x:f>IF(B1470="",0,(LEN(B1470)-LEN(SUBSTITUTE(B1470," | ","")))/3+1)</x:f>
        <x:v>1</x:v>
      </x:c>
      <x:c r="D1470" t="str">
        <x:v>q</x:v>
      </x:c>
      <x:c r="E1470" t="str">
        <x:v>https://www.webonary.org/marubo/ga88982ba-b17c-4e0b-a0cf-642ef4429eb9/</x:v>
      </x:c>
      <x:c r="F1470" t="str">
        <x:v>g76d1459f-86b3-418d-b9b3-5809abd190fd</x:v>
      </x:c>
      <x:c r="G1470" s="20" t="n">
        <x:v>46003.934968981484</x:v>
      </x:c>
    </x:row>
    <x:row r="1471">
      <x:c r="A1471" s="18" t="str">
        <x:v>rã chia</x:v>
      </x:c>
      <x:c r="B1471" s="18" t="str">
        <x:v>eo | 1</x:v>
      </x:c>
      <x:c r="C1471" s="19" t="n">
        <x:f>IF(B1471="",0,(LEN(B1471)-LEN(SUBSTITUTE(B1471," | ","")))/3+1)</x:f>
        <x:v>2</x:v>
      </x:c>
      <x:c r="D1471" t="str">
        <x:v>r</x:v>
      </x:c>
      <x:c r="E1471" t="str">
        <x:v>https://www.webonary.org/marubo/g94aa4a84-01af-48a1-83fb-54d0e00875f9/</x:v>
      </x:c>
      <x:c r="F1471" t="str">
        <x:v>g70d35ded-85a1-4232-81a1-3574044ecf13</x:v>
      </x:c>
      <x:c r="G1471" s="20" t="n">
        <x:v>46003.934968981484</x:v>
      </x:c>
    </x:row>
    <x:row r="1472">
      <x:c r="A1472" s="18" t="str">
        <x:v>rabo</x:v>
      </x:c>
      <x:c r="B1472" s="18" t="str">
        <x:v>ina</x:v>
      </x:c>
      <x:c r="C1472" s="19" t="n">
        <x:f>IF(B1472="",0,(LEN(B1472)-LEN(SUBSTITUTE(B1472," | ","")))/3+1)</x:f>
        <x:v>1</x:v>
      </x:c>
      <x:c r="D1472" t="str">
        <x:v>r</x:v>
      </x:c>
      <x:c r="E1472" t="str">
        <x:v>https://www.webonary.org/marubo/g9d7e3cce-9195-4248-bb50-6f82dacae948/</x:v>
      </x:c>
      <x:c r="F1472" t="str">
        <x:v>g94e3537b-f2d3-4a61-a16d-b0129874c857</x:v>
      </x:c>
      <x:c r="G1472" s="20" t="n">
        <x:v>46003.934968981484</x:v>
      </x:c>
    </x:row>
    <x:row r="1473">
      <x:c r="A1473" s="18" t="str">
        <x:v>rabo de peixe</x:v>
      </x:c>
      <x:c r="B1473" s="18" t="str">
        <x:v>ĩpá</x:v>
      </x:c>
      <x:c r="C1473" s="19" t="n">
        <x:f>IF(B1473="",0,(LEN(B1473)-LEN(SUBSTITUTE(B1473," | ","")))/3+1)</x:f>
        <x:v>1</x:v>
      </x:c>
      <x:c r="D1473" t="str">
        <x:v>r</x:v>
      </x:c>
      <x:c r="E1473" t="str">
        <x:v>https://www.webonary.org/marubo/ga7a92129-fc2b-4134-9e1a-b88d071257bb/</x:v>
      </x:c>
      <x:c r="F1473" t="str">
        <x:v>g85d02440-d3e2-42bc-ae2e-3f82c25a86d7</x:v>
      </x:c>
      <x:c r="G1473" s="20" t="n">
        <x:v>46003.934968981484</x:v>
      </x:c>
    </x:row>
    <x:row r="1474">
      <x:c r="A1474" s="18" t="str">
        <x:v>rachar</x:v>
      </x:c>
      <x:c r="B1474" s="18" t="str">
        <x:v>astéa</x:v>
      </x:c>
      <x:c r="C1474" s="19" t="n">
        <x:f>IF(B1474="",0,(LEN(B1474)-LEN(SUBSTITUTE(B1474," | ","")))/3+1)</x:f>
        <x:v>1</x:v>
      </x:c>
      <x:c r="D1474" t="str">
        <x:v>r</x:v>
      </x:c>
      <x:c r="E1474" t="str">
        <x:v>https://www.webonary.org/marubo/g70942b2c-0b6f-46ff-9944-7154ed96fbf4/</x:v>
      </x:c>
      <x:c r="F1474" t="str">
        <x:v>gc76aa0ac-55df-47aa-9668-f9365ab60cad</x:v>
      </x:c>
      <x:c r="G1474" s="20" t="n">
        <x:v>46003.934968981484</x:v>
      </x:c>
    </x:row>
    <x:row r="1475">
      <x:c r="A1475" s="18" t="str">
        <x:v>rachar toco</x:v>
      </x:c>
      <x:c r="B1475" s="18" t="str">
        <x:v>napévakĩa</x:v>
      </x:c>
      <x:c r="C1475" s="19" t="n">
        <x:f>IF(B1475="",0,(LEN(B1475)-LEN(SUBSTITUTE(B1475," | ","")))/3+1)</x:f>
        <x:v>1</x:v>
      </x:c>
      <x:c r="D1475" t="str">
        <x:v>r</x:v>
      </x:c>
      <x:c r="E1475" t="str">
        <x:v>https://www.webonary.org/marubo/gae2555ad-04d7-48b5-a7f6-7a0884a15d97/</x:v>
      </x:c>
      <x:c r="F1475" t="str">
        <x:v>gf1ca7818-c17b-4285-aa6d-296f4751de09</x:v>
      </x:c>
      <x:c r="G1475" s="20" t="n">
        <x:v>46003.934968981484</x:v>
      </x:c>
    </x:row>
    <x:row r="1476">
      <x:c r="A1476" s="18" t="str">
        <x:v>rachar um pote de barro</x:v>
      </x:c>
      <x:c r="B1476" s="18" t="str">
        <x:v>ketxar ikí</x:v>
      </x:c>
      <x:c r="C1476" s="19" t="n">
        <x:f>IF(B1476="",0,(LEN(B1476)-LEN(SUBSTITUTE(B1476," | ","")))/3+1)</x:f>
        <x:v>1</x:v>
      </x:c>
      <x:c r="D1476" t="str">
        <x:v>r</x:v>
      </x:c>
      <x:c r="E1476" t="str">
        <x:v>https://www.webonary.org/marubo/ge4e22e29-6df4-4e92-8d09-f8efb9ff35ec/</x:v>
      </x:c>
      <x:c r="F1476" t="str">
        <x:v>g7df609dd-07ee-4f68-942f-541972f5d806</x:v>
      </x:c>
      <x:c r="G1476" s="20" t="n">
        <x:v>46003.934968981484</x:v>
      </x:c>
    </x:row>
    <x:row r="1477">
      <x:c r="A1477" s="18" t="str">
        <x:v>raio de sol</x:v>
      </x:c>
      <x:c r="B1477" s="18" t="str">
        <x:v>otá</x:v>
      </x:c>
      <x:c r="C1477" s="19" t="n">
        <x:f>IF(B1477="",0,(LEN(B1477)-LEN(SUBSTITUTE(B1477," | ","")))/3+1)</x:f>
        <x:v>1</x:v>
      </x:c>
      <x:c r="D1477" t="str">
        <x:v>r</x:v>
      </x:c>
      <x:c r="E1477" t="str">
        <x:v>https://www.webonary.org/marubo/g4317e829-c720-42a8-851a-e52dc85c8c1d/</x:v>
      </x:c>
      <x:c r="F1477" t="str">
        <x:v>g69f607db-934e-4000-93fb-67f49bfabcad</x:v>
      </x:c>
      <x:c r="G1477" s="20" t="n">
        <x:v>46003.934968981484</x:v>
      </x:c>
    </x:row>
    <x:row r="1478">
      <x:c r="A1478" s="18" t="str">
        <x:v>raiz</x:v>
      </x:c>
      <x:c r="B1478" s="18" t="str">
        <x:v>iwi tapõ</x:v>
      </x:c>
      <x:c r="C1478" s="19" t="n">
        <x:f>IF(B1478="",0,(LEN(B1478)-LEN(SUBSTITUTE(B1478," | ","")))/3+1)</x:f>
        <x:v>1</x:v>
      </x:c>
      <x:c r="D1478" t="str">
        <x:v>r</x:v>
      </x:c>
      <x:c r="E1478" t="str">
        <x:v>https://www.webonary.org/marubo/g63cf0297-5bb1-4ac8-8751-fcd5b88b4f48/</x:v>
      </x:c>
      <x:c r="F1478" t="str">
        <x:v>g68f6a6b4-e6fc-41a5-a937-490dec0eb882</x:v>
      </x:c>
      <x:c r="G1478" s="20" t="n">
        <x:v>46003.934968981484</x:v>
      </x:c>
    </x:row>
    <x:row r="1479">
      <x:c r="A1479" s="18" t="str">
        <x:v>raiz de arvore sapopema</x:v>
      </x:c>
      <x:c r="B1479" s="18" t="str">
        <x:v>vema</x:v>
      </x:c>
      <x:c r="C1479" s="19" t="n">
        <x:f>IF(B1479="",0,(LEN(B1479)-LEN(SUBSTITUTE(B1479," | ","")))/3+1)</x:f>
        <x:v>1</x:v>
      </x:c>
      <x:c r="D1479" t="str">
        <x:v>r</x:v>
      </x:c>
      <x:c r="E1479" t="str">
        <x:v>https://www.webonary.org/marubo/g77258350-ad8c-4ec6-a098-3cd5d675b394/</x:v>
      </x:c>
      <x:c r="F1479" t="str">
        <x:v>gec05f0d7-b9da-4edf-b180-dce22277b950</x:v>
      </x:c>
      <x:c r="G1479" s="20" t="n">
        <x:v>46003.934968981484</x:v>
      </x:c>
    </x:row>
    <x:row r="1480">
      <x:c r="A1480" s="18" t="str">
        <x:v>ralar</x:v>
      </x:c>
      <x:c r="B1480" s="18" t="str">
        <x:v>nisa</x:v>
      </x:c>
      <x:c r="C1480" s="19" t="n">
        <x:f>IF(B1480="",0,(LEN(B1480)-LEN(SUBSTITUTE(B1480," | ","")))/3+1)</x:f>
        <x:v>1</x:v>
      </x:c>
      <x:c r="D1480" t="str">
        <x:v>r</x:v>
      </x:c>
      <x:c r="E1480" t="str">
        <x:v>https://www.webonary.org/marubo/gacd5bd4c-7093-4cfe-abdf-1efd532613c0/</x:v>
      </x:c>
      <x:c r="F1480" t="str">
        <x:v>ga477f235-5fdc-48cb-8736-e56a50084e6a</x:v>
      </x:c>
      <x:c r="G1480" s="20" t="n">
        <x:v>46003.934968981484</x:v>
      </x:c>
    </x:row>
    <x:row r="1481">
      <x:c r="A1481" s="18" t="str">
        <x:v>ramo</x:v>
      </x:c>
      <x:c r="B1481" s="18" t="str">
        <x:v>txĩti</x:v>
      </x:c>
      <x:c r="C1481" s="19" t="n">
        <x:f>IF(B1481="",0,(LEN(B1481)-LEN(SUBSTITUTE(B1481," | ","")))/3+1)</x:f>
        <x:v>1</x:v>
      </x:c>
      <x:c r="D1481" t="str">
        <x:v>r</x:v>
      </x:c>
      <x:c r="E1481" t="str">
        <x:v>https://www.webonary.org/marubo/ga8410985-2936-45ef-9c13-8c6274a959b7/</x:v>
      </x:c>
      <x:c r="F1481" t="str">
        <x:v>g8a9b607d-5a16-4110-a6ef-f0e8e1365ec9</x:v>
      </x:c>
      <x:c r="G1481" s="20" t="n">
        <x:v>46003.934968981484</x:v>
      </x:c>
    </x:row>
    <x:row r="1482">
      <x:c r="A1482" s="18" t="str">
        <x:v>rápido</x:v>
      </x:c>
      <x:c r="B1482" s="18" t="str">
        <x:v>rayáka | raya | vestẽka | chairó</x:v>
      </x:c>
      <x:c r="C1482" s="19" t="n">
        <x:f>IF(B1482="",0,(LEN(B1482)-LEN(SUBSTITUTE(B1482," | ","")))/3+1)</x:f>
        <x:v>4</x:v>
      </x:c>
      <x:c r="D1482" t="str">
        <x:v>r</x:v>
      </x:c>
      <x:c r="E1482" t="str">
        <x:v>https://www.webonary.org/marubo/gac0772cb-12de-40eb-a8e7-2c3da038555b/</x:v>
      </x:c>
      <x:c r="F1482" t="str">
        <x:v>g84f0eeca-a092-4c5d-a1f3-86d2007f9b31</x:v>
      </x:c>
      <x:c r="G1482" s="20" t="n">
        <x:v>46003.934968981484</x:v>
      </x:c>
    </x:row>
    <x:row r="1483">
      <x:c r="A1483" s="18" t="str">
        <x:v>rarranhar</x:v>
      </x:c>
      <x:c r="B1483" s="18" t="str">
        <x:v>tsarás aká</x:v>
      </x:c>
      <x:c r="C1483" s="19" t="n">
        <x:f>IF(B1483="",0,(LEN(B1483)-LEN(SUBSTITUTE(B1483," | ","")))/3+1)</x:f>
        <x:v>1</x:v>
      </x:c>
      <x:c r="D1483" t="str">
        <x:v>r</x:v>
      </x:c>
      <x:c r="E1483" t="str">
        <x:v>https://www.webonary.org/marubo/g6d913656-3d35-49e3-adb5-52770d556782/</x:v>
      </x:c>
      <x:c r="F1483" t="str">
        <x:v>g5e61ade7-29b3-46ee-a989-5172e8d2d0ee</x:v>
      </x:c>
      <x:c r="G1483" s="20" t="n">
        <x:v>46003.934968981484</x:v>
      </x:c>
    </x:row>
    <x:row r="1484">
      <x:c r="A1484" s="18" t="str">
        <x:v>rasgar</x:v>
      </x:c>
      <x:c r="B1484" s="18" t="str">
        <x:v>voshóa | ochnia</x:v>
      </x:c>
      <x:c r="C1484" s="19" t="n">
        <x:f>IF(B1484="",0,(LEN(B1484)-LEN(SUBSTITUTE(B1484," | ","")))/3+1)</x:f>
        <x:v>2</x:v>
      </x:c>
      <x:c r="D1484" t="str">
        <x:v>r</x:v>
      </x:c>
      <x:c r="E1484" t="str">
        <x:v>https://www.webonary.org/marubo/gf1ebf637-6a14-4117-baca-6a6c743a1995/</x:v>
      </x:c>
      <x:c r="F1484" t="str">
        <x:v>g0454ddff-b002-4a11-953a-d98dfc4501c5</x:v>
      </x:c>
      <x:c r="G1484" s="20" t="n">
        <x:v>46003.934968981484</x:v>
      </x:c>
    </x:row>
    <x:row r="1485">
      <x:c r="A1485" s="18" t="str">
        <x:v>raspar</x:v>
      </x:c>
      <x:c r="B1485" s="18" t="str">
        <x:v>wesha</x:v>
      </x:c>
      <x:c r="C1485" s="19" t="n">
        <x:f>IF(B1485="",0,(LEN(B1485)-LEN(SUBSTITUTE(B1485," | ","")))/3+1)</x:f>
        <x:v>1</x:v>
      </x:c>
      <x:c r="D1485" t="str">
        <x:v>r</x:v>
      </x:c>
      <x:c r="E1485" t="str">
        <x:v>https://www.webonary.org/marubo/g326adbd9-ccfe-4854-a06f-760637953b75/</x:v>
      </x:c>
      <x:c r="F1485" t="str">
        <x:v>g0cd3eaa1-f443-42d1-a0ea-d4f2aea9dee3</x:v>
      </x:c>
      <x:c r="G1485" s="20" t="n">
        <x:v>46003.934968981484</x:v>
      </x:c>
    </x:row>
    <x:row r="1486">
      <x:c r="A1486" s="18" t="str">
        <x:v>raspar comida com os dentes</x:v>
      </x:c>
      <x:c r="B1486" s="18" t="str">
        <x:v>yesha</x:v>
      </x:c>
      <x:c r="C1486" s="19" t="n">
        <x:f>IF(B1486="",0,(LEN(B1486)-LEN(SUBSTITUTE(B1486," | ","")))/3+1)</x:f>
        <x:v>1</x:v>
      </x:c>
      <x:c r="D1486" t="str">
        <x:v>r</x:v>
      </x:c>
      <x:c r="E1486" t="str">
        <x:v>https://www.webonary.org/marubo/g9abb8eeb-4699-4b7c-87c6-951ae5250b8a/</x:v>
      </x:c>
      <x:c r="F1486" t="str">
        <x:v>gf7217c4e-49c0-4c54-9a72-6a004cd3092c</x:v>
      </x:c>
      <x:c r="G1486" s="20" t="n">
        <x:v>46003.934968981484</x:v>
      </x:c>
    </x:row>
    <x:row r="1487">
      <x:c r="A1487" s="18" t="str">
        <x:v>rato</x:v>
      </x:c>
      <x:c r="B1487" s="18" t="str">
        <x:v>maka | 1</x:v>
      </x:c>
      <x:c r="C1487" s="19" t="n">
        <x:f>IF(B1487="",0,(LEN(B1487)-LEN(SUBSTITUTE(B1487," | ","")))/3+1)</x:f>
        <x:v>2</x:v>
      </x:c>
      <x:c r="D1487" t="str">
        <x:v>r</x:v>
      </x:c>
      <x:c r="E1487" t="str">
        <x:v>https://www.webonary.org/marubo/ge1dd3aeb-00c6-4744-bcfc-8b72bb1e6b67/</x:v>
      </x:c>
      <x:c r="F1487" t="str">
        <x:v>g37b54ac2-5801-4637-a376-6f5446fa60ca</x:v>
      </x:c>
      <x:c r="G1487" s="20" t="n">
        <x:v>46003.934968981484</x:v>
      </x:c>
    </x:row>
    <x:row r="1488">
      <x:c r="A1488" s="18" t="str">
        <x:v>rato do mato</x:v>
      </x:c>
      <x:c r="B1488" s="18" t="str">
        <x:v>nii maka</x:v>
      </x:c>
      <x:c r="C1488" s="19" t="n">
        <x:f>IF(B1488="",0,(LEN(B1488)-LEN(SUBSTITUTE(B1488," | ","")))/3+1)</x:f>
        <x:v>1</x:v>
      </x:c>
      <x:c r="D1488" t="str">
        <x:v>r</x:v>
      </x:c>
      <x:c r="E1488" t="str">
        <x:v>https://www.webonary.org/marubo/gd956845a-de61-49e1-b527-bc6e03e57609/</x:v>
      </x:c>
      <x:c r="F1488" t="str">
        <x:v>gea5caddc-b5e2-4561-95a5-daa8ed2d0770</x:v>
      </x:c>
      <x:c r="G1488" s="20" t="n">
        <x:v>46003.934968981484</x:v>
      </x:c>
    </x:row>
    <x:row r="1489">
      <x:c r="A1489" s="18" t="str">
        <x:v>razo</x:v>
      </x:c>
      <x:c r="B1489" s="18" t="str">
        <x:v>tsosĩka | okema</x:v>
      </x:c>
      <x:c r="C1489" s="19" t="n">
        <x:f>IF(B1489="",0,(LEN(B1489)-LEN(SUBSTITUTE(B1489," | ","")))/3+1)</x:f>
        <x:v>2</x:v>
      </x:c>
      <x:c r="D1489" t="str">
        <x:v>r</x:v>
      </x:c>
      <x:c r="E1489" t="str">
        <x:v>https://www.webonary.org/marubo/g6b89af35-de61-40d0-a82f-f5be44e81732/</x:v>
      </x:c>
      <x:c r="F1489" t="str">
        <x:v>g0c50ddf1-f090-4442-84de-8fcae0dc00f4</x:v>
      </x:c>
      <x:c r="G1489" s="20" t="n">
        <x:v>46003.934968981484</x:v>
      </x:c>
    </x:row>
    <x:row r="1490">
      <x:c r="A1490" s="18" t="str">
        <x:v>real</x:v>
      </x:c>
      <x:c r="B1490" s="18" t="str">
        <x:v>-koĩ | 1</x:v>
      </x:c>
      <x:c r="C1490" s="19" t="n">
        <x:f>IF(B1490="",0,(LEN(B1490)-LEN(SUBSTITUTE(B1490," | ","")))/3+1)</x:f>
        <x:v>2</x:v>
      </x:c>
      <x:c r="D1490" t="str">
        <x:v>r</x:v>
      </x:c>
      <x:c r="E1490" t="str">
        <x:v>https://www.webonary.org/marubo/gbce05f9a-ff95-4327-ac9d-f3ea690c38e7/</x:v>
      </x:c>
      <x:c r="F1490" t="str">
        <x:v>g7a637a82-d015-41af-af33-c518663ae69c</x:v>
      </x:c>
      <x:c r="G1490" s="20" t="n">
        <x:v>46003.934968981484</x:v>
      </x:c>
    </x:row>
    <x:row r="1491">
      <x:c r="A1491" s="18" t="str">
        <x:v>RECP</x:v>
      </x:c>
      <x:c r="B1491" s="18" t="str">
        <x:v>-nanã</x:v>
      </x:c>
      <x:c r="C1491" s="19" t="n">
        <x:f>IF(B1491="",0,(LEN(B1491)-LEN(SUBSTITUTE(B1491," | ","")))/3+1)</x:f>
        <x:v>1</x:v>
      </x:c>
      <x:c r="D1491" t="str">
        <x:v>r</x:v>
      </x:c>
      <x:c r="E1491" t="str">
        <x:v>https://www.webonary.org/marubo/g88a13b3f-23d7-4982-868b-e3e5e6dbab2f/</x:v>
      </x:c>
      <x:c r="F1491" t="str">
        <x:v>g584e375f-1972-4233-8bc1-3dc68a767865</x:v>
      </x:c>
      <x:c r="G1491" s="20" t="n">
        <x:v>46003.934968981484</x:v>
      </x:c>
    </x:row>
    <x:row r="1492">
      <x:c r="A1492" s="18" t="str">
        <x:v>rede</x:v>
      </x:c>
      <x:c r="B1492" s="18" t="str">
        <x:v>pani</x:v>
      </x:c>
      <x:c r="C1492" s="19" t="n">
        <x:f>IF(B1492="",0,(LEN(B1492)-LEN(SUBSTITUTE(B1492," | ","")))/3+1)</x:f>
        <x:v>1</x:v>
      </x:c>
      <x:c r="D1492" t="str">
        <x:v>r</x:v>
      </x:c>
      <x:c r="E1492" t="str">
        <x:v>https://www.webonary.org/marubo/g106cc223-ee6b-45d2-84f6-81009cf148a0/</x:v>
      </x:c>
      <x:c r="F1492" t="str">
        <x:v>g5b72b0b9-7c13-4add-b48d-f0b0cd4de085</x:v>
      </x:c>
      <x:c r="G1492" s="20" t="n">
        <x:v>46003.934968981484</x:v>
      </x:c>
    </x:row>
    <x:row r="1493">
      <x:c r="A1493" s="18" t="str">
        <x:v>redondo</x:v>
      </x:c>
      <x:c r="B1493" s="18" t="str">
        <x:v>toroka</x:v>
      </x:c>
      <x:c r="C1493" s="19" t="n">
        <x:f>IF(B1493="",0,(LEN(B1493)-LEN(SUBSTITUTE(B1493," | ","")))/3+1)</x:f>
        <x:v>1</x:v>
      </x:c>
      <x:c r="D1493" t="str">
        <x:v>r</x:v>
      </x:c>
      <x:c r="E1493" t="str">
        <x:v>https://www.webonary.org/marubo/g85770af6-ddec-4001-a1c6-ea7e245f4d17/</x:v>
      </x:c>
      <x:c r="F1493" t="str">
        <x:v>gf61ec041-345e-48c6-a5b9-d02d354f3fca</x:v>
      </x:c>
      <x:c r="G1493" s="20" t="n">
        <x:v>46003.934968981484</x:v>
      </x:c>
    </x:row>
    <x:row r="1494">
      <x:c r="A1494" s="18" t="str">
        <x:v>remanso</x:v>
      </x:c>
      <x:c r="B1494" s="18" t="str">
        <x:v>koviná</x:v>
      </x:c>
      <x:c r="C1494" s="19" t="n">
        <x:f>IF(B1494="",0,(LEN(B1494)-LEN(SUBSTITUTE(B1494," | ","")))/3+1)</x:f>
        <x:v>1</x:v>
      </x:c>
      <x:c r="D1494" t="str">
        <x:v>r</x:v>
      </x:c>
      <x:c r="E1494" t="str">
        <x:v>https://www.webonary.org/marubo/g53a9eab8-661a-469a-9fe7-b0de84bb6476/</x:v>
      </x:c>
      <x:c r="F1494" t="str">
        <x:v>g43d34989-3b5f-4edb-ae77-c59915093a52</x:v>
      </x:c>
      <x:c r="G1494" s="20" t="n">
        <x:v>46003.934968981484</x:v>
      </x:c>
    </x:row>
    <x:row r="1495">
      <x:c r="A1495" s="18" t="str">
        <x:v>remédio</x:v>
      </x:c>
      <x:c r="B1495" s="18" t="str">
        <x:v>rao</x:v>
      </x:c>
      <x:c r="C1495" s="19" t="n">
        <x:f>IF(B1495="",0,(LEN(B1495)-LEN(SUBSTITUTE(B1495," | ","")))/3+1)</x:f>
        <x:v>1</x:v>
      </x:c>
      <x:c r="D1495" t="str">
        <x:v>r</x:v>
      </x:c>
      <x:c r="E1495" t="str">
        <x:v>https://www.webonary.org/marubo/gefed52ff-ff5f-4d77-a4af-ba4e58b63f26/</x:v>
      </x:c>
      <x:c r="F1495" t="str">
        <x:v>gb71393b6-86e8-4623-913e-139f1e986195</x:v>
      </x:c>
      <x:c r="G1495" s="20" t="n">
        <x:v>46003.934968981484</x:v>
      </x:c>
    </x:row>
    <x:row r="1496">
      <x:c r="A1496" s="18" t="str">
        <x:v>remédio para diarreia</x:v>
      </x:c>
      <x:c r="B1496" s="18" t="str">
        <x:v>yoto</x:v>
      </x:c>
      <x:c r="C1496" s="19" t="n">
        <x:f>IF(B1496="",0,(LEN(B1496)-LEN(SUBSTITUTE(B1496," | ","")))/3+1)</x:f>
        <x:v>1</x:v>
      </x:c>
      <x:c r="D1496" t="str">
        <x:v>r</x:v>
      </x:c>
      <x:c r="E1496" t="str">
        <x:v>https://www.webonary.org/marubo/g751aca40-a1b5-4ebf-a7d9-d171f71fa71d/</x:v>
      </x:c>
      <x:c r="F1496" t="str">
        <x:v>g06b9a87b-a8eb-4d81-8c41-1d51d8b39ecc</x:v>
      </x:c>
      <x:c r="G1496" s="20" t="n">
        <x:v>46003.934968981484</x:v>
      </x:c>
    </x:row>
    <x:row r="1497">
      <x:c r="A1497" s="18" t="str">
        <x:v>remédio para prevenir picada de cobra</x:v>
      </x:c>
      <x:c r="B1497" s="18" t="str">
        <x:v>ichi sẽpa</x:v>
      </x:c>
      <x:c r="C1497" s="19" t="n">
        <x:f>IF(B1497="",0,(LEN(B1497)-LEN(SUBSTITUTE(B1497," | ","")))/3+1)</x:f>
        <x:v>1</x:v>
      </x:c>
      <x:c r="D1497" t="str">
        <x:v>r</x:v>
      </x:c>
      <x:c r="E1497" t="str">
        <x:v>https://www.webonary.org/marubo/gab4662a0-0844-404d-a1f9-6eed59f48d04/</x:v>
      </x:c>
      <x:c r="F1497" t="str">
        <x:v>g555fdb4f-583a-41b3-ad9a-0ab6378bf9dd</x:v>
      </x:c>
      <x:c r="G1497" s="20" t="n">
        <x:v>46003.934968981484</x:v>
      </x:c>
    </x:row>
    <x:row r="1498">
      <x:c r="A1498" s="18" t="str">
        <x:v>remédio tradicional</x:v>
      </x:c>
      <x:c r="B1498" s="18" t="str">
        <x:v>voẽ moká | chichĩ moka | chinõ wesná rao | chinõ moka | chinõ tõpinatosti</x:v>
      </x:c>
      <x:c r="C1498" s="19" t="n">
        <x:f>IF(B1498="",0,(LEN(B1498)-LEN(SUBSTITUTE(B1498," | ","")))/3+1)</x:f>
        <x:v>5</x:v>
      </x:c>
      <x:c r="D1498" t="str">
        <x:v>r</x:v>
      </x:c>
      <x:c r="E1498" t="str">
        <x:v>https://www.webonary.org/marubo/g1f5b6f47-5afc-4fe5-bb5d-5ed05b00ac8f/</x:v>
      </x:c>
      <x:c r="F1498" t="str">
        <x:v>g96dcec83-a6a9-4706-83e8-e2dc0f046c60</x:v>
      </x:c>
      <x:c r="G1498" s="20" t="n">
        <x:v>46003.934968981484</x:v>
      </x:c>
    </x:row>
    <x:row r="1499">
      <x:c r="A1499" s="18" t="str">
        <x:v>REP</x:v>
      </x:c>
      <x:c r="B1499" s="18" t="str">
        <x:v>-o</x:v>
      </x:c>
      <x:c r="C1499" s="19" t="n">
        <x:f>IF(B1499="",0,(LEN(B1499)-LEN(SUBSTITUTE(B1499," | ","")))/3+1)</x:f>
        <x:v>1</x:v>
      </x:c>
      <x:c r="D1499" t="str">
        <x:v>r</x:v>
      </x:c>
      <x:c r="E1499" t="str">
        <x:v>https://www.webonary.org/marubo/gc8207eaa-e324-43e1-a2d7-ae539686f7f3/</x:v>
      </x:c>
      <x:c r="F1499" t="str">
        <x:v>g7ed89a85-06cc-44bf-9837-a655d78ec2d3</x:v>
      </x:c>
      <x:c r="G1499" s="20" t="n">
        <x:v>46003.934968981484</x:v>
      </x:c>
    </x:row>
    <x:row r="1500">
      <x:c r="A1500" s="18" t="str">
        <x:v>respeitar</x:v>
      </x:c>
      <x:c r="B1500" s="18" t="str">
        <x:v>ravia</x:v>
      </x:c>
      <x:c r="C1500" s="19" t="n">
        <x:f>IF(B1500="",0,(LEN(B1500)-LEN(SUBSTITUTE(B1500," | ","")))/3+1)</x:f>
        <x:v>1</x:v>
      </x:c>
      <x:c r="D1500" t="str">
        <x:v>r</x:v>
      </x:c>
      <x:c r="E1500" t="str">
        <x:v>https://www.webonary.org/marubo/gcf790f64-0b39-4792-acef-d4c8e04b1bff/</x:v>
      </x:c>
      <x:c r="F1500" t="str">
        <x:v>g9625b452-d544-478d-bb52-aa4ff272f047</x:v>
      </x:c>
      <x:c r="G1500" s="20" t="n">
        <x:v>46003.934968981484</x:v>
      </x:c>
    </x:row>
    <x:row r="1501">
      <x:c r="A1501" s="18" t="str">
        <x:v>responder</x:v>
      </x:c>
      <x:c r="B1501" s="18" t="str">
        <x:v>revía</x:v>
      </x:c>
      <x:c r="C1501" s="19" t="n">
        <x:f>IF(B1501="",0,(LEN(B1501)-LEN(SUBSTITUTE(B1501," | ","")))/3+1)</x:f>
        <x:v>1</x:v>
      </x:c>
      <x:c r="D1501" t="str">
        <x:v>r</x:v>
      </x:c>
      <x:c r="E1501" t="str">
        <x:v>https://www.webonary.org/marubo/g5e1e0891-ace5-4226-9a8e-ec968dfee0c8/</x:v>
      </x:c>
      <x:c r="F1501" t="str">
        <x:v>g54eda818-5c9f-442c-bd28-908dad605252</x:v>
      </x:c>
      <x:c r="G1501" s="20" t="n">
        <x:v>46003.934968981484</x:v>
      </x:c>
    </x:row>
    <x:row r="1502">
      <x:c r="A1502" s="18" t="str">
        <x:v>responder positivo para alguem</x:v>
      </x:c>
      <x:c r="B1502" s="18" t="str">
        <x:v>eẽ</x:v>
      </x:c>
      <x:c r="C1502" s="19" t="n">
        <x:f>IF(B1502="",0,(LEN(B1502)-LEN(SUBSTITUTE(B1502," | ","")))/3+1)</x:f>
        <x:v>1</x:v>
      </x:c>
      <x:c r="D1502" t="str">
        <x:v>r</x:v>
      </x:c>
      <x:c r="E1502" t="str">
        <x:v>https://www.webonary.org/marubo/g92be44db-0cb3-4b70-aee1-284aceee4ed8/</x:v>
      </x:c>
      <x:c r="F1502" t="str">
        <x:v>g9711a2a9-21df-4f8c-9104-b5b504fe62ff</x:v>
      </x:c>
      <x:c r="G1502" s="20" t="n">
        <x:v>46003.934968981484</x:v>
      </x:c>
    </x:row>
    <x:row r="1503">
      <x:c r="A1503" s="18" t="str">
        <x:v>reto</x:v>
      </x:c>
      <x:c r="B1503" s="18" t="str">
        <x:v>mekika</x:v>
      </x:c>
      <x:c r="C1503" s="19" t="n">
        <x:f>IF(B1503="",0,(LEN(B1503)-LEN(SUBSTITUTE(B1503," | ","")))/3+1)</x:f>
        <x:v>1</x:v>
      </x:c>
      <x:c r="D1503" t="str">
        <x:v>r</x:v>
      </x:c>
      <x:c r="E1503" t="str">
        <x:v>https://www.webonary.org/marubo/ge7077905-bd39-4e4a-ad7c-b3d57b08ae96/</x:v>
      </x:c>
      <x:c r="F1503" t="str">
        <x:v>gf6d1081b-e210-4580-ba7d-f5ddd1a782ad</x:v>
      </x:c>
      <x:c r="G1503" s="20" t="n">
        <x:v>46003.934968981484</x:v>
      </x:c>
    </x:row>
    <x:row r="1504">
      <x:c r="A1504" s="18" t="str">
        <x:v>revivar</x:v>
      </x:c>
      <x:c r="B1504" s="18" t="str">
        <x:v>vesokarã</x:v>
      </x:c>
      <x:c r="C1504" s="19" t="n">
        <x:f>IF(B1504="",0,(LEN(B1504)-LEN(SUBSTITUTE(B1504," | ","")))/3+1)</x:f>
        <x:v>1</x:v>
      </x:c>
      <x:c r="D1504" t="str">
        <x:v>r</x:v>
      </x:c>
      <x:c r="E1504" t="str">
        <x:v>https://www.webonary.org/marubo/gf3f035ab-28c3-431c-a581-44a98043913d/</x:v>
      </x:c>
      <x:c r="F1504" t="str">
        <x:v>g5416472a-d6d4-492e-89b1-f6c0ad8467ea</x:v>
      </x:c>
      <x:c r="G1504" s="20" t="n">
        <x:v>46003.934968981484</x:v>
      </x:c>
    </x:row>
    <x:row r="1505">
      <x:c r="A1505" s="18" t="str">
        <x:v>rins</x:v>
      </x:c>
      <x:c r="B1505" s="18" t="str">
        <x:v>sharéshke</x:v>
      </x:c>
      <x:c r="C1505" s="19" t="n">
        <x:f>IF(B1505="",0,(LEN(B1505)-LEN(SUBSTITUTE(B1505," | ","")))/3+1)</x:f>
        <x:v>1</x:v>
      </x:c>
      <x:c r="D1505" t="str">
        <x:v>r</x:v>
      </x:c>
      <x:c r="E1505" t="str">
        <x:v>https://www.webonary.org/marubo/g488b24da-6657-43e1-87e2-602e5d4742f9/</x:v>
      </x:c>
      <x:c r="F1505" t="str">
        <x:v>g2fa59737-6f8c-4208-87c4-23167e2551cb</x:v>
      </x:c>
      <x:c r="G1505" s="20" t="n">
        <x:v>46003.934968981484</x:v>
      </x:c>
    </x:row>
    <x:row r="1506">
      <x:c r="A1506" s="18" t="str">
        <x:v>rio</x:v>
      </x:c>
      <x:c r="B1506" s="18" t="str">
        <x:v>waka</x:v>
      </x:c>
      <x:c r="C1506" s="19" t="n">
        <x:f>IF(B1506="",0,(LEN(B1506)-LEN(SUBSTITUTE(B1506," | ","")))/3+1)</x:f>
        <x:v>1</x:v>
      </x:c>
      <x:c r="D1506" t="str">
        <x:v>r</x:v>
      </x:c>
      <x:c r="E1506" t="str">
        <x:v>https://www.webonary.org/marubo/g63e5297f-ae2e-49ad-84e5-7d22e3598d10/</x:v>
      </x:c>
      <x:c r="F1506" t="str">
        <x:v>g52797884-4b13-4a30-ab05-99351ac9e47a</x:v>
      </x:c>
      <x:c r="G1506" s="20" t="n">
        <x:v>46003.93497596065</x:v>
      </x:c>
    </x:row>
    <x:row r="1507">
      <x:c r="A1507" s="18" t="str">
        <x:v>rio abaixo</x:v>
      </x:c>
      <x:c r="B1507" s="18" t="str">
        <x:v>wakari</x:v>
      </x:c>
      <x:c r="C1507" s="19" t="n">
        <x:f>IF(B1507="",0,(LEN(B1507)-LEN(SUBSTITUTE(B1507," | ","")))/3+1)</x:f>
        <x:v>1</x:v>
      </x:c>
      <x:c r="D1507" t="str">
        <x:v>r</x:v>
      </x:c>
      <x:c r="E1507" t="str">
        <x:v>https://www.webonary.org/marubo/gf6e182c6-d2f9-4c13-a1d5-8b76a5a20914/</x:v>
      </x:c>
      <x:c r="F1507" t="str">
        <x:v>gfbeb5450-dc2f-40a5-92d9-686d0efbc25b</x:v>
      </x:c>
      <x:c r="G1507" s="20" t="n">
        <x:v>46003.93497596065</x:v>
      </x:c>
    </x:row>
    <x:row r="1508">
      <x:c r="A1508" s="18" t="str">
        <x:v>rio acima</x:v>
      </x:c>
      <x:c r="B1508" s="18" t="str">
        <x:v>iinakawãa | manãri</x:v>
      </x:c>
      <x:c r="C1508" s="19" t="n">
        <x:f>IF(B1508="",0,(LEN(B1508)-LEN(SUBSTITUTE(B1508," | ","")))/3+1)</x:f>
        <x:v>2</x:v>
      </x:c>
      <x:c r="D1508" t="str">
        <x:v>r</x:v>
      </x:c>
      <x:c r="E1508" t="str">
        <x:v>https://www.webonary.org/marubo/g58803657-5f1f-48c2-af30-877ed1f7de2f/</x:v>
      </x:c>
      <x:c r="F1508" t="str">
        <x:v>gc4d6c77a-8bf0-4149-9fcc-60c884d602cf</x:v>
      </x:c>
      <x:c r="G1508" s="20" t="n">
        <x:v>46003.93497596065</x:v>
      </x:c>
    </x:row>
    <x:row r="1509">
      <x:c r="A1509" s="18" t="str">
        <x:v>rio alto</x:v>
      </x:c>
      <x:c r="B1509" s="18" t="str">
        <x:v>shoa ãtsa</x:v>
      </x:c>
      <x:c r="C1509" s="19" t="n">
        <x:f>IF(B1509="",0,(LEN(B1509)-LEN(SUBSTITUTE(B1509," | ","")))/3+1)</x:f>
        <x:v>1</x:v>
      </x:c>
      <x:c r="D1509" t="str">
        <x:v>r</x:v>
      </x:c>
      <x:c r="E1509" t="str">
        <x:v>https://www.webonary.org/marubo/gd4826ee9-6552-47d0-b982-c2bb034bb0f6/</x:v>
      </x:c>
      <x:c r="F1509" t="str">
        <x:v>g04c4654e-3399-4db1-b879-61e743556d70</x:v>
      </x:c>
      <x:c r="G1509" s="20" t="n">
        <x:v>46003.93497596065</x:v>
      </x:c>
    </x:row>
    <x:row r="1510">
      <x:c r="A1510" s="18" t="str">
        <x:v>rio baixo</x:v>
      </x:c>
      <x:c r="B1510" s="18" t="str">
        <x:v>shoa sheréa | shoa nashá</x:v>
      </x:c>
      <x:c r="C1510" s="19" t="n">
        <x:f>IF(B1510="",0,(LEN(B1510)-LEN(SUBSTITUTE(B1510," | ","")))/3+1)</x:f>
        <x:v>2</x:v>
      </x:c>
      <x:c r="D1510" t="str">
        <x:v>r</x:v>
      </x:c>
      <x:c r="E1510" t="str">
        <x:v>https://www.webonary.org/marubo/g9ad45a69-ac0b-40ec-829c-2cf6432de8ad/</x:v>
      </x:c>
      <x:c r="F1510" t="str">
        <x:v>g7287f9e4-6260-480b-9b66-fdee535b7da1</x:v>
      </x:c>
      <x:c r="G1510" s="20" t="n">
        <x:v>46003.93497596065</x:v>
      </x:c>
    </x:row>
    <x:row r="1511">
      <x:c r="A1511" s="18" t="str">
        <x:v>rir</x:v>
      </x:c>
      <x:c r="B1511" s="18" t="str">
        <x:v>osã ikí nainaiki | osã iki</x:v>
      </x:c>
      <x:c r="C1511" s="19" t="n">
        <x:f>IF(B1511="",0,(LEN(B1511)-LEN(SUBSTITUTE(B1511," | ","")))/3+1)</x:f>
        <x:v>2</x:v>
      </x:c>
      <x:c r="D1511" t="str">
        <x:v>r</x:v>
      </x:c>
      <x:c r="E1511" t="str">
        <x:v>https://www.webonary.org/marubo/gddaf02f9-c696-4d59-8d66-612e9827f2bf/</x:v>
      </x:c>
      <x:c r="F1511" t="str">
        <x:v>g2c79931f-46f4-4144-ac5b-adc3398dd046</x:v>
      </x:c>
      <x:c r="G1511" s="20" t="n">
        <x:v>46003.93497596065</x:v>
      </x:c>
    </x:row>
    <x:row r="1512">
      <x:c r="A1512" s="18" t="str">
        <x:v>riscar</x:v>
      </x:c>
      <x:c r="B1512" s="18" t="str">
        <x:v>tsarás aká</x:v>
      </x:c>
      <x:c r="C1512" s="19" t="n">
        <x:f>IF(B1512="",0,(LEN(B1512)-LEN(SUBSTITUTE(B1512," | ","")))/3+1)</x:f>
        <x:v>1</x:v>
      </x:c>
      <x:c r="D1512" t="str">
        <x:v>r</x:v>
      </x:c>
      <x:c r="E1512" t="str">
        <x:v>https://www.webonary.org/marubo/g6d913656-3d35-49e3-adb5-52770d556782/</x:v>
      </x:c>
      <x:c r="F1512" t="str">
        <x:v>g68fe283e-951e-4f97-b2be-121eae6a07bc</x:v>
      </x:c>
      <x:c r="G1512" s="20" t="n">
        <x:v>46003.93497596065</x:v>
      </x:c>
    </x:row>
    <x:row r="1513">
      <x:c r="A1513" s="18" t="str">
        <x:v>roça</x:v>
      </x:c>
      <x:c r="B1513" s="18" t="str">
        <x:v>wai</x:v>
      </x:c>
      <x:c r="C1513" s="19" t="n">
        <x:f>IF(B1513="",0,(LEN(B1513)-LEN(SUBSTITUTE(B1513," | ","")))/3+1)</x:f>
        <x:v>1</x:v>
      </x:c>
      <x:c r="D1513" t="str">
        <x:v>r</x:v>
      </x:c>
      <x:c r="E1513" t="str">
        <x:v>https://www.webonary.org/marubo/ge8260bae-b2d5-4a51-a3b6-303ca639d51e/</x:v>
      </x:c>
      <x:c r="F1513" t="str">
        <x:v>g4247b81c-1aee-4434-8efb-c7d17b09d8b4</x:v>
      </x:c>
      <x:c r="G1513" s="20" t="n">
        <x:v>46003.93497596065</x:v>
      </x:c>
    </x:row>
    <x:row r="1514">
      <x:c r="A1514" s="18" t="str">
        <x:v>rodear</x:v>
      </x:c>
      <x:c r="B1514" s="18" t="str">
        <x:v>shetí aká | 1</x:v>
      </x:c>
      <x:c r="C1514" s="19" t="n">
        <x:f>IF(B1514="",0,(LEN(B1514)-LEN(SUBSTITUTE(B1514," | ","")))/3+1)</x:f>
        <x:v>2</x:v>
      </x:c>
      <x:c r="D1514" t="str">
        <x:v>r</x:v>
      </x:c>
      <x:c r="E1514" t="str">
        <x:v>https://www.webonary.org/marubo/g84abdd61-3e52-49c3-84f7-b684c8322531/</x:v>
      </x:c>
      <x:c r="F1514" t="str">
        <x:v>gf0eaf512-1d64-478a-8b66-cab9f443c34c</x:v>
      </x:c>
      <x:c r="G1514" s="20" t="n">
        <x:v>46003.93497596065</x:v>
      </x:c>
    </x:row>
    <x:row r="1515">
      <x:c r="A1515" s="18" t="str">
        <x:v>romper</x:v>
      </x:c>
      <x:c r="B1515" s="18" t="str">
        <x:v>teséa</x:v>
      </x:c>
      <x:c r="C1515" s="19" t="n">
        <x:f>IF(B1515="",0,(LEN(B1515)-LEN(SUBSTITUTE(B1515," | ","")))/3+1)</x:f>
        <x:v>1</x:v>
      </x:c>
      <x:c r="D1515" t="str">
        <x:v>r</x:v>
      </x:c>
      <x:c r="E1515" t="str">
        <x:v>https://www.webonary.org/marubo/g7673427f-2d95-4b1c-8d8b-59a6a209e00f/</x:v>
      </x:c>
      <x:c r="F1515" t="str">
        <x:v>g23069525-a71b-4c4f-a2e8-faca00d22a90</x:v>
      </x:c>
      <x:c r="G1515" s="20" t="n">
        <x:v>46003.93497596065</x:v>
      </x:c>
    </x:row>
    <x:row r="1516">
      <x:c r="A1516" s="18" t="str">
        <x:v>roncar</x:v>
      </x:c>
      <x:c r="B1516" s="18" t="str">
        <x:v>nẽã ikí</x:v>
      </x:c>
      <x:c r="C1516" s="19" t="n">
        <x:f>IF(B1516="",0,(LEN(B1516)-LEN(SUBSTITUTE(B1516," | ","")))/3+1)</x:f>
        <x:v>1</x:v>
      </x:c>
      <x:c r="D1516" t="str">
        <x:v>r</x:v>
      </x:c>
      <x:c r="E1516" t="str">
        <x:v>https://www.webonary.org/marubo/gf28c5e7c-d2af-4ab8-8cea-781fad954784/</x:v>
      </x:c>
      <x:c r="F1516" t="str">
        <x:v>g13ea2a38-c604-426e-bbf4-3453f7c302ae</x:v>
      </x:c>
      <x:c r="G1516" s="20" t="n">
        <x:v>46003.93497596065</x:v>
      </x:c>
    </x:row>
    <x:row r="1517">
      <x:c r="A1517" s="18" t="str">
        <x:v>rosnar</x:v>
      </x:c>
      <x:c r="B1517" s="18" t="str">
        <x:v>koróa</x:v>
      </x:c>
      <x:c r="C1517" s="19" t="n">
        <x:f>IF(B1517="",0,(LEN(B1517)-LEN(SUBSTITUTE(B1517," | ","")))/3+1)</x:f>
        <x:v>1</x:v>
      </x:c>
      <x:c r="D1517" t="str">
        <x:v>r</x:v>
      </x:c>
      <x:c r="E1517" t="str">
        <x:v>https://www.webonary.org/marubo/ge74f22eb-7446-4193-995d-1cb44510196e/</x:v>
      </x:c>
      <x:c r="F1517" t="str">
        <x:v>g123f8641-e75c-4931-91de-6cf3e248852f</x:v>
      </x:c>
      <x:c r="G1517" s="20" t="n">
        <x:v>46003.93497596065</x:v>
      </x:c>
    </x:row>
    <x:row r="1518">
      <x:c r="A1518" s="18" t="str">
        <x:v>rosto</x:v>
      </x:c>
      <x:c r="B1518" s="18" t="str">
        <x:v>vesó</x:v>
      </x:c>
      <x:c r="C1518" s="19" t="n">
        <x:f>IF(B1518="",0,(LEN(B1518)-LEN(SUBSTITUTE(B1518," | ","")))/3+1)</x:f>
        <x:v>1</x:v>
      </x:c>
      <x:c r="D1518" t="str">
        <x:v>r</x:v>
      </x:c>
      <x:c r="E1518" t="str">
        <x:v>https://www.webonary.org/marubo/gf2da0806-1b49-4cfb-9498-6a9a345d93be/</x:v>
      </x:c>
      <x:c r="F1518" t="str">
        <x:v>gf12572ea-8ede-4048-95d1-8069bb3630a9</x:v>
      </x:c>
      <x:c r="G1518" s="20" t="n">
        <x:v>46003.93497596065</x:v>
      </x:c>
    </x:row>
    <x:row r="1519">
      <x:c r="A1519" s="18" t="str">
        <x:v>rosto branco</x:v>
      </x:c>
      <x:c r="B1519" s="18" t="str">
        <x:v>veóshka</x:v>
      </x:c>
      <x:c r="C1519" s="19" t="n">
        <x:f>IF(B1519="",0,(LEN(B1519)-LEN(SUBSTITUTE(B1519," | ","")))/3+1)</x:f>
        <x:v>1</x:v>
      </x:c>
      <x:c r="D1519" t="str">
        <x:v>r</x:v>
      </x:c>
      <x:c r="E1519" t="str">
        <x:v>https://www.webonary.org/marubo/ga394a2f5-9ccb-45e2-8e67-8085d2ab8cc8/</x:v>
      </x:c>
      <x:c r="F1519" t="str">
        <x:v>g02b863d4-10e0-4176-b349-afc8fc17f491</x:v>
      </x:c>
      <x:c r="G1519" s="20" t="n">
        <x:v>46003.93497596065</x:v>
      </x:c>
    </x:row>
    <x:row r="1520">
      <x:c r="A1520" s="18" t="str">
        <x:v>rosto sujo</x:v>
      </x:c>
      <x:c r="B1520" s="18" t="str">
        <x:v>veshtaka</x:v>
      </x:c>
      <x:c r="C1520" s="19" t="n">
        <x:f>IF(B1520="",0,(LEN(B1520)-LEN(SUBSTITUTE(B1520," | ","")))/3+1)</x:f>
        <x:v>1</x:v>
      </x:c>
      <x:c r="D1520" t="str">
        <x:v>r</x:v>
      </x:c>
      <x:c r="E1520" t="str">
        <x:v>https://www.webonary.org/marubo/gee621ab2-5686-435f-8820-d84f080e74db/</x:v>
      </x:c>
      <x:c r="F1520" t="str">
        <x:v>g114c3b4a-ab3e-453b-910f-2bc2d0d2afa4</x:v>
      </x:c>
      <x:c r="G1520" s="20" t="n">
        <x:v>46003.93497596065</x:v>
      </x:c>
    </x:row>
    <x:row r="1521">
      <x:c r="A1521" s="18" t="str">
        <x:v>rótula</x:v>
      </x:c>
      <x:c r="B1521" s="18" t="str">
        <x:v>rome vetashti</x:v>
      </x:c>
      <x:c r="C1521" s="19" t="n">
        <x:f>IF(B1521="",0,(LEN(B1521)-LEN(SUBSTITUTE(B1521," | ","")))/3+1)</x:f>
        <x:v>1</x:v>
      </x:c>
      <x:c r="D1521" t="str">
        <x:v>r</x:v>
      </x:c>
      <x:c r="E1521" t="str">
        <x:v>https://www.webonary.org/marubo/gfef479ce-5f38-428c-96d4-90715f5c3d2c/</x:v>
      </x:c>
      <x:c r="F1521" t="str">
        <x:v>g104dc975-e5ed-4354-ab5e-9e5e389aa2c8</x:v>
      </x:c>
      <x:c r="G1521" s="20" t="n">
        <x:v>46003.93497596065</x:v>
      </x:c>
    </x:row>
    <x:row r="1522">
      <x:c r="A1522" s="18" t="str">
        <x:v>roubar</x:v>
      </x:c>
      <x:c r="B1522" s="18" t="str">
        <x:v>kerómá | oné ikí</x:v>
      </x:c>
      <x:c r="C1522" s="19" t="n">
        <x:f>IF(B1522="",0,(LEN(B1522)-LEN(SUBSTITUTE(B1522," | ","")))/3+1)</x:f>
        <x:v>2</x:v>
      </x:c>
      <x:c r="D1522" t="str">
        <x:v>r</x:v>
      </x:c>
      <x:c r="E1522" t="str">
        <x:v>https://www.webonary.org/marubo/g75eb0105-4c39-4991-a5c7-1056f5ddccb0/</x:v>
      </x:c>
      <x:c r="F1522" t="str">
        <x:v>gbb293bf3-3760-4ea1-8de1-f039ca3ae7c3</x:v>
      </x:c>
      <x:c r="G1522" s="20" t="n">
        <x:v>46003.93497596065</x:v>
      </x:c>
    </x:row>
    <x:row r="1523">
      <x:c r="A1523" s="18" t="str">
        <x:v>roupa</x:v>
      </x:c>
      <x:c r="B1523" s="18" t="str">
        <x:v>õpo</x:v>
      </x:c>
      <x:c r="C1523" s="19" t="n">
        <x:f>IF(B1523="",0,(LEN(B1523)-LEN(SUBSTITUTE(B1523," | ","")))/3+1)</x:f>
        <x:v>1</x:v>
      </x:c>
      <x:c r="D1523" t="str">
        <x:v>r</x:v>
      </x:c>
      <x:c r="E1523" t="str">
        <x:v>https://www.webonary.org/marubo/gb2542219-e5a9-4699-901d-1972215c2e09/</x:v>
      </x:c>
      <x:c r="F1523" t="str">
        <x:v>gabfdc4d2-cb64-4bf2-848e-e0211437756f</x:v>
      </x:c>
      <x:c r="G1523" s="20" t="n">
        <x:v>46003.93497596065</x:v>
      </x:c>
    </x:row>
    <x:row r="1524">
      <x:c r="A1524" s="18" t="str">
        <x:v>rudder</x:v>
      </x:c>
      <x:c r="B1524" s="18" t="str">
        <x:v>kate</x:v>
      </x:c>
      <x:c r="C1524" s="19" t="n">
        <x:f>IF(B1524="",0,(LEN(B1524)-LEN(SUBSTITUTE(B1524," | ","")))/3+1)</x:f>
        <x:v>1</x:v>
      </x:c>
      <x:c r="D1524" t="str">
        <x:v>r</x:v>
      </x:c>
      <x:c r="E1524" t="str">
        <x:v>https://www.webonary.org/marubo/ga88982ba-b17c-4e0b-a0cf-642ef4429eb9/</x:v>
      </x:c>
      <x:c r="F1524" t="str">
        <x:v>gcd226a1e-cceb-41ff-a658-1b2b9254cbc0</x:v>
      </x:c>
      <x:c r="G1524" s="20" t="n">
        <x:v>46003.93497596065</x:v>
      </x:c>
    </x:row>
    <x:row r="1525">
      <x:c r="A1525" s="18" t="str">
        <x:v>rugas</x:v>
      </x:c>
      <x:c r="B1525" s="18" t="str">
        <x:v>vetxõ</x:v>
      </x:c>
      <x:c r="C1525" s="19" t="n">
        <x:f>IF(B1525="",0,(LEN(B1525)-LEN(SUBSTITUTE(B1525," | ","")))/3+1)</x:f>
        <x:v>1</x:v>
      </x:c>
      <x:c r="D1525" t="str">
        <x:v>r</x:v>
      </x:c>
      <x:c r="E1525" t="str">
        <x:v>https://www.webonary.org/marubo/g76fe3d7e-dff9-4665-bd77-996297d67b72/</x:v>
      </x:c>
      <x:c r="F1525" t="str">
        <x:v>g4a3ad5a1-c97e-4051-be0b-7d7029992570</x:v>
      </x:c>
      <x:c r="G1525" s="20" t="n">
        <x:v>46003.93497596065</x:v>
      </x:c>
    </x:row>
    <x:row r="1526">
      <x:c r="A1526" s="18" t="str">
        <x:v>rugir</x:v>
      </x:c>
      <x:c r="B1526" s="18" t="str">
        <x:v>kõko ikí</x:v>
      </x:c>
      <x:c r="C1526" s="19" t="n">
        <x:f>IF(B1526="",0,(LEN(B1526)-LEN(SUBSTITUTE(B1526," | ","")))/3+1)</x:f>
        <x:v>1</x:v>
      </x:c>
      <x:c r="D1526" t="str">
        <x:v>r</x:v>
      </x:c>
      <x:c r="E1526" t="str">
        <x:v>https://www.webonary.org/marubo/gf242f43f-1a56-4bf3-816d-b7727d08ee4e/</x:v>
      </x:c>
      <x:c r="F1526" t="str">
        <x:v>g129ce2fe-2582-41d0-8098-947bdf59c793</x:v>
      </x:c>
      <x:c r="G1526" s="20" t="n">
        <x:v>46003.93497596065</x:v>
      </x:c>
    </x:row>
    <x:row r="1527">
      <x:c r="A1527" s="18" t="str">
        <x:v>ruído de animal passando pela mata</x:v>
      </x:c>
      <x:c r="B1527" s="18" t="str">
        <x:v>yere ikí</x:v>
      </x:c>
      <x:c r="C1527" s="19" t="n">
        <x:f>IF(B1527="",0,(LEN(B1527)-LEN(SUBSTITUTE(B1527," | ","")))/3+1)</x:f>
        <x:v>1</x:v>
      </x:c>
      <x:c r="D1527" t="str">
        <x:v>r</x:v>
      </x:c>
      <x:c r="E1527" t="str">
        <x:v>https://www.webonary.org/marubo/g0e55f752-2b40-4e98-9b4f-082eaa31b1fb/</x:v>
      </x:c>
      <x:c r="F1527" t="str">
        <x:v>g23db3af6-c8df-4d46-8c9d-74060bfa8f2b</x:v>
      </x:c>
      <x:c r="G1527" s="20" t="n">
        <x:v>46003.93497596065</x:v>
      </x:c>
    </x:row>
    <x:row r="1528">
      <x:c r="A1528" s="18" t="str">
        <x:v>ruim</x:v>
      </x:c>
      <x:c r="B1528" s="18" t="str">
        <x:v>itsaka | ichnáka</x:v>
      </x:c>
      <x:c r="C1528" s="19" t="n">
        <x:f>IF(B1528="",0,(LEN(B1528)-LEN(SUBSTITUTE(B1528," | ","")))/3+1)</x:f>
        <x:v>2</x:v>
      </x:c>
      <x:c r="D1528" t="str">
        <x:v>r</x:v>
      </x:c>
      <x:c r="E1528" t="str">
        <x:v>https://www.webonary.org/marubo/gc48d9929-6c59-4fe9-933d-46fb51339a8d/</x:v>
      </x:c>
      <x:c r="F1528" t="str">
        <x:v>gf17c1956-dfa2-4a13-ae8f-0ab9d5e3f583</x:v>
      </x:c>
      <x:c r="G1528" s="20" t="n">
        <x:v>46003.93497596065</x:v>
      </x:c>
    </x:row>
    <x:row r="1529">
      <x:c r="A1529" s="18" t="str">
        <x:v>rungir</x:v>
      </x:c>
      <x:c r="B1529" s="18" t="str">
        <x:v>korõ iki</x:v>
      </x:c>
      <x:c r="C1529" s="19" t="n">
        <x:f>IF(B1529="",0,(LEN(B1529)-LEN(SUBSTITUTE(B1529," | ","")))/3+1)</x:f>
        <x:v>1</x:v>
      </x:c>
      <x:c r="D1529" t="str">
        <x:v>r</x:v>
      </x:c>
      <x:c r="E1529" t="str">
        <x:v>https://www.webonary.org/marubo/g3e6482a9-332b-48ba-a548-3108d1967832/</x:v>
      </x:c>
      <x:c r="F1529" t="str">
        <x:v>ge066617c-d57b-4006-b564-53d6b56fe8b2</x:v>
      </x:c>
      <x:c r="G1529" s="20" t="n">
        <x:v>46003.93497596065</x:v>
      </x:c>
    </x:row>
    <x:row r="1530">
      <x:c r="A1530" s="18" t="str">
        <x:v>S/A&gt;A.PREV</x:v>
      </x:c>
      <x:c r="B1530" s="18" t="str">
        <x:v>-vaiki</x:v>
      </x:c>
      <x:c r="C1530" s="19" t="n">
        <x:f>IF(B1530="",0,(LEN(B1530)-LEN(SUBSTITUTE(B1530," | ","")))/3+1)</x:f>
        <x:v>1</x:v>
      </x:c>
      <x:c r="D1530" t="str">
        <x:v>s</x:v>
      </x:c>
      <x:c r="E1530" t="str">
        <x:v>https://www.webonary.org/marubo/gf7ac5fc6-9dc7-49ee-be6b-b5a7456b8681/</x:v>
      </x:c>
      <x:c r="F1530" t="str">
        <x:v>gd23d75e8-d6b1-4390-903e-94a647e6c74a</x:v>
      </x:c>
      <x:c r="G1530" s="20" t="n">
        <x:v>46003.93497596065</x:v>
      </x:c>
    </x:row>
    <x:row r="1531">
      <x:c r="A1531" s="18" t="str">
        <x:v>S/A&gt;A.SIM</x:v>
      </x:c>
      <x:c r="B1531" s="18" t="str">
        <x:v>-kĩ | 1 | -ki</x:v>
      </x:c>
      <x:c r="C1531" s="19" t="n">
        <x:f>IF(B1531="",0,(LEN(B1531)-LEN(SUBSTITUTE(B1531," | ","")))/3+1)</x:f>
        <x:v>3</x:v>
      </x:c>
      <x:c r="D1531" t="str">
        <x:v>s</x:v>
      </x:c>
      <x:c r="E1531" t="str">
        <x:v>https://www.webonary.org/marubo/g64bb1721-aab9-42d0-a368-52db487100c8/</x:v>
      </x:c>
      <x:c r="F1531" t="str">
        <x:v>gb71e5a1a-3456-42a1-bf7c-9e369cd601dc</x:v>
      </x:c>
      <x:c r="G1531" s="20" t="n">
        <x:v>46003.93497596065</x:v>
      </x:c>
    </x:row>
    <x:row r="1532">
      <x:c r="A1532" s="18" t="str">
        <x:v>S/A&gt;S.PREV</x:v>
      </x:c>
      <x:c r="B1532" s="18" t="str">
        <x:v>-vai | 2</x:v>
      </x:c>
      <x:c r="C1532" s="19" t="n">
        <x:f>IF(B1532="",0,(LEN(B1532)-LEN(SUBSTITUTE(B1532," | ","")))/3+1)</x:f>
        <x:v>2</x:v>
      </x:c>
      <x:c r="D1532" t="str">
        <x:v>s</x:v>
      </x:c>
      <x:c r="E1532" t="str">
        <x:v>https://www.webonary.org/marubo/gfa13a5fa-47a2-48da-930c-5f72659b73af/</x:v>
      </x:c>
      <x:c r="F1532" t="str">
        <x:v>ge51c38dc-380b-4e64-bc70-e419ffc2c6d5</x:v>
      </x:c>
      <x:c r="G1532" s="20" t="n">
        <x:v>46003.93497596065</x:v>
      </x:c>
    </x:row>
    <x:row r="1533">
      <x:c r="A1533" s="18" t="str">
        <x:v>S/A&gt;S.SIM</x:v>
      </x:c>
      <x:c r="B1533" s="18" t="str">
        <x:v>-í | 1 | -i</x:v>
      </x:c>
      <x:c r="C1533" s="19" t="n">
        <x:f>IF(B1533="",0,(LEN(B1533)-LEN(SUBSTITUTE(B1533," | ","")))/3+1)</x:f>
        <x:v>3</x:v>
      </x:c>
      <x:c r="D1533" t="str">
        <x:v>s</x:v>
      </x:c>
      <x:c r="E1533" t="str">
        <x:v>https://www.webonary.org/marubo/ge71a50d7-fa82-4dbf-b27f-179b8f31da67/</x:v>
      </x:c>
      <x:c r="F1533" t="str">
        <x:v>ga1187ca3-c464-4bab-bb4d-747da1559224</x:v>
      </x:c>
      <x:c r="G1533" s="20" t="n">
        <x:v>46003.93497596065</x:v>
      </x:c>
    </x:row>
    <x:row r="1534">
      <x:c r="A1534" s="18" t="str">
        <x:v>S/A&gt;S/A.POST</x:v>
      </x:c>
      <x:c r="B1534" s="18" t="str">
        <x:v>-nosho</x:v>
      </x:c>
      <x:c r="C1534" s="19" t="n">
        <x:f>IF(B1534="",0,(LEN(B1534)-LEN(SUBSTITUTE(B1534," | ","")))/3+1)</x:f>
        <x:v>1</x:v>
      </x:c>
      <x:c r="D1534" t="str">
        <x:v>s</x:v>
      </x:c>
      <x:c r="E1534" t="str">
        <x:v>https://www.webonary.org/marubo/g8abf7c5d-fee0-422c-aa3d-e742bf77cbcf/</x:v>
      </x:c>
      <x:c r="F1534" t="str">
        <x:v>gbdb32a74-b6fd-494f-87b2-ae809326f95f</x:v>
      </x:c>
      <x:c r="G1534" s="20" t="n">
        <x:v>46003.93497596065</x:v>
      </x:c>
    </x:row>
    <x:row r="1535">
      <x:c r="A1535" s="18" t="str">
        <x:v>S/A&gt;S/A.PREV</x:v>
      </x:c>
      <x:c r="B1535" s="18" t="str">
        <x:v>-shõ | 1 | -sho</x:v>
      </x:c>
      <x:c r="C1535" s="19" t="n">
        <x:f>IF(B1535="",0,(LEN(B1535)-LEN(SUBSTITUTE(B1535," | ","")))/3+1)</x:f>
        <x:v>3</x:v>
      </x:c>
      <x:c r="D1535" t="str">
        <x:v>s</x:v>
      </x:c>
      <x:c r="E1535" t="str">
        <x:v>https://www.webonary.org/marubo/g974cd5aa-f5a9-4325-ae84-bc8b0707d064/</x:v>
      </x:c>
      <x:c r="F1535" t="str">
        <x:v>ge59b39a2-71f2-4f08-92d9-3cdd7fd82ab6</x:v>
      </x:c>
      <x:c r="G1535" s="20" t="n">
        <x:v>46003.93497596065</x:v>
      </x:c>
    </x:row>
    <x:row r="1536">
      <x:c r="A1536" s="18" t="str">
        <x:v>sabão</x:v>
      </x:c>
      <x:c r="B1536" s="18" t="str">
        <x:v>avo</x:v>
      </x:c>
      <x:c r="C1536" s="19" t="n">
        <x:f>IF(B1536="",0,(LEN(B1536)-LEN(SUBSTITUTE(B1536," | ","")))/3+1)</x:f>
        <x:v>1</x:v>
      </x:c>
      <x:c r="D1536" t="str">
        <x:v>s</x:v>
      </x:c>
      <x:c r="E1536" t="str">
        <x:v>https://www.webonary.org/marubo/gddd859cb-6095-4db1-8cf4-c9f1bc6f4040/</x:v>
      </x:c>
      <x:c r="F1536" t="str">
        <x:v>g51505d9b-e79a-4628-845e-f59825613b26</x:v>
      </x:c>
      <x:c r="G1536" s="20" t="n">
        <x:v>46003.93497596065</x:v>
      </x:c>
    </x:row>
    <x:row r="1537">
      <x:c r="A1537" s="18" t="str">
        <x:v>sabor</x:v>
      </x:c>
      <x:c r="B1537" s="18" t="str">
        <x:v>aneka</x:v>
      </x:c>
      <x:c r="C1537" s="19" t="n">
        <x:f>IF(B1537="",0,(LEN(B1537)-LEN(SUBSTITUTE(B1537," | ","")))/3+1)</x:f>
        <x:v>1</x:v>
      </x:c>
      <x:c r="D1537" t="str">
        <x:v>s</x:v>
      </x:c>
      <x:c r="E1537" t="str">
        <x:v>https://www.webonary.org/marubo/g58646c53-506b-40fe-88bf-f3d833918dd5/</x:v>
      </x:c>
      <x:c r="F1537" t="str">
        <x:v>g940f4199-3cab-4cf8-9963-a7eeb717c59b</x:v>
      </x:c>
      <x:c r="G1537" s="20" t="n">
        <x:v>46003.93497596065</x:v>
      </x:c>
    </x:row>
    <x:row r="1538">
      <x:c r="A1538" s="18" t="str">
        <x:v>saco</x:v>
      </x:c>
      <x:c r="B1538" s="18" t="str">
        <x:v>koróti</x:v>
      </x:c>
      <x:c r="C1538" s="19" t="n">
        <x:f>IF(B1538="",0,(LEN(B1538)-LEN(SUBSTITUTE(B1538," | ","")))/3+1)</x:f>
        <x:v>1</x:v>
      </x:c>
      <x:c r="D1538" t="str">
        <x:v>s</x:v>
      </x:c>
      <x:c r="E1538" t="str">
        <x:v>https://www.webonary.org/marubo/g69141961-8815-49e7-890b-e1c5f8af3037/</x:v>
      </x:c>
      <x:c r="F1538" t="str">
        <x:v>g394e3777-506d-4d90-815c-aca9f9bdaa13</x:v>
      </x:c>
      <x:c r="G1538" s="20" t="n">
        <x:v>46003.93497596065</x:v>
      </x:c>
    </x:row>
    <x:row r="1539">
      <x:c r="A1539" s="18" t="str">
        <x:v>saco de plástico</x:v>
      </x:c>
      <x:c r="B1539" s="18" t="str">
        <x:v>papíri mochika</x:v>
      </x:c>
      <x:c r="C1539" s="19" t="n">
        <x:f>IF(B1539="",0,(LEN(B1539)-LEN(SUBSTITUTE(B1539," | ","")))/3+1)</x:f>
        <x:v>1</x:v>
      </x:c>
      <x:c r="D1539" t="str">
        <x:v>s</x:v>
      </x:c>
      <x:c r="E1539" t="str">
        <x:v>https://www.webonary.org/marubo/g2fdc9683-5e50-4d63-a34d-2e6b7fca2ce2/</x:v>
      </x:c>
      <x:c r="F1539" t="str">
        <x:v>g2dfb41d9-20ef-4048-add6-859de0b1cd45</x:v>
      </x:c>
      <x:c r="G1539" s="20" t="n">
        <x:v>46003.93497596065</x:v>
      </x:c>
    </x:row>
    <x:row r="1540">
      <x:c r="A1540" s="18" t="str">
        <x:v>sacudir</x:v>
      </x:c>
      <x:c r="B1540" s="18" t="str">
        <x:v>tashti kewã</x:v>
      </x:c>
      <x:c r="C1540" s="19" t="n">
        <x:f>IF(B1540="",0,(LEN(B1540)-LEN(SUBSTITUTE(B1540," | ","")))/3+1)</x:f>
        <x:v>1</x:v>
      </x:c>
      <x:c r="D1540" t="str">
        <x:v>s</x:v>
      </x:c>
      <x:c r="E1540" t="str">
        <x:v>https://www.webonary.org/marubo/g7be0dabf-30d6-41fa-a2d0-06365c0c3a58/</x:v>
      </x:c>
      <x:c r="F1540" t="str">
        <x:v>g18ef6c62-f99b-47da-9ee1-f9294d5c6848</x:v>
      </x:c>
      <x:c r="G1540" s="20" t="n">
        <x:v>46003.93497596065</x:v>
      </x:c>
    </x:row>
    <x:row r="1541">
      <x:c r="A1541" s="18" t="str">
        <x:v>saia</x:v>
      </x:c>
      <x:c r="B1541" s="18" t="str">
        <x:v>vatxi</x:v>
      </x:c>
      <x:c r="C1541" s="19" t="n">
        <x:f>IF(B1541="",0,(LEN(B1541)-LEN(SUBSTITUTE(B1541," | ","")))/3+1)</x:f>
        <x:v>1</x:v>
      </x:c>
      <x:c r="D1541" t="str">
        <x:v>s</x:v>
      </x:c>
      <x:c r="E1541" t="str">
        <x:v>https://www.webonary.org/marubo/g4b20876b-f0e0-4758-929b-6398fd05f067/</x:v>
      </x:c>
      <x:c r="F1541" t="str">
        <x:v>gdf2a4b07-ed55-4b96-a00a-54ebaf83c7b6</x:v>
      </x:c>
      <x:c r="G1541" s="20" t="n">
        <x:v>46003.93497596065</x:v>
      </x:c>
    </x:row>
    <x:row r="1542">
      <x:c r="A1542" s="18" t="str">
        <x:v>saia curta</x:v>
      </x:c>
      <x:c r="B1542" s="18" t="str">
        <x:v>txeshte</x:v>
      </x:c>
      <x:c r="C1542" s="19" t="n">
        <x:f>IF(B1542="",0,(LEN(B1542)-LEN(SUBSTITUTE(B1542," | ","")))/3+1)</x:f>
        <x:v>1</x:v>
      </x:c>
      <x:c r="D1542" t="str">
        <x:v>s</x:v>
      </x:c>
      <x:c r="E1542" t="str">
        <x:v>https://www.webonary.org/marubo/gd93b4cda-b91c-41e5-b36e-106413520b84/</x:v>
      </x:c>
      <x:c r="F1542" t="str">
        <x:v>ge6df01db-b00d-408c-a635-afeff90cb4ee</x:v>
      </x:c>
      <x:c r="G1542" s="20" t="n">
        <x:v>46003.93497596065</x:v>
      </x:c>
    </x:row>
    <x:row r="1543">
      <x:c r="A1543" s="18" t="str">
        <x:v>sal</x:v>
      </x:c>
      <x:c r="B1543" s="18" t="str">
        <x:v>katxi</x:v>
      </x:c>
      <x:c r="C1543" s="19" t="n">
        <x:f>IF(B1543="",0,(LEN(B1543)-LEN(SUBSTITUTE(B1543," | ","")))/3+1)</x:f>
        <x:v>1</x:v>
      </x:c>
      <x:c r="D1543" t="str">
        <x:v>s</x:v>
      </x:c>
      <x:c r="E1543" t="str">
        <x:v>https://www.webonary.org/marubo/g6e9dcb8b-929e-4591-942a-6c46050e134c/</x:v>
      </x:c>
      <x:c r="F1543" t="str">
        <x:v>gc9309c03-1f1a-4855-a262-21bb4fc4db4f</x:v>
      </x:c>
      <x:c r="G1543" s="20" t="n">
        <x:v>46003.93497596065</x:v>
      </x:c>
    </x:row>
    <x:row r="1544">
      <x:c r="A1544" s="18" t="str">
        <x:v>salgado</x:v>
      </x:c>
      <x:c r="B1544" s="18" t="str">
        <x:v>katxivátaka</x:v>
      </x:c>
      <x:c r="C1544" s="19" t="n">
        <x:f>IF(B1544="",0,(LEN(B1544)-LEN(SUBSTITUTE(B1544," | ","")))/3+1)</x:f>
        <x:v>1</x:v>
      </x:c>
      <x:c r="D1544" t="str">
        <x:v>s</x:v>
      </x:c>
      <x:c r="E1544" t="str">
        <x:v>https://www.webonary.org/marubo/g6d61f93a-5851-4cef-9a37-f62fc1b62103/</x:v>
      </x:c>
      <x:c r="F1544" t="str">
        <x:v>g9694a31f-8cc6-4a08-883f-e59e1fe67e91</x:v>
      </x:c>
      <x:c r="G1544" s="20" t="n">
        <x:v>46003.93497596065</x:v>
      </x:c>
    </x:row>
    <x:row r="1545">
      <x:c r="A1545" s="18" t="str">
        <x:v>saliva</x:v>
      </x:c>
      <x:c r="B1545" s="18" t="str">
        <x:v>siso | keyõ | kemo</x:v>
      </x:c>
      <x:c r="C1545" s="19" t="n">
        <x:f>IF(B1545="",0,(LEN(B1545)-LEN(SUBSTITUTE(B1545," | ","")))/3+1)</x:f>
        <x:v>3</x:v>
      </x:c>
      <x:c r="D1545" t="str">
        <x:v>s</x:v>
      </x:c>
      <x:c r="E1545" t="str">
        <x:v>https://www.webonary.org/marubo/g27c75303-2836-4e71-8d1d-49a01b635c53/</x:v>
      </x:c>
      <x:c r="F1545" t="str">
        <x:v>gf79b332c-5f8f-48fc-8c78-3d91893ccbb1</x:v>
      </x:c>
      <x:c r="G1545" s="20" t="n">
        <x:v>46003.93497596065</x:v>
      </x:c>
    </x:row>
    <x:row r="1546">
      <x:c r="A1546" s="18" t="str">
        <x:v>sangrar</x:v>
      </x:c>
      <x:c r="B1546" s="18" t="str">
        <x:v>imi ikí</x:v>
      </x:c>
      <x:c r="C1546" s="19" t="n">
        <x:f>IF(B1546="",0,(LEN(B1546)-LEN(SUBSTITUTE(B1546," | ","")))/3+1)</x:f>
        <x:v>1</x:v>
      </x:c>
      <x:c r="D1546" t="str">
        <x:v>s</x:v>
      </x:c>
      <x:c r="E1546" t="str">
        <x:v>https://www.webonary.org/marubo/g390354ce-861c-4bf9-8149-2a4f434d62f6/</x:v>
      </x:c>
      <x:c r="F1546" t="str">
        <x:v>g4c7fba23-f8b8-46b2-8a54-b31adb16fbbf</x:v>
      </x:c>
      <x:c r="G1546" s="20" t="n">
        <x:v>46003.93497596065</x:v>
      </x:c>
    </x:row>
    <x:row r="1547">
      <x:c r="A1547" s="18" t="str">
        <x:v>sangue</x:v>
      </x:c>
      <x:c r="B1547" s="18" t="str">
        <x:v>imi</x:v>
      </x:c>
      <x:c r="C1547" s="19" t="n">
        <x:f>IF(B1547="",0,(LEN(B1547)-LEN(SUBSTITUTE(B1547," | ","")))/3+1)</x:f>
        <x:v>1</x:v>
      </x:c>
      <x:c r="D1547" t="str">
        <x:v>s</x:v>
      </x:c>
      <x:c r="E1547" t="str">
        <x:v>https://www.webonary.org/marubo/g9f596d4a-4993-4e62-a849-f28fccf5ae23/</x:v>
      </x:c>
      <x:c r="F1547" t="str">
        <x:v>gd55e8e8f-1e8b-41da-bb9d-388027da1fa8</x:v>
      </x:c>
      <x:c r="G1547" s="20" t="n">
        <x:v>46003.93497596065</x:v>
      </x:c>
    </x:row>
    <x:row r="1548">
      <x:c r="A1548" s="18" t="str">
        <x:v>sapato)</x:v>
      </x:c>
      <x:c r="B1548" s="18" t="str">
        <x:v>poskea</x:v>
      </x:c>
      <x:c r="C1548" s="19" t="n">
        <x:f>IF(B1548="",0,(LEN(B1548)-LEN(SUBSTITUTE(B1548," | ","")))/3+1)</x:f>
        <x:v>1</x:v>
      </x:c>
      <x:c r="D1548" t="str">
        <x:v>s</x:v>
      </x:c>
      <x:c r="E1548" t="str">
        <x:v>https://www.webonary.org/marubo/g9a5f6dea-213e-4430-8c58-ed729dbd0e28/</x:v>
      </x:c>
      <x:c r="F1548" t="str">
        <x:v>gcbb09cf4-99b6-469a-87ed-04200f5f9db8</x:v>
      </x:c>
      <x:c r="G1548" s="20" t="n">
        <x:v>46003.93497596065</x:v>
      </x:c>
    </x:row>
    <x:row r="1549">
      <x:c r="A1549" s="18" t="str">
        <x:v>sapo bufo</x:v>
      </x:c>
      <x:c r="B1549" s="18" t="str">
        <x:v>tokore</x:v>
      </x:c>
      <x:c r="C1549" s="19" t="n">
        <x:f>IF(B1549="",0,(LEN(B1549)-LEN(SUBSTITUTE(B1549," | ","")))/3+1)</x:f>
        <x:v>1</x:v>
      </x:c>
      <x:c r="D1549" t="str">
        <x:v>s</x:v>
      </x:c>
      <x:c r="E1549" t="str">
        <x:v>https://www.webonary.org/marubo/gd4a91a33-e23d-468e-82f7-c3cebf07aeb1/</x:v>
      </x:c>
      <x:c r="F1549" t="str">
        <x:v>g81d704f8-8078-4b7c-bc64-ee7dddb084fc</x:v>
      </x:c>
      <x:c r="G1549" s="20" t="n">
        <x:v>46003.93497596065</x:v>
      </x:c>
    </x:row>
    <x:row r="1550">
      <x:c r="A1550" s="18" t="str">
        <x:v>sapo perereca</x:v>
      </x:c>
      <x:c r="B1550" s="18" t="str">
        <x:v>txaki | txẽkéshe</x:v>
      </x:c>
      <x:c r="C1550" s="19" t="n">
        <x:f>IF(B1550="",0,(LEN(B1550)-LEN(SUBSTITUTE(B1550," | ","")))/3+1)</x:f>
        <x:v>2</x:v>
      </x:c>
      <x:c r="D1550" t="str">
        <x:v>s</x:v>
      </x:c>
      <x:c r="E1550" t="str">
        <x:v>https://www.webonary.org/marubo/gdc6d0e9d-db72-4eab-a358-49579692e5b1/</x:v>
      </x:c>
      <x:c r="F1550" t="str">
        <x:v>g9c68a84a-92ec-4902-b0a3-e29cd91e6fc8</x:v>
      </x:c>
      <x:c r="G1550" s="20" t="n">
        <x:v>46003.93497596065</x:v>
      </x:c>
    </x:row>
    <x:row r="1551">
      <x:c r="A1551" s="18" t="str">
        <x:v>sapo phyllomedusa bicolor</x:v>
      </x:c>
      <x:c r="B1551" s="18" t="str">
        <x:v>kãpó</x:v>
      </x:c>
      <x:c r="C1551" s="19" t="n">
        <x:f>IF(B1551="",0,(LEN(B1551)-LEN(SUBSTITUTE(B1551," | ","")))/3+1)</x:f>
        <x:v>1</x:v>
      </x:c>
      <x:c r="D1551" t="str">
        <x:v>s</x:v>
      </x:c>
      <x:c r="E1551" t="str">
        <x:v>https://www.webonary.org/marubo/gc09d5225-cd05-4ffe-b1cd-ddc162b72d52/</x:v>
      </x:c>
      <x:c r="F1551" t="str">
        <x:v>g3533ba2b-b5e6-408a-88b7-fb531fddd90f</x:v>
      </x:c>
      <x:c r="G1551" s="20" t="n">
        <x:v>46003.93497596065</x:v>
      </x:c>
    </x:row>
    <x:row r="1552">
      <x:c r="A1552" s="18" t="str">
        <x:v>sapopemba</x:v>
      </x:c>
      <x:c r="B1552" s="18" t="str">
        <x:v>iwi vema</x:v>
      </x:c>
      <x:c r="C1552" s="19" t="n">
        <x:f>IF(B1552="",0,(LEN(B1552)-LEN(SUBSTITUTE(B1552," | ","")))/3+1)</x:f>
        <x:v>1</x:v>
      </x:c>
      <x:c r="D1552" t="str">
        <x:v>s</x:v>
      </x:c>
      <x:c r="E1552" t="str">
        <x:v>https://www.webonary.org/marubo/gcabbf17d-5181-42a1-9f42-04659923ed89/</x:v>
      </x:c>
      <x:c r="F1552" t="str">
        <x:v>g7da0e2a9-b987-4df5-b8ca-5ad835cfe729</x:v>
      </x:c>
      <x:c r="G1552" s="20" t="n">
        <x:v>46003.93497596065</x:v>
      </x:c>
    </x:row>
    <x:row r="1553">
      <x:c r="A1553" s="18" t="str">
        <x:v>sapóta</x:v>
      </x:c>
      <x:c r="B1553" s="18" t="str">
        <x:v>itxivi</x:v>
      </x:c>
      <x:c r="C1553" s="19" t="n">
        <x:f>IF(B1553="",0,(LEN(B1553)-LEN(SUBSTITUTE(B1553," | ","")))/3+1)</x:f>
        <x:v>1</x:v>
      </x:c>
      <x:c r="D1553" t="str">
        <x:v>s</x:v>
      </x:c>
      <x:c r="E1553" t="str">
        <x:v>https://www.webonary.org/marubo/gb85516ae-57bf-45a0-8bbc-beaa0112c7a8/</x:v>
      </x:c>
      <x:c r="F1553" t="str">
        <x:v>gaac9e419-48e8-4649-be46-12b9919de9fb</x:v>
      </x:c>
      <x:c r="G1553" s="20" t="n">
        <x:v>46003.93497596065</x:v>
      </x:c>
    </x:row>
    <x:row r="1554">
      <x:c r="A1554" s="18" t="str">
        <x:v>saracura</x:v>
      </x:c>
      <x:c r="B1554" s="18" t="str">
        <x:v>txashkõ</x:v>
      </x:c>
      <x:c r="C1554" s="19" t="n">
        <x:f>IF(B1554="",0,(LEN(B1554)-LEN(SUBSTITUTE(B1554," | ","")))/3+1)</x:f>
        <x:v>1</x:v>
      </x:c>
      <x:c r="D1554" t="str">
        <x:v>s</x:v>
      </x:c>
      <x:c r="E1554" t="str">
        <x:v>https://www.webonary.org/marubo/gfb595f66-dea5-4917-a9ee-75dc9fc348d1/</x:v>
      </x:c>
      <x:c r="F1554" t="str">
        <x:v>g61acdeb0-7d72-4919-9772-6f0eef6fce79</x:v>
      </x:c>
      <x:c r="G1554" s="20" t="n">
        <x:v>46003.93497596065</x:v>
      </x:c>
    </x:row>
    <x:row r="1555">
      <x:c r="A1555" s="18" t="str">
        <x:v>sarar</x:v>
      </x:c>
      <x:c r="B1555" s="18" t="str">
        <x:v>voa | 1</x:v>
      </x:c>
      <x:c r="C1555" s="19" t="n">
        <x:f>IF(B1555="",0,(LEN(B1555)-LEN(SUBSTITUTE(B1555," | ","")))/3+1)</x:f>
        <x:v>2</x:v>
      </x:c>
      <x:c r="D1555" t="str">
        <x:v>s</x:v>
      </x:c>
      <x:c r="E1555" t="str">
        <x:v>https://www.webonary.org/marubo/gb8f7a8bb-2cff-457c-8d32-5d116b6b1ddb/</x:v>
      </x:c>
      <x:c r="F1555" t="str">
        <x:v>g6c4f1bf0-2214-4133-80e2-98d40968aa8c</x:v>
      </x:c>
      <x:c r="G1555" s="20" t="n">
        <x:v>46003.93497596065</x:v>
      </x:c>
    </x:row>
    <x:row r="1556">
      <x:c r="A1556" s="18" t="str">
        <x:v>satisfeito</x:v>
      </x:c>
      <x:c r="B1556" s="18" t="str">
        <x:v>yanika</x:v>
      </x:c>
      <x:c r="C1556" s="19" t="n">
        <x:f>IF(B1556="",0,(LEN(B1556)-LEN(SUBSTITUTE(B1556," | ","")))/3+1)</x:f>
        <x:v>1</x:v>
      </x:c>
      <x:c r="D1556" t="str">
        <x:v>s</x:v>
      </x:c>
      <x:c r="E1556" t="str">
        <x:v>https://www.webonary.org/marubo/gf9518fda-8717-46a9-a5b6-80d743bb332f/</x:v>
      </x:c>
      <x:c r="F1556" t="str">
        <x:v>g67227efc-0461-40a2-b5e3-4327161173d8</x:v>
      </x:c>
      <x:c r="G1556" s="20" t="n">
        <x:v>46003.93498275463</x:v>
      </x:c>
    </x:row>
    <x:row r="1557">
      <x:c r="A1557" s="18" t="str">
        <x:v>saúva</x:v>
      </x:c>
      <x:c r="B1557" s="18" t="str">
        <x:v>chichi | 1</x:v>
      </x:c>
      <x:c r="C1557" s="19" t="n">
        <x:f>IF(B1557="",0,(LEN(B1557)-LEN(SUBSTITUTE(B1557," | ","")))/3+1)</x:f>
        <x:v>2</x:v>
      </x:c>
      <x:c r="D1557" t="str">
        <x:v>s</x:v>
      </x:c>
      <x:c r="E1557" t="str">
        <x:v>https://www.webonary.org/marubo/g17ea03a8-4e08-4bd7-805c-b2c58b7e54ca/</x:v>
      </x:c>
      <x:c r="F1557" t="str">
        <x:v>g7e32a6cc-f501-4ba5-903b-fc2f78d1e0ce</x:v>
      </x:c>
      <x:c r="G1557" s="20" t="n">
        <x:v>46003.93498275463</x:v>
      </x:c>
    </x:row>
    <x:row r="1558">
      <x:c r="A1558" s="18" t="str">
        <x:v>saúva comestível</x:v>
      </x:c>
      <x:c r="B1558" s="18" t="str">
        <x:v>chichĩ ewa</x:v>
      </x:c>
      <x:c r="C1558" s="19" t="n">
        <x:f>IF(B1558="",0,(LEN(B1558)-LEN(SUBSTITUTE(B1558," | ","")))/3+1)</x:f>
        <x:v>1</x:v>
      </x:c>
      <x:c r="D1558" t="str">
        <x:v>s</x:v>
      </x:c>
      <x:c r="E1558" t="str">
        <x:v>https://www.webonary.org/marubo/g9fe20cf3-d81b-4fe7-b3b4-0a060cd75f6a/</x:v>
      </x:c>
      <x:c r="F1558" t="str">
        <x:v>g7c9ce76b-3eab-4987-ab21-83df73c8e7db</x:v>
      </x:c>
      <x:c r="G1558" s="20" t="n">
        <x:v>46003.93498275463</x:v>
      </x:c>
    </x:row>
    <x:row r="1559">
      <x:c r="A1559" s="18" t="str">
        <x:v>saúva voadora</x:v>
      </x:c>
      <x:c r="B1559" s="18" t="str">
        <x:v>chipĩwa | 1</x:v>
      </x:c>
      <x:c r="C1559" s="19" t="n">
        <x:f>IF(B1559="",0,(LEN(B1559)-LEN(SUBSTITUTE(B1559," | ","")))/3+1)</x:f>
        <x:v>2</x:v>
      </x:c>
      <x:c r="D1559" t="str">
        <x:v>s</x:v>
      </x:c>
      <x:c r="E1559" t="str">
        <x:v>https://www.webonary.org/marubo/g50e22609-e0e1-409e-a415-d432700190fd/</x:v>
      </x:c>
      <x:c r="F1559" t="str">
        <x:v>g071808eb-bdb7-4225-b7d9-843128b9ac46</x:v>
      </x:c>
      <x:c r="G1559" s="20" t="n">
        <x:v>46003.93498275463</x:v>
      </x:c>
    </x:row>
    <x:row r="1560">
      <x:c r="A1560" s="18" t="str">
        <x:v>SD</x:v>
      </x:c>
      <x:c r="B1560" s="18" t="str">
        <x:v>-tõsho | -maĩnõ</x:v>
      </x:c>
      <x:c r="C1560" s="19" t="n">
        <x:f>IF(B1560="",0,(LEN(B1560)-LEN(SUBSTITUTE(B1560," | ","")))/3+1)</x:f>
        <x:v>2</x:v>
      </x:c>
      <x:c r="D1560" t="str">
        <x:v>s</x:v>
      </x:c>
      <x:c r="E1560" t="str">
        <x:v>https://www.webonary.org/marubo/g7d79d60e-7635-4cfe-a5ce-15ee9544b0fa/</x:v>
      </x:c>
      <x:c r="F1560" t="str">
        <x:v>g52247745-c1b8-4a97-82e8-ece9b35decda</x:v>
      </x:c>
      <x:c r="G1560" s="20" t="n">
        <x:v>46003.93498275463</x:v>
      </x:c>
    </x:row>
    <x:row r="1561">
      <x:c r="A1561" s="18" t="str">
        <x:v>se perder</x:v>
      </x:c>
      <x:c r="B1561" s="18" t="str">
        <x:v>venóa</x:v>
      </x:c>
      <x:c r="C1561" s="19" t="n">
        <x:f>IF(B1561="",0,(LEN(B1561)-LEN(SUBSTITUTE(B1561," | ","")))/3+1)</x:f>
        <x:v>1</x:v>
      </x:c>
      <x:c r="D1561" t="str">
        <x:v>s</x:v>
      </x:c>
      <x:c r="E1561" t="str">
        <x:v>https://www.webonary.org/marubo/g0db671cf-6d63-449c-8ab4-b454911f0cfe/</x:v>
      </x:c>
      <x:c r="F1561" t="str">
        <x:v>g6d58f315-854b-4205-bd76-b52efa35011a</x:v>
      </x:c>
      <x:c r="G1561" s="20" t="n">
        <x:v>46003.93498275463</x:v>
      </x:c>
    </x:row>
    <x:row r="1562">
      <x:c r="A1562" s="18" t="str">
        <x:v>se prostrar no chão</x:v>
      </x:c>
      <x:c r="B1562" s="18" t="str">
        <x:v>vetseki ipá</x:v>
      </x:c>
      <x:c r="C1562" s="19" t="n">
        <x:f>IF(B1562="",0,(LEN(B1562)-LEN(SUBSTITUTE(B1562," | ","")))/3+1)</x:f>
        <x:v>1</x:v>
      </x:c>
      <x:c r="D1562" t="str">
        <x:v>s</x:v>
      </x:c>
      <x:c r="E1562" t="str">
        <x:v>https://www.webonary.org/marubo/g122a14bb-a9a1-4043-8ed8-c8fcfbc448c8/</x:v>
      </x:c>
      <x:c r="F1562" t="str">
        <x:v>g112137b4-b7b9-44df-bb1c-b5e0fd5b340d</x:v>
      </x:c>
      <x:c r="G1562" s="20" t="n">
        <x:v>46003.93498275463</x:v>
      </x:c>
    </x:row>
    <x:row r="1563">
      <x:c r="A1563" s="18" t="str">
        <x:v>secador de mãos? toalhas de papel?</x:v>
      </x:c>
      <x:c r="B1563" s="18" t="str">
        <x:v>meskiti</x:v>
      </x:c>
      <x:c r="C1563" s="19" t="n">
        <x:f>IF(B1563="",0,(LEN(B1563)-LEN(SUBSTITUTE(B1563," | ","")))/3+1)</x:f>
        <x:v>1</x:v>
      </x:c>
      <x:c r="D1563" t="str">
        <x:v>s</x:v>
      </x:c>
      <x:c r="E1563" t="str">
        <x:v>https://www.webonary.org/marubo/gc78b0753-14ea-4691-bb5a-94bce518c813/</x:v>
      </x:c>
      <x:c r="F1563" t="str">
        <x:v>gc91f7d76-79b4-47be-bb06-6c1a37b43f15</x:v>
      </x:c>
      <x:c r="G1563" s="20" t="n">
        <x:v>46003.93498275463</x:v>
      </x:c>
    </x:row>
    <x:row r="1564">
      <x:c r="A1564" s="18" t="str">
        <x:v>secar</x:v>
      </x:c>
      <x:c r="B1564" s="18" t="str">
        <x:v>toá | 1 | eshtá aká</x:v>
      </x:c>
      <x:c r="C1564" s="19" t="n">
        <x:f>IF(B1564="",0,(LEN(B1564)-LEN(SUBSTITUTE(B1564," | ","")))/3+1)</x:f>
        <x:v>3</x:v>
      </x:c>
      <x:c r="D1564" t="str">
        <x:v>s</x:v>
      </x:c>
      <x:c r="E1564" t="str">
        <x:v>https://www.webonary.org/marubo/g6170b7e9-8e89-4d0e-a310-cdbe44505f6e/</x:v>
      </x:c>
      <x:c r="F1564" t="str">
        <x:v>ge7be0cac-eeba-4229-9866-7cc71b5b28e5</x:v>
      </x:c>
      <x:c r="G1564" s="20" t="n">
        <x:v>46003.93498275463</x:v>
      </x:c>
    </x:row>
    <x:row r="1565">
      <x:c r="A1565" s="18" t="str">
        <x:v>seco</x:v>
      </x:c>
      <x:c r="B1565" s="18" t="str">
        <x:v>txokoma</x:v>
      </x:c>
      <x:c r="C1565" s="19" t="n">
        <x:f>IF(B1565="",0,(LEN(B1565)-LEN(SUBSTITUTE(B1565," | ","")))/3+1)</x:f>
        <x:v>1</x:v>
      </x:c>
      <x:c r="D1565" t="str">
        <x:v>s</x:v>
      </x:c>
      <x:c r="E1565" t="str">
        <x:v>https://www.webonary.org/marubo/g7803ba99-b934-4279-9993-111e5b2a9ec4/</x:v>
      </x:c>
      <x:c r="F1565" t="str">
        <x:v>gd18552ee-0262-4dc4-8697-c113fe5879e8</x:v>
      </x:c>
      <x:c r="G1565" s="20" t="n">
        <x:v>46003.93498275463</x:v>
      </x:c>
    </x:row>
    <x:row r="1566">
      <x:c r="A1566" s="18" t="str">
        <x:v>sedento/a</x:v>
      </x:c>
      <x:c r="B1566" s="18" t="str">
        <x:v>wakapasha vetsoa</x:v>
      </x:c>
      <x:c r="C1566" s="19" t="n">
        <x:f>IF(B1566="",0,(LEN(B1566)-LEN(SUBSTITUTE(B1566," | ","")))/3+1)</x:f>
        <x:v>1</x:v>
      </x:c>
      <x:c r="D1566" t="str">
        <x:v>s</x:v>
      </x:c>
      <x:c r="E1566" t="str">
        <x:v>https://www.webonary.org/marubo/g136fecac-ce1d-422b-b9c8-124cd4ddb57f/</x:v>
      </x:c>
      <x:c r="F1566" t="str">
        <x:v>g45ac9981-5597-420a-9813-fc2c37d2cc94</x:v>
      </x:c>
      <x:c r="G1566" s="20" t="n">
        <x:v>46003.93498275463</x:v>
      </x:c>
    </x:row>
    <x:row r="1567">
      <x:c r="A1567" s="18" t="str">
        <x:v>seguir</x:v>
      </x:c>
      <x:c r="B1567" s="18" t="str">
        <x:v>txipoa | -txõ</x:v>
      </x:c>
      <x:c r="C1567" s="19" t="n">
        <x:f>IF(B1567="",0,(LEN(B1567)-LEN(SUBSTITUTE(B1567," | ","")))/3+1)</x:f>
        <x:v>2</x:v>
      </x:c>
      <x:c r="D1567" t="str">
        <x:v>s</x:v>
      </x:c>
      <x:c r="E1567" t="str">
        <x:v>https://www.webonary.org/marubo/g655cb6e1-1f95-4d33-a34f-0b65eff0b788/</x:v>
      </x:c>
      <x:c r="F1567" t="str">
        <x:v>g1cde8dd8-6893-4758-a80a-337497d6fcc2</x:v>
      </x:c>
      <x:c r="G1567" s="20" t="n">
        <x:v>46003.93498275463</x:v>
      </x:c>
    </x:row>
    <x:row r="1568">
      <x:c r="A1568" s="18" t="str">
        <x:v>segurar a mão</x:v>
      </x:c>
      <x:c r="B1568" s="18" t="str">
        <x:v>mepá</x:v>
      </x:c>
      <x:c r="C1568" s="19" t="n">
        <x:f>IF(B1568="",0,(LEN(B1568)-LEN(SUBSTITUTE(B1568," | ","")))/3+1)</x:f>
        <x:v>1</x:v>
      </x:c>
      <x:c r="D1568" t="str">
        <x:v>s</x:v>
      </x:c>
      <x:c r="E1568" t="str">
        <x:v>https://www.webonary.org/marubo/g737cec1d-7d25-40cd-91be-9a0d722e26ad/</x:v>
      </x:c>
      <x:c r="F1568" t="str">
        <x:v>g5fb2622e-b685-4900-bfa9-2bf9c1080d88</x:v>
      </x:c>
      <x:c r="G1568" s="20" t="n">
        <x:v>46003.93498275463</x:v>
      </x:c>
    </x:row>
    <x:row r="1569">
      <x:c r="A1569" s="18" t="str">
        <x:v>segurar com mãos</x:v>
      </x:c>
      <x:c r="B1569" s="18" t="str">
        <x:v>mepi ina</x:v>
      </x:c>
      <x:c r="C1569" s="19" t="n">
        <x:f>IF(B1569="",0,(LEN(B1569)-LEN(SUBSTITUTE(B1569," | ","")))/3+1)</x:f>
        <x:v>1</x:v>
      </x:c>
      <x:c r="D1569" t="str">
        <x:v>s</x:v>
      </x:c>
      <x:c r="E1569" t="str">
        <x:v>https://www.webonary.org/marubo/gc4d52527-9413-4d45-9671-39dba0061ebe/</x:v>
      </x:c>
      <x:c r="F1569" t="str">
        <x:v>g6d43154f-8bee-4a5b-a84b-6155a1be7a12</x:v>
      </x:c>
      <x:c r="G1569" s="20" t="n">
        <x:v>46003.93498275463</x:v>
      </x:c>
    </x:row>
    <x:row r="1570">
      <x:c r="A1570" s="18" t="str">
        <x:v>segurar na boca</x:v>
      </x:c>
      <x:c r="B1570" s="18" t="str">
        <x:v>kochkivakĩa</x:v>
      </x:c>
      <x:c r="C1570" s="19" t="n">
        <x:f>IF(B1570="",0,(LEN(B1570)-LEN(SUBSTITUTE(B1570," | ","")))/3+1)</x:f>
        <x:v>1</x:v>
      </x:c>
      <x:c r="D1570" t="str">
        <x:v>s</x:v>
      </x:c>
      <x:c r="E1570" t="str">
        <x:v>https://www.webonary.org/marubo/g0dcfe1ba-9ff6-41c2-a654-31cd23b293bd/</x:v>
      </x:c>
      <x:c r="F1570" t="str">
        <x:v>g6b0ba95c-bb01-48fd-bf33-0efea7c57757</x:v>
      </x:c>
      <x:c r="G1570" s="20" t="n">
        <x:v>46003.93498275463</x:v>
      </x:c>
    </x:row>
    <x:row r="1571">
      <x:c r="A1571" s="18" t="str">
        <x:v>segurar nos braços</x:v>
      </x:c>
      <x:c r="B1571" s="18" t="str">
        <x:v>ikóa</x:v>
      </x:c>
      <x:c r="C1571" s="19" t="n">
        <x:f>IF(B1571="",0,(LEN(B1571)-LEN(SUBSTITUTE(B1571," | ","")))/3+1)</x:f>
        <x:v>1</x:v>
      </x:c>
      <x:c r="D1571" t="str">
        <x:v>s</x:v>
      </x:c>
      <x:c r="E1571" t="str">
        <x:v>https://www.webonary.org/marubo/ge078a071-a4bf-46a4-86b7-0d802e615ee1/</x:v>
      </x:c>
      <x:c r="F1571" t="str">
        <x:v>g9e4968cd-70c7-4f45-91a0-dbb0e3e57f13</x:v>
      </x:c>
      <x:c r="G1571" s="20" t="n">
        <x:v>46003.93498275463</x:v>
      </x:c>
    </x:row>
    <x:row r="1572">
      <x:c r="A1572" s="18" t="str">
        <x:v>sem dentes</x:v>
      </x:c>
      <x:c r="B1572" s="18" t="str">
        <x:v>aroka</x:v>
      </x:c>
      <x:c r="C1572" s="19" t="n">
        <x:f>IF(B1572="",0,(LEN(B1572)-LEN(SUBSTITUTE(B1572," | ","")))/3+1)</x:f>
        <x:v>1</x:v>
      </x:c>
      <x:c r="D1572" t="str">
        <x:v>s</x:v>
      </x:c>
      <x:c r="E1572" t="str">
        <x:v>https://www.webonary.org/marubo/gb3fd9626-fe0b-4205-9e4f-e8c8a67acd6b/</x:v>
      </x:c>
      <x:c r="F1572" t="str">
        <x:v>ga969b4a6-a709-441f-9088-e21c14e7239a</x:v>
      </x:c>
      <x:c r="G1572" s="20" t="n">
        <x:v>46003.93498275463</x:v>
      </x:c>
    </x:row>
    <x:row r="1573">
      <x:c r="A1573" s="18" t="str">
        <x:v>sem gosto</x:v>
      </x:c>
      <x:c r="B1573" s="18" t="str">
        <x:v>orãka | 2</x:v>
      </x:c>
      <x:c r="C1573" s="19" t="n">
        <x:f>IF(B1573="",0,(LEN(B1573)-LEN(SUBSTITUTE(B1573," | ","")))/3+1)</x:f>
        <x:v>2</x:v>
      </x:c>
      <x:c r="D1573" t="str">
        <x:v>s</x:v>
      </x:c>
      <x:c r="E1573" t="str">
        <x:v>https://www.webonary.org/marubo/gc0d3b38f-0e1e-4a67-86c7-2aa0f0c863b8/</x:v>
      </x:c>
      <x:c r="F1573" t="str">
        <x:v>g624cd21c-30f1-4f06-9bf6-e9b4638774e1</x:v>
      </x:c>
      <x:c r="G1573" s="20" t="n">
        <x:v>46003.93498275463</x:v>
      </x:c>
    </x:row>
    <x:row r="1574">
      <x:c r="A1574" s="18" t="str">
        <x:v>sem sal</x:v>
      </x:c>
      <x:c r="B1574" s="18" t="str">
        <x:v>orãka | 1</x:v>
      </x:c>
      <x:c r="C1574" s="19" t="n">
        <x:f>IF(B1574="",0,(LEN(B1574)-LEN(SUBSTITUTE(B1574," | ","")))/3+1)</x:f>
        <x:v>2</x:v>
      </x:c>
      <x:c r="D1574" t="str">
        <x:v>s</x:v>
      </x:c>
      <x:c r="E1574" t="str">
        <x:v>https://www.webonary.org/marubo/g2b774fcb-cee3-48e2-98ca-499f14c3c73b/</x:v>
      </x:c>
      <x:c r="F1574" t="str">
        <x:v>g1ab762ca-f8cc-4cd5-9cb2-e2b9a91ee0ba</x:v>
      </x:c>
      <x:c r="G1574" s="20" t="n">
        <x:v>46003.93498275463</x:v>
      </x:c>
    </x:row>
    <x:row r="1575">
      <x:c r="A1575" s="18" t="str">
        <x:v>sêmen</x:v>
      </x:c>
      <x:c r="B1575" s="18" t="str">
        <x:v>ere</x:v>
      </x:c>
      <x:c r="C1575" s="19" t="n">
        <x:f>IF(B1575="",0,(LEN(B1575)-LEN(SUBSTITUTE(B1575," | ","")))/3+1)</x:f>
        <x:v>1</x:v>
      </x:c>
      <x:c r="D1575" t="str">
        <x:v>s</x:v>
      </x:c>
      <x:c r="E1575" t="str">
        <x:v>https://www.webonary.org/marubo/g443e97df-6af0-4e4f-abb8-9a0ab87fdf00/</x:v>
      </x:c>
      <x:c r="F1575" t="str">
        <x:v>g048c58f4-676c-4ef4-8ea5-12d2d1b99f25</x:v>
      </x:c>
      <x:c r="G1575" s="20" t="n">
        <x:v>46003.93498275463</x:v>
      </x:c>
    </x:row>
    <x:row r="1576">
      <x:c r="A1576" s="18" t="str">
        <x:v>semente</x:v>
      </x:c>
      <x:c r="B1576" s="18" t="str">
        <x:v>eshe</x:v>
      </x:c>
      <x:c r="C1576" s="19" t="n">
        <x:f>IF(B1576="",0,(LEN(B1576)-LEN(SUBSTITUTE(B1576," | ","")))/3+1)</x:f>
        <x:v>1</x:v>
      </x:c>
      <x:c r="D1576" t="str">
        <x:v>s</x:v>
      </x:c>
      <x:c r="E1576" t="str">
        <x:v>https://www.webonary.org/marubo/gddbd84c9-2acd-43e4-a55e-0badb3d5d574/</x:v>
      </x:c>
      <x:c r="F1576" t="str">
        <x:v>g690efbc0-62e9-468b-bfaf-b3f2ebed9a59</x:v>
      </x:c>
      <x:c r="G1576" s="20" t="n">
        <x:v>46003.93498275463</x:v>
      </x:c>
    </x:row>
    <x:row r="1577">
      <x:c r="A1577" s="18" t="str">
        <x:v>sentado</x:v>
      </x:c>
      <x:c r="B1577" s="18" t="str">
        <x:v>kãtxía</x:v>
      </x:c>
      <x:c r="C1577" s="19" t="n">
        <x:f>IF(B1577="",0,(LEN(B1577)-LEN(SUBSTITUTE(B1577," | ","")))/3+1)</x:f>
        <x:v>1</x:v>
      </x:c>
      <x:c r="D1577" t="str">
        <x:v>s</x:v>
      </x:c>
      <x:c r="E1577" t="str">
        <x:v>https://www.webonary.org/marubo/gd4b4ad3e-0b78-43c5-8c8c-a257520c2d1a/</x:v>
      </x:c>
      <x:c r="F1577" t="str">
        <x:v>g039a809e-1a84-45fd-8424-cd1142d83842</x:v>
      </x:c>
      <x:c r="G1577" s="20" t="n">
        <x:v>46003.93498275463</x:v>
      </x:c>
    </x:row>
    <x:row r="1578">
      <x:c r="A1578" s="18" t="str">
        <x:v>sentado com pernas cruzadas</x:v>
      </x:c>
      <x:c r="B1578" s="18" t="str">
        <x:v>oshkéa</x:v>
      </x:c>
      <x:c r="C1578" s="19" t="n">
        <x:f>IF(B1578="",0,(LEN(B1578)-LEN(SUBSTITUTE(B1578," | ","")))/3+1)</x:f>
        <x:v>1</x:v>
      </x:c>
      <x:c r="D1578" t="str">
        <x:v>s</x:v>
      </x:c>
      <x:c r="E1578" t="str">
        <x:v>https://www.webonary.org/marubo/gda16f21e-b08b-47c5-8366-60cd927515e7/</x:v>
      </x:c>
      <x:c r="F1578" t="str">
        <x:v>g8ff7804f-6db4-4169-bc63-6aaa164d604f</x:v>
      </x:c>
      <x:c r="G1578" s="20" t="n">
        <x:v>46003.93498275463</x:v>
      </x:c>
    </x:row>
    <x:row r="1579">
      <x:c r="A1579" s="18" t="str">
        <x:v>sentado sem mexer</x:v>
      </x:c>
      <x:c r="B1579" s="18" t="str">
        <x:v>vorokase tsaoa</x:v>
      </x:c>
      <x:c r="C1579" s="19" t="n">
        <x:f>IF(B1579="",0,(LEN(B1579)-LEN(SUBSTITUTE(B1579," | ","")))/3+1)</x:f>
        <x:v>1</x:v>
      </x:c>
      <x:c r="D1579" t="str">
        <x:v>s</x:v>
      </x:c>
      <x:c r="E1579" t="str">
        <x:v>https://www.webonary.org/marubo/g7eea5a75-630a-4668-bbe6-5c3d592f0474/</x:v>
      </x:c>
      <x:c r="F1579" t="str">
        <x:v>g51ab0baf-8a45-4134-92b9-373efe51930e</x:v>
      </x:c>
      <x:c r="G1579" s="20" t="n">
        <x:v>46003.93498275463</x:v>
      </x:c>
    </x:row>
    <x:row r="1580">
      <x:c r="A1580" s="18" t="str">
        <x:v>sentados juntos</x:v>
      </x:c>
      <x:c r="B1580" s="18" t="str">
        <x:v>setéa</x:v>
      </x:c>
      <x:c r="C1580" s="19" t="n">
        <x:f>IF(B1580="",0,(LEN(B1580)-LEN(SUBSTITUTE(B1580," | ","")))/3+1)</x:f>
        <x:v>1</x:v>
      </x:c>
      <x:c r="D1580" t="str">
        <x:v>s</x:v>
      </x:c>
      <x:c r="E1580" t="str">
        <x:v>https://www.webonary.org/marubo/ga2ad51be-ff19-4bbe-bc57-746465fc8c44/</x:v>
      </x:c>
      <x:c r="F1580" t="str">
        <x:v>g55ce9f0c-1b14-4835-b6c4-8de0dffc6917</x:v>
      </x:c>
      <x:c r="G1580" s="20" t="n">
        <x:v>46003.93498275463</x:v>
      </x:c>
    </x:row>
    <x:row r="1581">
      <x:c r="A1581" s="18" t="str">
        <x:v>sentar</x:v>
      </x:c>
      <x:c r="B1581" s="18" t="str">
        <x:v>tsaóa</x:v>
      </x:c>
      <x:c r="C1581" s="19" t="n">
        <x:f>IF(B1581="",0,(LEN(B1581)-LEN(SUBSTITUTE(B1581," | ","")))/3+1)</x:f>
        <x:v>1</x:v>
      </x:c>
      <x:c r="D1581" t="str">
        <x:v>s</x:v>
      </x:c>
      <x:c r="E1581" t="str">
        <x:v>https://www.webonary.org/marubo/g017559ae-ff86-4f34-851b-e8a9153292d0/</x:v>
      </x:c>
      <x:c r="F1581" t="str">
        <x:v>g85448f58-7329-41b9-a321-1ecd34e9b86d</x:v>
      </x:c>
      <x:c r="G1581" s="20" t="n">
        <x:v>46003.93498275463</x:v>
      </x:c>
    </x:row>
    <x:row r="1582">
      <x:c r="A1582" s="18" t="str">
        <x:v>sentar-se (na rede)</x:v>
      </x:c>
      <x:c r="B1582" s="18" t="str">
        <x:v>wii ina</x:v>
      </x:c>
      <x:c r="C1582" s="19" t="n">
        <x:f>IF(B1582="",0,(LEN(B1582)-LEN(SUBSTITUTE(B1582," | ","")))/3+1)</x:f>
        <x:v>1</x:v>
      </x:c>
      <x:c r="D1582" t="str">
        <x:v>s</x:v>
      </x:c>
      <x:c r="E1582" t="str">
        <x:v>https://www.webonary.org/marubo/ga0dba918-1b31-4f48-ad8e-995ced07947b/</x:v>
      </x:c>
      <x:c r="F1582" t="str">
        <x:v>gba21dbe0-8f37-43f3-b01d-693f6a405402</x:v>
      </x:c>
      <x:c r="G1582" s="20" t="n">
        <x:v>46003.93498275463</x:v>
      </x:c>
    </x:row>
    <x:row r="1583">
      <x:c r="A1583" s="18" t="str">
        <x:v>separar</x:v>
      </x:c>
      <x:c r="B1583" s="18" t="str">
        <x:v>pashkákea</x:v>
      </x:c>
      <x:c r="C1583" s="19" t="n">
        <x:f>IF(B1583="",0,(LEN(B1583)-LEN(SUBSTITUTE(B1583," | ","")))/3+1)</x:f>
        <x:v>1</x:v>
      </x:c>
      <x:c r="D1583" t="str">
        <x:v>s</x:v>
      </x:c>
      <x:c r="E1583" t="str">
        <x:v>https://www.webonary.org/marubo/g847cc3c2-1b6f-4656-997e-d88e01c9f21d/</x:v>
      </x:c>
      <x:c r="F1583" t="str">
        <x:v>gd96b7738-fadb-45d8-abb4-8ff7627ca039</x:v>
      </x:c>
      <x:c r="G1583" s="20" t="n">
        <x:v>46003.93498275463</x:v>
      </x:c>
    </x:row>
    <x:row r="1584">
      <x:c r="A1584" s="18" t="str">
        <x:v>ser assustado</x:v>
      </x:c>
      <x:c r="B1584" s="18" t="str">
        <x:v>rakéa</x:v>
      </x:c>
      <x:c r="C1584" s="19" t="n">
        <x:f>IF(B1584="",0,(LEN(B1584)-LEN(SUBSTITUTE(B1584," | ","")))/3+1)</x:f>
        <x:v>1</x:v>
      </x:c>
      <x:c r="D1584" t="str">
        <x:v>s</x:v>
      </x:c>
      <x:c r="E1584" t="str">
        <x:v>https://www.webonary.org/marubo/g9a460203-0d28-43d9-b609-b24a787a9e34/</x:v>
      </x:c>
      <x:c r="F1584" t="str">
        <x:v>g23ae0cf2-7c22-4a0c-93ba-5fd44e60c813</x:v>
      </x:c>
      <x:c r="G1584" s="20" t="n">
        <x:v>46003.93498275463</x:v>
      </x:c>
    </x:row>
    <x:row r="1585">
      <x:c r="A1585" s="18" t="str">
        <x:v>ser batizado</x:v>
      </x:c>
      <x:c r="B1585" s="18" t="str">
        <x:v>morich aka</x:v>
      </x:c>
      <x:c r="C1585" s="19" t="n">
        <x:f>IF(B1585="",0,(LEN(B1585)-LEN(SUBSTITUTE(B1585," | ","")))/3+1)</x:f>
        <x:v>1</x:v>
      </x:c>
      <x:c r="D1585" t="str">
        <x:v>s</x:v>
      </x:c>
      <x:c r="E1585" t="str">
        <x:v>https://www.webonary.org/marubo/g760e4237-6944-466b-8767-d70d00427edc/</x:v>
      </x:c>
      <x:c r="F1585" t="str">
        <x:v>g17e4c83a-5df7-4f4f-b564-41adf89a45dd</x:v>
      </x:c>
      <x:c r="G1585" s="20" t="n">
        <x:v>46003.93498275463</x:v>
      </x:c>
    </x:row>
    <x:row r="1586">
      <x:c r="A1586" s="18" t="str">
        <x:v>ser derrubado</x:v>
      </x:c>
      <x:c r="B1586" s="18" t="str">
        <x:v>voskéa</x:v>
      </x:c>
      <x:c r="C1586" s="19" t="n">
        <x:f>IF(B1586="",0,(LEN(B1586)-LEN(SUBSTITUTE(B1586," | ","")))/3+1)</x:f>
        <x:v>1</x:v>
      </x:c>
      <x:c r="D1586" t="str">
        <x:v>s</x:v>
      </x:c>
      <x:c r="E1586" t="str">
        <x:v>https://www.webonary.org/marubo/gf5a1dda6-aa9b-474f-9dde-91396dc62457/</x:v>
      </x:c>
      <x:c r="F1586" t="str">
        <x:v>gf0a63c03-02d4-4e89-a071-bddf5026c7c6</x:v>
      </x:c>
      <x:c r="G1586" s="20" t="n">
        <x:v>46003.93498275463</x:v>
      </x:c>
    </x:row>
    <x:row r="1587">
      <x:c r="A1587" s="18" t="str">
        <x:v>ser que criou a terra mal em cima da terra boa</x:v>
      </x:c>
      <x:c r="B1587" s="18" t="str">
        <x:v>Kanã Marí</x:v>
      </x:c>
      <x:c r="C1587" s="19" t="n">
        <x:f>IF(B1587="",0,(LEN(B1587)-LEN(SUBSTITUTE(B1587," | ","")))/3+1)</x:f>
        <x:v>1</x:v>
      </x:c>
      <x:c r="D1587" t="str">
        <x:v>s</x:v>
      </x:c>
      <x:c r="E1587" t="str">
        <x:v>https://www.webonary.org/marubo/g62f48470-f34c-4e08-9732-6a76f0783188/</x:v>
      </x:c>
      <x:c r="F1587" t="str">
        <x:v>g8862c04d-7733-4d21-9542-eda7ba66b261</x:v>
      </x:c>
      <x:c r="G1587" s="20" t="n">
        <x:v>46003.93498275463</x:v>
      </x:c>
    </x:row>
    <x:row r="1588">
      <x:c r="A1588" s="18" t="str">
        <x:v>ser verdade</x:v>
      </x:c>
      <x:c r="B1588" s="18" t="str">
        <x:v>anõa | 1</x:v>
      </x:c>
      <x:c r="C1588" s="19" t="n">
        <x:f>IF(B1588="",0,(LEN(B1588)-LEN(SUBSTITUTE(B1588," | ","")))/3+1)</x:f>
        <x:v>2</x:v>
      </x:c>
      <x:c r="D1588" t="str">
        <x:v>s</x:v>
      </x:c>
      <x:c r="E1588" t="str">
        <x:v>https://www.webonary.org/marubo/gb9469958-c5cd-4506-9342-41be1c1b2567/</x:v>
      </x:c>
      <x:c r="F1588" t="str">
        <x:v>g413203b0-47af-47d1-bb87-903c796cfaab</x:v>
      </x:c>
      <x:c r="G1588" s="20" t="n">
        <x:v>46003.93498275463</x:v>
      </x:c>
    </x:row>
    <x:row r="1589">
      <x:c r="A1589" s="18" t="str">
        <x:v>serrote</x:v>
      </x:c>
      <x:c r="B1589" s="18" t="str">
        <x:v>nisati</x:v>
      </x:c>
      <x:c r="C1589" s="19" t="n">
        <x:f>IF(B1589="",0,(LEN(B1589)-LEN(SUBSTITUTE(B1589," | ","")))/3+1)</x:f>
        <x:v>1</x:v>
      </x:c>
      <x:c r="D1589" t="str">
        <x:v>s</x:v>
      </x:c>
      <x:c r="E1589" t="str">
        <x:v>https://www.webonary.org/marubo/g5fbc0849-8c81-4c5b-ae6c-3cccf1e978a7/</x:v>
      </x:c>
      <x:c r="F1589" t="str">
        <x:v>ga9df8003-9b0a-4244-8a67-09ee2476dc7d</x:v>
      </x:c>
      <x:c r="G1589" s="20" t="n">
        <x:v>46003.93498275463</x:v>
      </x:c>
    </x:row>
    <x:row r="1590">
      <x:c r="A1590" s="18" t="str">
        <x:v>Sim</x:v>
      </x:c>
      <x:c r="B1590" s="18" t="str">
        <x:v>aase</x:v>
      </x:c>
      <x:c r="C1590" s="19" t="n">
        <x:f>IF(B1590="",0,(LEN(B1590)-LEN(SUBSTITUTE(B1590," | ","")))/3+1)</x:f>
        <x:v>1</x:v>
      </x:c>
      <x:c r="D1590" t="str">
        <x:v>s</x:v>
      </x:c>
      <x:c r="E1590" t="str">
        <x:v>https://www.webonary.org/marubo/g86cf4a32-67e7-4d6d-a09c-b1a0d6556471/</x:v>
      </x:c>
      <x:c r="F1590" t="str">
        <x:v>g7a3aa72c-5df1-4a02-a8a4-b2a6f9517c96</x:v>
      </x:c>
      <x:c r="G1590" s="20" t="n">
        <x:v>46003.93498275463</x:v>
      </x:c>
    </x:row>
    <x:row r="1591">
      <x:c r="A1591" s="18" t="str">
        <x:v>similar</x:v>
      </x:c>
      <x:c r="B1591" s="18" t="str">
        <x:v>keská</x:v>
      </x:c>
      <x:c r="C1591" s="19" t="n">
        <x:f>IF(B1591="",0,(LEN(B1591)-LEN(SUBSTITUTE(B1591," | ","")))/3+1)</x:f>
        <x:v>1</x:v>
      </x:c>
      <x:c r="D1591" t="str">
        <x:v>s</x:v>
      </x:c>
      <x:c r="E1591" t="str">
        <x:v>https://www.webonary.org/marubo/gdad193db-4974-40ab-94be-211147e06626/</x:v>
      </x:c>
      <x:c r="F1591" t="str">
        <x:v>g47c0b14d-941f-4a0d-b615-774119dcfe09</x:v>
      </x:c>
      <x:c r="G1591" s="20" t="n">
        <x:v>46003.93498275463</x:v>
      </x:c>
    </x:row>
    <x:row r="1592">
      <x:c r="A1592" s="18" t="str">
        <x:v>sinal</x:v>
      </x:c>
      <x:c r="B1592" s="18" t="str">
        <x:v>tachi | 2</x:v>
      </x:c>
      <x:c r="C1592" s="19" t="n">
        <x:f>IF(B1592="",0,(LEN(B1592)-LEN(SUBSTITUTE(B1592," | ","")))/3+1)</x:f>
        <x:v>2</x:v>
      </x:c>
      <x:c r="D1592" t="str">
        <x:v>s</x:v>
      </x:c>
      <x:c r="E1592" t="str">
        <x:v>https://www.webonary.org/marubo/ge07bb4fd-2397-4645-8c93-d13a16102d4f/</x:v>
      </x:c>
      <x:c r="F1592" t="str">
        <x:v>g851e5bda-87d8-493b-b93a-36cfbae67fcc</x:v>
      </x:c>
      <x:c r="G1592" s="20" t="n">
        <x:v>46003.93498275463</x:v>
      </x:c>
    </x:row>
    <x:row r="1593">
      <x:c r="A1593" s="18" t="str">
        <x:v>sinónimo para saiti</x:v>
      </x:c>
      <x:c r="B1593" s="18" t="str">
        <x:v>yoã vana</x:v>
      </x:c>
      <x:c r="C1593" s="19" t="n">
        <x:f>IF(B1593="",0,(LEN(B1593)-LEN(SUBSTITUTE(B1593," | ","")))/3+1)</x:f>
        <x:v>1</x:v>
      </x:c>
      <x:c r="D1593" t="str">
        <x:v>s</x:v>
      </x:c>
      <x:c r="E1593" t="str">
        <x:v>https://www.webonary.org/marubo/gd35a697d-8f1d-49eb-80fb-785d411e35f6/</x:v>
      </x:c>
      <x:c r="F1593" t="str">
        <x:v>g02f972f7-fae3-4498-a5d9-0b682b5e504e</x:v>
      </x:c>
      <x:c r="G1593" s="20" t="n">
        <x:v>46003.93498275463</x:v>
      </x:c>
    </x:row>
    <x:row r="1594">
      <x:c r="A1594" s="18" t="str">
        <x:v>sobrancelha</x:v>
      </x:c>
      <x:c r="B1594" s="18" t="str">
        <x:v>vero kẽpe rani</x:v>
      </x:c>
      <x:c r="C1594" s="19" t="n">
        <x:f>IF(B1594="",0,(LEN(B1594)-LEN(SUBSTITUTE(B1594," | ","")))/3+1)</x:f>
        <x:v>1</x:v>
      </x:c>
      <x:c r="D1594" t="str">
        <x:v>s</x:v>
      </x:c>
      <x:c r="E1594" t="str">
        <x:v>https://www.webonary.org/marubo/g04930df0-1e98-4cb5-a44b-f3c2b87eb455/</x:v>
      </x:c>
      <x:c r="F1594" t="str">
        <x:v>g4dc150bf-58bf-4de3-a2d2-663b249aba11</x:v>
      </x:c>
      <x:c r="G1594" s="20" t="n">
        <x:v>46003.93498275463</x:v>
      </x:c>
    </x:row>
    <x:row r="1595">
      <x:c r="A1595" s="18" t="str">
        <x:v>sobrar</x:v>
      </x:c>
      <x:c r="B1595" s="18" t="str">
        <x:v>teshea | 2</x:v>
      </x:c>
      <x:c r="C1595" s="19" t="n">
        <x:f>IF(B1595="",0,(LEN(B1595)-LEN(SUBSTITUTE(B1595," | ","")))/3+1)</x:f>
        <x:v>2</x:v>
      </x:c>
      <x:c r="D1595" t="str">
        <x:v>s</x:v>
      </x:c>
      <x:c r="E1595" t="str">
        <x:v>https://www.webonary.org/marubo/gec9f1eb9-de32-48ab-8929-49c8737351b7/</x:v>
      </x:c>
      <x:c r="F1595" t="str">
        <x:v>g05d99bf5-7f63-41b0-8cd1-52cad0fbb8f8</x:v>
      </x:c>
      <x:c r="G1595" s="20" t="n">
        <x:v>46003.93498275463</x:v>
      </x:c>
    </x:row>
    <x:row r="1596">
      <x:c r="A1596" s="18" t="str">
        <x:v>sobrinha</x:v>
      </x:c>
      <x:c r="B1596" s="18" t="str">
        <x:v>ewashko | pãteti | natxichko</x:v>
      </x:c>
      <x:c r="C1596" s="19" t="n">
        <x:f>IF(B1596="",0,(LEN(B1596)-LEN(SUBSTITUTE(B1596," | ","")))/3+1)</x:f>
        <x:v>3</x:v>
      </x:c>
      <x:c r="D1596" t="str">
        <x:v>s</x:v>
      </x:c>
      <x:c r="E1596" t="str">
        <x:v>https://www.webonary.org/marubo/gb1271da1-6a0a-4d27-8cec-3c4f206b00cd/</x:v>
      </x:c>
      <x:c r="F1596" t="str">
        <x:v>g7726781f-c9bd-45d2-a3a8-6a2ae161ff36</x:v>
      </x:c>
      <x:c r="G1596" s="20" t="n">
        <x:v>46003.93498275463</x:v>
      </x:c>
    </x:row>
    <x:row r="1597">
      <x:c r="A1597" s="18" t="str">
        <x:v>sobrinho ou sobrinha</x:v>
      </x:c>
      <x:c r="B1597" s="18" t="str">
        <x:v>takẽ vake</x:v>
      </x:c>
      <x:c r="C1597" s="19" t="n">
        <x:f>IF(B1597="",0,(LEN(B1597)-LEN(SUBSTITUTE(B1597," | ","")))/3+1)</x:f>
        <x:v>1</x:v>
      </x:c>
      <x:c r="D1597" t="str">
        <x:v>s</x:v>
      </x:c>
      <x:c r="E1597" t="str">
        <x:v>https://www.webonary.org/marubo/gea6fc86e-560e-4b4c-a8c4-8dd2a97aa426/</x:v>
      </x:c>
      <x:c r="F1597" t="str">
        <x:v>ga9125067-cb9e-4a09-b615-155f809d1a36</x:v>
      </x:c>
      <x:c r="G1597" s="20" t="n">
        <x:v>46003.93498275463</x:v>
      </x:c>
    </x:row>
    <x:row r="1598">
      <x:c r="A1598" s="18" t="str">
        <x:v>socar</x:v>
      </x:c>
      <x:c r="B1598" s="18" t="str">
        <x:v>tii aká</x:v>
      </x:c>
      <x:c r="C1598" s="19" t="n">
        <x:f>IF(B1598="",0,(LEN(B1598)-LEN(SUBSTITUTE(B1598," | ","")))/3+1)</x:f>
        <x:v>1</x:v>
      </x:c>
      <x:c r="D1598" t="str">
        <x:v>s</x:v>
      </x:c>
      <x:c r="E1598" t="str">
        <x:v>https://www.webonary.org/marubo/g713175f9-358c-4fad-ad33-2d9c63516b8f/</x:v>
      </x:c>
      <x:c r="F1598" t="str">
        <x:v>g309a5513-b813-449e-8978-ee09f3be8eda</x:v>
      </x:c>
      <x:c r="G1598" s="20" t="n">
        <x:v>46003.93498275463</x:v>
      </x:c>
    </x:row>
    <x:row r="1599">
      <x:c r="A1599" s="18" t="str">
        <x:v>socó</x:v>
      </x:c>
      <x:c r="B1599" s="18" t="str">
        <x:v>aka | 1</x:v>
      </x:c>
      <x:c r="C1599" s="19" t="n">
        <x:f>IF(B1599="",0,(LEN(B1599)-LEN(SUBSTITUTE(B1599," | ","")))/3+1)</x:f>
        <x:v>2</x:v>
      </x:c>
      <x:c r="D1599" t="str">
        <x:v>s</x:v>
      </x:c>
      <x:c r="E1599" t="str">
        <x:v>https://www.webonary.org/marubo/g80023363-b837-4d0a-a748-f256f76ab2e6/</x:v>
      </x:c>
      <x:c r="F1599" t="str">
        <x:v>g1b626cc5-a842-4190-a415-3af9bb1b7dcc</x:v>
      </x:c>
      <x:c r="G1599" s="20" t="n">
        <x:v>46003.93498275463</x:v>
      </x:c>
    </x:row>
    <x:row r="1600">
      <x:c r="A1600" s="18" t="str">
        <x:v>sogra</x:v>
      </x:c>
      <x:c r="B1600" s="18" t="str">
        <x:v>raiyose aĩvo</x:v>
      </x:c>
      <x:c r="C1600" s="19" t="n">
        <x:f>IF(B1600="",0,(LEN(B1600)-LEN(SUBSTITUTE(B1600," | ","")))/3+1)</x:f>
        <x:v>1</x:v>
      </x:c>
      <x:c r="D1600" t="str">
        <x:v>s</x:v>
      </x:c>
      <x:c r="E1600" t="str">
        <x:v>https://www.webonary.org/marubo/gcff99a7b-392d-4770-b337-4f8e3f48915f/</x:v>
      </x:c>
      <x:c r="F1600" t="str">
        <x:v>g4240516b-6f38-4cbc-8080-9170026fdb86</x:v>
      </x:c>
      <x:c r="G1600" s="20" t="n">
        <x:v>46003.93498275463</x:v>
      </x:c>
    </x:row>
    <x:row r="1601">
      <x:c r="A1601" s="18" t="str">
        <x:v>sogro</x:v>
      </x:c>
      <x:c r="B1601" s="18" t="str">
        <x:v>rayose</x:v>
      </x:c>
      <x:c r="C1601" s="19" t="n">
        <x:f>IF(B1601="",0,(LEN(B1601)-LEN(SUBSTITUTE(B1601," | ","")))/3+1)</x:f>
        <x:v>1</x:v>
      </x:c>
      <x:c r="D1601" t="str">
        <x:v>s</x:v>
      </x:c>
      <x:c r="E1601" t="str">
        <x:v>https://www.webonary.org/marubo/g9dddc3eb-5863-4f6d-9011-90bb7e79873f/</x:v>
      </x:c>
      <x:c r="F1601" t="str">
        <x:v>gaaef6860-f0a8-46c4-b74c-88b6b1de2584</x:v>
      </x:c>
      <x:c r="G1601" s="20" t="n">
        <x:v>46003.93498275463</x:v>
      </x:c>
    </x:row>
    <x:row r="1602">
      <x:c r="A1602" s="18" t="str">
        <x:v>sol</x:v>
      </x:c>
      <x:c r="B1602" s="18" t="str">
        <x:v>varika | vari</x:v>
      </x:c>
      <x:c r="C1602" s="19" t="n">
        <x:f>IF(B1602="",0,(LEN(B1602)-LEN(SUBSTITUTE(B1602," | ","")))/3+1)</x:f>
        <x:v>2</x:v>
      </x:c>
      <x:c r="D1602" t="str">
        <x:v>s</x:v>
      </x:c>
      <x:c r="E1602" t="str">
        <x:v>https://www.webonary.org/marubo/g593bf684-01ce-4872-bbe9-729feab6f7ba/</x:v>
      </x:c>
      <x:c r="F1602" t="str">
        <x:v>ge774dd79-2ffb-4d71-9edf-534ab9c64364</x:v>
      </x:c>
      <x:c r="G1602" s="20" t="n">
        <x:v>46003.93498275463</x:v>
      </x:c>
    </x:row>
    <x:row r="1603">
      <x:c r="A1603" s="18" t="str">
        <x:v>sola</x:v>
      </x:c>
      <x:c r="B1603" s="18" t="str">
        <x:v>tae napáshe</x:v>
      </x:c>
      <x:c r="C1603" s="19" t="n">
        <x:f>IF(B1603="",0,(LEN(B1603)-LEN(SUBSTITUTE(B1603," | ","")))/3+1)</x:f>
        <x:v>1</x:v>
      </x:c>
      <x:c r="D1603" t="str">
        <x:v>s</x:v>
      </x:c>
      <x:c r="E1603" t="str">
        <x:v>https://www.webonary.org/marubo/gf295e7a4-598f-4258-b49e-7019492de101/</x:v>
      </x:c>
      <x:c r="F1603" t="str">
        <x:v>g579a0daf-dd72-4b98-916f-65b69c1f558e</x:v>
      </x:c>
      <x:c r="G1603" s="20" t="n">
        <x:v>46003.93498275463</x:v>
      </x:c>
    </x:row>
    <x:row r="1604">
      <x:c r="A1604" s="18" t="str">
        <x:v>soldado</x:v>
      </x:c>
      <x:c r="B1604" s="18" t="str">
        <x:v>teskekáya</x:v>
      </x:c>
      <x:c r="C1604" s="19" t="n">
        <x:f>IF(B1604="",0,(LEN(B1604)-LEN(SUBSTITUTE(B1604," | ","")))/3+1)</x:f>
        <x:v>1</x:v>
      </x:c>
      <x:c r="D1604" t="str">
        <x:v>s</x:v>
      </x:c>
      <x:c r="E1604" t="str">
        <x:v>https://www.webonary.org/marubo/g76ae508c-279f-475e-a899-b8d463db34a1/</x:v>
      </x:c>
      <x:c r="F1604" t="str">
        <x:v>g4fdcfa4a-7d5c-49ca-b257-a5d78393074e</x:v>
      </x:c>
      <x:c r="G1604" s="20" t="n">
        <x:v>46003.93498275463</x:v>
      </x:c>
    </x:row>
    <x:row r="1605">
      <x:c r="A1605" s="18" t="str">
        <x:v>solteira</x:v>
      </x:c>
      <x:c r="B1605" s="18" t="str">
        <x:v>venema</x:v>
      </x:c>
      <x:c r="C1605" s="19" t="n">
        <x:f>IF(B1605="",0,(LEN(B1605)-LEN(SUBSTITUTE(B1605," | ","")))/3+1)</x:f>
        <x:v>1</x:v>
      </x:c>
      <x:c r="D1605" t="str">
        <x:v>s</x:v>
      </x:c>
      <x:c r="E1605" t="str">
        <x:v>https://www.webonary.org/marubo/ga7bba455-dd35-4da8-a5ef-ccb1b5d2ce3b/</x:v>
      </x:c>
      <x:c r="F1605" t="str">
        <x:v>g24da0802-c578-4527-b61d-ced034774187</x:v>
      </x:c>
      <x:c r="G1605" s="20" t="n">
        <x:v>46003.93498275463</x:v>
      </x:c>
    </x:row>
    <x:row r="1606">
      <x:c r="A1606" s="18" t="str">
        <x:v>soluçar</x:v>
      </x:c>
      <x:c r="B1606" s="18" t="str">
        <x:v>tsekoa</x:v>
      </x:c>
      <x:c r="C1606" s="19" t="n">
        <x:f>IF(B1606="",0,(LEN(B1606)-LEN(SUBSTITUTE(B1606," | ","")))/3+1)</x:f>
        <x:v>1</x:v>
      </x:c>
      <x:c r="D1606" t="str">
        <x:v>s</x:v>
      </x:c>
      <x:c r="E1606" t="str">
        <x:v>https://www.webonary.org/marubo/g74f9d3b1-a7e6-48b0-9440-a226056a8c3d/</x:v>
      </x:c>
      <x:c r="F1606" t="str">
        <x:v>g3e21d158-b95a-4a2a-879a-2643d227cbe6</x:v>
      </x:c>
      <x:c r="G1606" s="20" t="n">
        <x:v>46003.934988796296</x:v>
      </x:c>
    </x:row>
    <x:row r="1607">
      <x:c r="A1607" s="18" t="str">
        <x:v>som simbolico golpear</x:v>
      </x:c>
      <x:c r="B1607" s="18" t="str">
        <x:v>tsase</x:v>
      </x:c>
      <x:c r="C1607" s="19" t="n">
        <x:f>IF(B1607="",0,(LEN(B1607)-LEN(SUBSTITUTE(B1607," | ","")))/3+1)</x:f>
        <x:v>1</x:v>
      </x:c>
      <x:c r="D1607" t="str">
        <x:v>s</x:v>
      </x:c>
      <x:c r="E1607" t="str">
        <x:v>https://www.webonary.org/marubo/gefd32030-e2f4-4ebe-a991-64562be08710/</x:v>
      </x:c>
      <x:c r="F1607" t="str">
        <x:v>g36608e05-05d9-4600-b527-b400718fb6b8</x:v>
      </x:c>
      <x:c r="G1607" s="20" t="n">
        <x:v>46003.934988796296</x:v>
      </x:c>
    </x:row>
    <x:row r="1608">
      <x:c r="A1608" s="18" t="str">
        <x:v>sombra</x:v>
      </x:c>
      <x:c r="B1608" s="18" t="str">
        <x:v>vari pãtéa | pãté</x:v>
      </x:c>
      <x:c r="C1608" s="19" t="n">
        <x:f>IF(B1608="",0,(LEN(B1608)-LEN(SUBSTITUTE(B1608," | ","")))/3+1)</x:f>
        <x:v>2</x:v>
      </x:c>
      <x:c r="D1608" t="str">
        <x:v>s</x:v>
      </x:c>
      <x:c r="E1608" t="str">
        <x:v>https://www.webonary.org/marubo/g29ebe138-7e46-48df-a1af-3e6fcce353d8/</x:v>
      </x:c>
      <x:c r="F1608" t="str">
        <x:v>g74479437-afcd-41aa-84db-e32f62d23537</x:v>
      </x:c>
      <x:c r="G1608" s="20" t="n">
        <x:v>46003.934988796296</x:v>
      </x:c>
    </x:row>
    <x:row r="1609">
      <x:c r="A1609" s="18" t="str">
        <x:v>sombrinha</x:v>
      </x:c>
      <x:c r="B1609" s="18" t="str">
        <x:v>iwáti</x:v>
      </x:c>
      <x:c r="C1609" s="19" t="n">
        <x:f>IF(B1609="",0,(LEN(B1609)-LEN(SUBSTITUTE(B1609," | ","")))/3+1)</x:f>
        <x:v>1</x:v>
      </x:c>
      <x:c r="D1609" t="str">
        <x:v>s</x:v>
      </x:c>
      <x:c r="E1609" t="str">
        <x:v>https://www.webonary.org/marubo/gc8954199-0748-4fa6-9308-0703848af7ae/</x:v>
      </x:c>
      <x:c r="F1609" t="str">
        <x:v>g6b745620-ec67-4d0d-b415-5796e67a2273</x:v>
      </x:c>
      <x:c r="G1609" s="20" t="n">
        <x:v>46003.934988796296</x:v>
      </x:c>
    </x:row>
    <x:row r="1610">
      <x:c r="A1610" s="18" t="str">
        <x:v>sonâmbular</x:v>
      </x:c>
      <x:c r="B1610" s="18" t="str">
        <x:v>vevéa</x:v>
      </x:c>
      <x:c r="C1610" s="19" t="n">
        <x:f>IF(B1610="",0,(LEN(B1610)-LEN(SUBSTITUTE(B1610," | ","")))/3+1)</x:f>
        <x:v>1</x:v>
      </x:c>
      <x:c r="D1610" t="str">
        <x:v>s</x:v>
      </x:c>
      <x:c r="E1610" t="str">
        <x:v>https://www.webonary.org/marubo/g66e52793-86c3-45ff-bc48-d55e1894b8d6/</x:v>
      </x:c>
      <x:c r="F1610" t="str">
        <x:v>g7f851ce4-e293-40de-9d29-d094de035986</x:v>
      </x:c>
      <x:c r="G1610" s="20" t="n">
        <x:v>46003.934988796296</x:v>
      </x:c>
    </x:row>
    <x:row r="1611">
      <x:c r="A1611" s="18" t="str">
        <x:v>sonho</x:v>
      </x:c>
      <x:c r="B1611" s="18" t="str">
        <x:v>namá</x:v>
      </x:c>
      <x:c r="C1611" s="19" t="n">
        <x:f>IF(B1611="",0,(LEN(B1611)-LEN(SUBSTITUTE(B1611," | ","")))/3+1)</x:f>
        <x:v>1</x:v>
      </x:c>
      <x:c r="D1611" t="str">
        <x:v>s</x:v>
      </x:c>
      <x:c r="E1611" t="str">
        <x:v>https://www.webonary.org/marubo/g03af69d0-b732-4f45-b354-f4816a21e406/</x:v>
      </x:c>
      <x:c r="F1611" t="str">
        <x:v>g27007ab2-3e14-45ae-973f-412f4e8a6cc9</x:v>
      </x:c>
      <x:c r="G1611" s="20" t="n">
        <x:v>46003.934988796296</x:v>
      </x:c>
    </x:row>
    <x:row r="1612">
      <x:c r="A1612" s="18" t="str">
        <x:v>sopa</x:v>
      </x:c>
      <x:c r="B1612" s="18" t="str">
        <x:v>pasa</x:v>
      </x:c>
      <x:c r="C1612" s="19" t="n">
        <x:f>IF(B1612="",0,(LEN(B1612)-LEN(SUBSTITUTE(B1612," | ","")))/3+1)</x:f>
        <x:v>1</x:v>
      </x:c>
      <x:c r="D1612" t="str">
        <x:v>s</x:v>
      </x:c>
      <x:c r="E1612" t="str">
        <x:v>https://www.webonary.org/marubo/gce0ab33d-1949-4f5f-80bb-9fb88b853c7c/</x:v>
      </x:c>
      <x:c r="F1612" t="str">
        <x:v>gbe4bcb44-ae10-4712-9cf7-442b33750da0</x:v>
      </x:c>
      <x:c r="G1612" s="20" t="n">
        <x:v>46003.934988796296</x:v>
      </x:c>
    </x:row>
    <x:row r="1613">
      <x:c r="A1613" s="18" t="str">
        <x:v>sopa com pedaços de mandioca</x:v>
      </x:c>
      <x:c r="B1613" s="18" t="str">
        <x:v>chirõp aká</x:v>
      </x:c>
      <x:c r="C1613" s="19" t="n">
        <x:f>IF(B1613="",0,(LEN(B1613)-LEN(SUBSTITUTE(B1613," | ","")))/3+1)</x:f>
        <x:v>1</x:v>
      </x:c>
      <x:c r="D1613" t="str">
        <x:v>s</x:v>
      </x:c>
      <x:c r="E1613" t="str">
        <x:v>https://www.webonary.org/marubo/g305c55a9-b796-4ec6-8eb3-75b0a31b3ed7/</x:v>
      </x:c>
      <x:c r="F1613" t="str">
        <x:v>g3d70cf66-18a7-4008-9920-8acf75822b96</x:v>
      </x:c>
      <x:c r="G1613" s="20" t="n">
        <x:v>46003.934988796296</x:v>
      </x:c>
    </x:row>
    <x:row r="1614">
      <x:c r="A1614" s="18" t="str">
        <x:v>sopa sem carne</x:v>
      </x:c>
      <x:c r="B1614" s="18" t="str">
        <x:v>veyõ</x:v>
      </x:c>
      <x:c r="C1614" s="19" t="n">
        <x:f>IF(B1614="",0,(LEN(B1614)-LEN(SUBSTITUTE(B1614," | ","")))/3+1)</x:f>
        <x:v>1</x:v>
      </x:c>
      <x:c r="D1614" t="str">
        <x:v>s</x:v>
      </x:c>
      <x:c r="E1614" t="str">
        <x:v>https://www.webonary.org/marubo/g93841f10-2696-4a8a-9ad8-b3a32b9ab68e/</x:v>
      </x:c>
      <x:c r="F1614" t="str">
        <x:v>g88cdf49c-33a1-49ca-8e07-9c298b6deaca</x:v>
      </x:c>
      <x:c r="G1614" s="20" t="n">
        <x:v>46003.934988796296</x:v>
      </x:c>
    </x:row>
    <x:row r="1615">
      <x:c r="A1615" s="18" t="str">
        <x:v>soprar</x:v>
      </x:c>
      <x:c r="B1615" s="18" t="str">
        <x:v>veshõ ikí | veshõ aká</x:v>
      </x:c>
      <x:c r="C1615" s="19" t="n">
        <x:f>IF(B1615="",0,(LEN(B1615)-LEN(SUBSTITUTE(B1615," | ","")))/3+1)</x:f>
        <x:v>2</x:v>
      </x:c>
      <x:c r="D1615" t="str">
        <x:v>s</x:v>
      </x:c>
      <x:c r="E1615" t="str">
        <x:v>https://www.webonary.org/marubo/g4aee1217-e3df-49cf-bb70-09af31a8f948/</x:v>
      </x:c>
      <x:c r="F1615" t="str">
        <x:v>g5285242a-8edd-4e07-be15-2693bfae65a6</x:v>
      </x:c>
      <x:c r="G1615" s="20" t="n">
        <x:v>46003.934988796296</x:v>
      </x:c>
    </x:row>
    <x:row r="1616">
      <x:c r="A1616" s="18" t="str">
        <x:v>soprar fumaça da boca</x:v>
      </x:c>
      <x:c r="B1616" s="18" t="str">
        <x:v>poa ikí</x:v>
      </x:c>
      <x:c r="C1616" s="19" t="n">
        <x:f>IF(B1616="",0,(LEN(B1616)-LEN(SUBSTITUTE(B1616," | ","")))/3+1)</x:f>
        <x:v>1</x:v>
      </x:c>
      <x:c r="D1616" t="str">
        <x:v>s</x:v>
      </x:c>
      <x:c r="E1616" t="str">
        <x:v>https://www.webonary.org/marubo/g70ae5d97-26ad-4d55-b3f2-07ab217162e1/</x:v>
      </x:c>
      <x:c r="F1616" t="str">
        <x:v>g26c91ed1-6a8a-4b38-b9e7-071685639b39</x:v>
      </x:c>
      <x:c r="G1616" s="20" t="n">
        <x:v>46003.934988796296</x:v>
      </x:c>
    </x:row>
    <x:row r="1617">
      <x:c r="A1617" s="18" t="str">
        <x:v>soprocantar</x:v>
      </x:c>
      <x:c r="B1617" s="18" t="str">
        <x:v>shõ iki</x:v>
      </x:c>
      <x:c r="C1617" s="19" t="n">
        <x:f>IF(B1617="",0,(LEN(B1617)-LEN(SUBSTITUTE(B1617," | ","")))/3+1)</x:f>
        <x:v>1</x:v>
      </x:c>
      <x:c r="D1617" t="str">
        <x:v>s</x:v>
      </x:c>
      <x:c r="E1617" t="str">
        <x:v>https://www.webonary.org/marubo/g7d272d1b-43f7-42de-8669-3bdeef9af7cf/</x:v>
      </x:c>
      <x:c r="F1617" t="str">
        <x:v>gdb65abb6-9393-475d-b7b2-507e5669960e</x:v>
      </x:c>
      <x:c r="G1617" s="20" t="n">
        <x:v>46003.934988796296</x:v>
      </x:c>
    </x:row>
    <x:row r="1618">
      <x:c r="A1618" s="18" t="str">
        <x:v>sorrir</x:v>
      </x:c>
      <x:c r="B1618" s="18" t="str">
        <x:v>osã iki</x:v>
      </x:c>
      <x:c r="C1618" s="19" t="n">
        <x:f>IF(B1618="",0,(LEN(B1618)-LEN(SUBSTITUTE(B1618," | ","")))/3+1)</x:f>
        <x:v>1</x:v>
      </x:c>
      <x:c r="D1618" t="str">
        <x:v>s</x:v>
      </x:c>
      <x:c r="E1618" t="str">
        <x:v>https://www.webonary.org/marubo/gccd2054e-a27a-4d13-9d81-00ad8a040b0b/</x:v>
      </x:c>
      <x:c r="F1618" t="str">
        <x:v>g887fc41a-b1d9-4538-b20b-ca45fc85319b</x:v>
      </x:c>
      <x:c r="G1618" s="20" t="n">
        <x:v>46003.934988796296</x:v>
      </x:c>
    </x:row>
    <x:row r="1619">
      <x:c r="A1619" s="18" t="str">
        <x:v>sovaco</x:v>
      </x:c>
      <x:c r="B1619" s="18" t="str">
        <x:v>pichkĩ</x:v>
      </x:c>
      <x:c r="C1619" s="19" t="n">
        <x:f>IF(B1619="",0,(LEN(B1619)-LEN(SUBSTITUTE(B1619," | ","")))/3+1)</x:f>
        <x:v>1</x:v>
      </x:c>
      <x:c r="D1619" t="str">
        <x:v>s</x:v>
      </x:c>
      <x:c r="E1619" t="str">
        <x:v>https://www.webonary.org/marubo/g45ad8723-7eec-447c-bdce-9385f2229b00/</x:v>
      </x:c>
      <x:c r="F1619" t="str">
        <x:v>g5aae1a96-0426-4bb4-b045-62e6c7ece1b9</x:v>
      </x:c>
      <x:c r="G1619" s="20" t="n">
        <x:v>46003.934988796296</x:v>
      </x:c>
    </x:row>
    <x:row r="1620">
      <x:c r="A1620" s="18" t="str">
        <x:v>stem</x:v>
      </x:c>
      <x:c r="B1620" s="18" t="str">
        <x:v>tasho</x:v>
      </x:c>
      <x:c r="C1620" s="19" t="n">
        <x:f>IF(B1620="",0,(LEN(B1620)-LEN(SUBSTITUTE(B1620," | ","")))/3+1)</x:f>
        <x:v>1</x:v>
      </x:c>
      <x:c r="D1620" t="str">
        <x:v>s</x:v>
      </x:c>
      <x:c r="E1620" t="str">
        <x:v>https://www.webonary.org/marubo/g0884d225-a189-470f-8fa8-893aea3296fe/</x:v>
      </x:c>
      <x:c r="F1620" t="str">
        <x:v>gc373c406-2dd6-45d2-89e3-1918dcac524e</x:v>
      </x:c>
      <x:c r="G1620" s="20" t="n">
        <x:v>46003.934988796296</x:v>
      </x:c>
    </x:row>
    <x:row r="1621">
      <x:c r="A1621" s="18" t="str">
        <x:v>subir</x:v>
      </x:c>
      <x:c r="B1621" s="18" t="str">
        <x:v>nee iná</x:v>
      </x:c>
      <x:c r="C1621" s="19" t="n">
        <x:f>IF(B1621="",0,(LEN(B1621)-LEN(SUBSTITUTE(B1621," | ","")))/3+1)</x:f>
        <x:v>1</x:v>
      </x:c>
      <x:c r="D1621" t="str">
        <x:v>s</x:v>
      </x:c>
      <x:c r="E1621" t="str">
        <x:v>https://www.webonary.org/marubo/gd967ab72-331e-4910-bce3-7413bbef4988/</x:v>
      </x:c>
      <x:c r="F1621" t="str">
        <x:v>g6372aa32-6c46-49ec-abe0-6dfe03e8d9d1</x:v>
      </x:c>
      <x:c r="G1621" s="20" t="n">
        <x:v>46003.934988796296</x:v>
      </x:c>
    </x:row>
    <x:row r="1622">
      <x:c r="A1622" s="18" t="str">
        <x:v>substancia como breu</x:v>
      </x:c>
      <x:c r="B1622" s="18" t="str">
        <x:v>sẽpa</x:v>
      </x:c>
      <x:c r="C1622" s="19" t="n">
        <x:f>IF(B1622="",0,(LEN(B1622)-LEN(SUBSTITUTE(B1622," | ","")))/3+1)</x:f>
        <x:v>1</x:v>
      </x:c>
      <x:c r="D1622" t="str">
        <x:v>s</x:v>
      </x:c>
      <x:c r="E1622" t="str">
        <x:v>https://www.webonary.org/marubo/g8255e8be-c6bc-413e-8fd7-0bd2bf471258/</x:v>
      </x:c>
      <x:c r="F1622" t="str">
        <x:v>ga9dc33e6-07f1-4956-92b5-1ee0fe559e58</x:v>
      </x:c>
      <x:c r="G1622" s="20" t="n">
        <x:v>46003.934988796296</x:v>
      </x:c>
    </x:row>
    <x:row r="1623">
      <x:c r="A1623" s="18" t="str">
        <x:v>sucuri</x:v>
      </x:c>
      <x:c r="B1623" s="18" t="str">
        <x:v>vẽsha</x:v>
      </x:c>
      <x:c r="C1623" s="19" t="n">
        <x:f>IF(B1623="",0,(LEN(B1623)-LEN(SUBSTITUTE(B1623," | ","")))/3+1)</x:f>
        <x:v>1</x:v>
      </x:c>
      <x:c r="D1623" t="str">
        <x:v>s</x:v>
      </x:c>
      <x:c r="E1623" t="str">
        <x:v>https://www.webonary.org/marubo/g22d764ec-d163-43e7-8014-f986b3ef6050/</x:v>
      </x:c>
      <x:c r="F1623" t="str">
        <x:v>gae791ba6-7d31-4161-9a99-bc18af7c7659</x:v>
      </x:c>
      <x:c r="G1623" s="20" t="n">
        <x:v>46003.934988796296</x:v>
      </x:c>
    </x:row>
    <x:row r="1624">
      <x:c r="A1624" s="18" t="str">
        <x:v>sufocar?</x:v>
      </x:c>
      <x:c r="B1624" s="18" t="str">
        <x:v>tekóimisi</x:v>
      </x:c>
      <x:c r="C1624" s="19" t="n">
        <x:f>IF(B1624="",0,(LEN(B1624)-LEN(SUBSTITUTE(B1624," | ","")))/3+1)</x:f>
        <x:v>1</x:v>
      </x:c>
      <x:c r="D1624" t="str">
        <x:v>s</x:v>
      </x:c>
      <x:c r="E1624" t="str">
        <x:v>https://www.webonary.org/marubo/g80ac72bd-e4d8-43f9-9619-ff214433bb42/</x:v>
      </x:c>
      <x:c r="F1624" t="str">
        <x:v>ga137bab2-270c-4ec6-970f-b31835cd85f4</x:v>
      </x:c>
      <x:c r="G1624" s="20" t="n">
        <x:v>46003.934988796296</x:v>
      </x:c>
    </x:row>
    <x:row r="1625">
      <x:c r="A1625" s="18" t="str">
        <x:v>sujar outro (no final de festa)</x:v>
      </x:c>
      <x:c r="B1625" s="18" t="str">
        <x:v>vechtá</x:v>
      </x:c>
      <x:c r="C1625" s="19" t="n">
        <x:f>IF(B1625="",0,(LEN(B1625)-LEN(SUBSTITUTE(B1625," | ","")))/3+1)</x:f>
        <x:v>1</x:v>
      </x:c>
      <x:c r="D1625" t="str">
        <x:v>s</x:v>
      </x:c>
      <x:c r="E1625" t="str">
        <x:v>https://www.webonary.org/marubo/g1afade2a-e2b1-4289-941f-80ef27e5e768/</x:v>
      </x:c>
      <x:c r="F1625" t="str">
        <x:v>g0ee860d0-b164-456d-af91-2d4075b50ad7</x:v>
      </x:c>
      <x:c r="G1625" s="20" t="n">
        <x:v>46003.934988796296</x:v>
      </x:c>
    </x:row>
    <x:row r="1626">
      <x:c r="A1626" s="18" t="str">
        <x:v>sujo</x:v>
      </x:c>
      <x:c r="B1626" s="18" t="str">
        <x:v>txochtaka</x:v>
      </x:c>
      <x:c r="C1626" s="19" t="n">
        <x:f>IF(B1626="",0,(LEN(B1626)-LEN(SUBSTITUTE(B1626," | ","")))/3+1)</x:f>
        <x:v>1</x:v>
      </x:c>
      <x:c r="D1626" t="str">
        <x:v>s</x:v>
      </x:c>
      <x:c r="E1626" t="str">
        <x:v>https://www.webonary.org/marubo/ge31b5606-1194-4c61-ba47-c84311c75fee/</x:v>
      </x:c>
      <x:c r="F1626" t="str">
        <x:v>g7251f0df-0359-4363-a11f-8043b2d4d911</x:v>
      </x:c>
      <x:c r="G1626" s="20" t="n">
        <x:v>46003.934988796296</x:v>
      </x:c>
    </x:row>
    <x:row r="1627">
      <x:c r="A1627" s="18" t="str">
        <x:v>superficie com recesso</x:v>
      </x:c>
      <x:c r="B1627" s="18" t="str">
        <x:v>txõkẽ́ka (tamo tõpi)</x:v>
      </x:c>
      <x:c r="C1627" s="19" t="n">
        <x:f>IF(B1627="",0,(LEN(B1627)-LEN(SUBSTITUTE(B1627," | ","")))/3+1)</x:f>
        <x:v>1</x:v>
      </x:c>
      <x:c r="D1627" t="str">
        <x:v>s</x:v>
      </x:c>
      <x:c r="E1627" t="str">
        <x:v>https://www.webonary.org/marubo/g3f3f8c87-599d-4dc0-8f2b-45c48af185ae/</x:v>
      </x:c>
      <x:c r="F1627" t="str">
        <x:v>g4b0cd4f8-442e-4ffe-a777-dcfeebdb2054</x:v>
      </x:c>
      <x:c r="G1627" s="20" t="n">
        <x:v>46003.934988796296</x:v>
      </x:c>
    </x:row>
    <x:row r="1628">
      <x:c r="A1628" s="18" t="str">
        <x:v>suporte para os bancos paralelos</x:v>
      </x:c>
      <x:c r="B1628" s="18" t="str">
        <x:v>kenã vesokti</x:v>
      </x:c>
      <x:c r="C1628" s="19" t="n">
        <x:f>IF(B1628="",0,(LEN(B1628)-LEN(SUBSTITUTE(B1628," | ","")))/3+1)</x:f>
        <x:v>1</x:v>
      </x:c>
      <x:c r="D1628" t="str">
        <x:v>s</x:v>
      </x:c>
      <x:c r="E1628" t="str">
        <x:v>https://www.webonary.org/marubo/g89f0fe8b-bfa6-4b63-a801-7eeca2268883/</x:v>
      </x:c>
      <x:c r="F1628" t="str">
        <x:v>g73caeb16-0e23-4a1f-94a0-d66e1e7e24f9</x:v>
      </x:c>
      <x:c r="G1628" s="20" t="n">
        <x:v>46003.934988796296</x:v>
      </x:c>
    </x:row>
    <x:row r="1629">
      <x:c r="A1629" s="18" t="str">
        <x:v>surdo</x:v>
      </x:c>
      <x:c r="B1629" s="18" t="str">
        <x:v>pasto</x:v>
      </x:c>
      <x:c r="C1629" s="19" t="n">
        <x:f>IF(B1629="",0,(LEN(B1629)-LEN(SUBSTITUTE(B1629," | ","")))/3+1)</x:f>
        <x:v>1</x:v>
      </x:c>
      <x:c r="D1629" t="str">
        <x:v>s</x:v>
      </x:c>
      <x:c r="E1629" t="str">
        <x:v>https://www.webonary.org/marubo/ge8118289-67c2-40bf-928b-0f80e24892a8/</x:v>
      </x:c>
      <x:c r="F1629" t="str">
        <x:v>g64a9bd5c-d814-4e5e-b7da-90dee1d69fe3</x:v>
      </x:c>
      <x:c r="G1629" s="20" t="n">
        <x:v>46003.934988796296</x:v>
      </x:c>
    </x:row>
    <x:row r="1630">
      <x:c r="A1630" s="18" t="str">
        <x:v>surucucu</x:v>
      </x:c>
      <x:c r="B1630" s="18" t="str">
        <x:v>kamóshe | 1 | chanó | mana chano</x:v>
      </x:c>
      <x:c r="C1630" s="19" t="n">
        <x:f>IF(B1630="",0,(LEN(B1630)-LEN(SUBSTITUTE(B1630," | ","")))/3+1)</x:f>
        <x:v>4</x:v>
      </x:c>
      <x:c r="D1630" t="str">
        <x:v>s</x:v>
      </x:c>
      <x:c r="E1630" t="str">
        <x:v>https://www.webonary.org/marubo/g92edcac2-4726-430e-8af2-cb98989fbd9f/</x:v>
      </x:c>
      <x:c r="F1630" t="str">
        <x:v>g89bf3bef-4dc0-40cd-b76b-0d8f3ed0c94e</x:v>
      </x:c>
      <x:c r="G1630" s="20" t="n">
        <x:v>46003.934988796296</x:v>
      </x:c>
    </x:row>
    <x:row r="1631">
      <x:c r="A1631" s="18" t="str">
        <x:v>surucucu macho</x:v>
      </x:c>
      <x:c r="B1631" s="18" t="str">
        <x:v>chanó pono</x:v>
      </x:c>
      <x:c r="C1631" s="19" t="n">
        <x:f>IF(B1631="",0,(LEN(B1631)-LEN(SUBSTITUTE(B1631," | ","")))/3+1)</x:f>
        <x:v>1</x:v>
      </x:c>
      <x:c r="D1631" t="str">
        <x:v>s</x:v>
      </x:c>
      <x:c r="E1631" t="str">
        <x:v>https://www.webonary.org/marubo/g92801927-7c07-495e-89f0-d20676ca4bff/</x:v>
      </x:c>
      <x:c r="F1631" t="str">
        <x:v>g74cda873-31d1-4d86-a0dd-d7c158403249</x:v>
      </x:c>
      <x:c r="G1631" s="20" t="n">
        <x:v>46003.934988796296</x:v>
      </x:c>
    </x:row>
    <x:row r="1632">
      <x:c r="A1632" s="18" t="str">
        <x:v>sussurar</x:v>
      </x:c>
      <x:c r="B1632" s="18" t="str">
        <x:v>vashesha</x:v>
      </x:c>
      <x:c r="C1632" s="19" t="n">
        <x:f>IF(B1632="",0,(LEN(B1632)-LEN(SUBSTITUTE(B1632," | ","")))/3+1)</x:f>
        <x:v>1</x:v>
      </x:c>
      <x:c r="D1632" t="str">
        <x:v>s</x:v>
      </x:c>
      <x:c r="E1632" t="str">
        <x:v>https://www.webonary.org/marubo/g14f43a7b-3c6a-452d-8b13-f9ffd7b49c66/</x:v>
      </x:c>
      <x:c r="F1632" t="str">
        <x:v>g6b2a951f-1db7-4c3a-b62e-451f042df17f</x:v>
      </x:c>
      <x:c r="G1632" s="20" t="n">
        <x:v>46003.934988796296</x:v>
      </x:c>
    </x:row>
    <x:row r="1633">
      <x:c r="A1633" s="18" t="str">
        <x:v>sutiã</x:v>
      </x:c>
      <x:c r="B1633" s="18" t="str">
        <x:v>shoma rakoti</x:v>
      </x:c>
      <x:c r="C1633" s="19" t="n">
        <x:f>IF(B1633="",0,(LEN(B1633)-LEN(SUBSTITUTE(B1633," | ","")))/3+1)</x:f>
        <x:v>1</x:v>
      </x:c>
      <x:c r="D1633" t="str">
        <x:v>s</x:v>
      </x:c>
      <x:c r="E1633" t="str">
        <x:v>https://www.webonary.org/marubo/gb0111b05-f8ff-483d-801e-129a89bbe7e4/</x:v>
      </x:c>
      <x:c r="F1633" t="str">
        <x:v>g7affa5cd-88b8-43dd-b843-592690fda204</x:v>
      </x:c>
      <x:c r="G1633" s="20" t="n">
        <x:v>46003.934988796296</x:v>
      </x:c>
    </x:row>
    <x:row r="1634">
      <x:c r="A1634" s="18" t="str">
        <x:v>tabaco</x:v>
      </x:c>
      <x:c r="B1634" s="18" t="str">
        <x:v>rome</x:v>
      </x:c>
      <x:c r="C1634" s="19" t="n">
        <x:f>IF(B1634="",0,(LEN(B1634)-LEN(SUBSTITUTE(B1634," | ","")))/3+1)</x:f>
        <x:v>1</x:v>
      </x:c>
      <x:c r="D1634" t="str">
        <x:v>t</x:v>
      </x:c>
      <x:c r="E1634" t="str">
        <x:v>https://www.webonary.org/marubo/gc03d3c1b-3d52-49f2-8179-e3d23f405f4e/</x:v>
      </x:c>
      <x:c r="F1634" t="str">
        <x:v>g0a6504d1-1574-4b66-ab3f-2d2ea4b413f7</x:v>
      </x:c>
      <x:c r="G1634" s="20" t="n">
        <x:v>46003.934988796296</x:v>
      </x:c>
    </x:row>
    <x:row r="1635">
      <x:c r="A1635" s="18" t="str">
        <x:v>talco</x:v>
      </x:c>
      <x:c r="B1635" s="18" t="str">
        <x:v>poto</x:v>
      </x:c>
      <x:c r="C1635" s="19" t="n">
        <x:f>IF(B1635="",0,(LEN(B1635)-LEN(SUBSTITUTE(B1635," | ","")))/3+1)</x:f>
        <x:v>1</x:v>
      </x:c>
      <x:c r="D1635" t="str">
        <x:v>t</x:v>
      </x:c>
      <x:c r="E1635" t="str">
        <x:v>https://www.webonary.org/marubo/g301962c9-e716-4b10-a08a-f5265dece1c7/</x:v>
      </x:c>
      <x:c r="F1635" t="str">
        <x:v>g73273dd2-78f2-495c-96f7-75f2cbd3bfc2</x:v>
      </x:c>
      <x:c r="G1635" s="20" t="n">
        <x:v>46003.934988796296</x:v>
      </x:c>
    </x:row>
    <x:row r="1636">
      <x:c r="A1636" s="18" t="str">
        <x:v>tamandua</x:v>
      </x:c>
      <x:c r="B1636" s="18" t="str">
        <x:v>shae | 1</x:v>
      </x:c>
      <x:c r="C1636" s="19" t="n">
        <x:f>IF(B1636="",0,(LEN(B1636)-LEN(SUBSTITUTE(B1636," | ","")))/3+1)</x:f>
        <x:v>2</x:v>
      </x:c>
      <x:c r="D1636" t="str">
        <x:v>t</x:v>
      </x:c>
      <x:c r="E1636" t="str">
        <x:v>https://www.webonary.org/marubo/g6252ba12-2dc8-42ae-aa13-9554109a6374/</x:v>
      </x:c>
      <x:c r="F1636" t="str">
        <x:v>g95f37bfe-e908-4dbc-a221-00638e899862</x:v>
      </x:c>
      <x:c r="G1636" s="20" t="n">
        <x:v>46003.934988796296</x:v>
      </x:c>
    </x:row>
    <x:row r="1637">
      <x:c r="A1637" s="18" t="str">
        <x:v>tamanduá pequena</x:v>
      </x:c>
      <x:c r="B1637" s="18" t="str">
        <x:v>vii</x:v>
      </x:c>
      <x:c r="C1637" s="19" t="n">
        <x:f>IF(B1637="",0,(LEN(B1637)-LEN(SUBSTITUTE(B1637," | ","")))/3+1)</x:f>
        <x:v>1</x:v>
      </x:c>
      <x:c r="D1637" t="str">
        <x:v>t</x:v>
      </x:c>
      <x:c r="E1637" t="str">
        <x:v>https://www.webonary.org/marubo/g6021dde6-eddb-4dc8-8012-66983d28432d/</x:v>
      </x:c>
      <x:c r="F1637" t="str">
        <x:v>ge4590add-decc-4e76-90bd-911967828890</x:v>
      </x:c>
      <x:c r="G1637" s="20" t="n">
        <x:v>46003.934988796296</x:v>
      </x:c>
    </x:row>
    <x:row r="1638">
      <x:c r="A1638" s="18" t="str">
        <x:v>também</x:v>
      </x:c>
      <x:c r="B1638" s="18" t="str">
        <x:v>aká | 5</x:v>
      </x:c>
      <x:c r="C1638" s="19" t="n">
        <x:f>IF(B1638="",0,(LEN(B1638)-LEN(SUBSTITUTE(B1638," | ","")))/3+1)</x:f>
        <x:v>2</x:v>
      </x:c>
      <x:c r="D1638" t="str">
        <x:v>t</x:v>
      </x:c>
      <x:c r="E1638" t="str">
        <x:v>https://www.webonary.org/marubo/gf9d7b8a7-70aa-4581-912e-81e681caae61/</x:v>
      </x:c>
      <x:c r="F1638" t="str">
        <x:v>g4ca1baf1-27d3-4a4a-adb3-6851eef48833</x:v>
      </x:c>
      <x:c r="G1638" s="20" t="n">
        <x:v>46003.934988796296</x:v>
      </x:c>
    </x:row>
    <x:row r="1639">
      <x:c r="A1639" s="18" t="str">
        <x:v>tamboatá peixe</x:v>
      </x:c>
      <x:c r="B1639" s="18" t="str">
        <x:v>esko</x:v>
      </x:c>
      <x:c r="C1639" s="19" t="n">
        <x:f>IF(B1639="",0,(LEN(B1639)-LEN(SUBSTITUTE(B1639," | ","")))/3+1)</x:f>
        <x:v>1</x:v>
      </x:c>
      <x:c r="D1639" t="str">
        <x:v>t</x:v>
      </x:c>
      <x:c r="E1639" t="str">
        <x:v>https://www.webonary.org/marubo/g58e728c5-f58d-469c-9d65-fb603da99174/</x:v>
      </x:c>
      <x:c r="F1639" t="str">
        <x:v>g8f131fae-8e74-4bd1-bbd2-1c6dd8b63aa0</x:v>
      </x:c>
      <x:c r="G1639" s="20" t="n">
        <x:v>46003.934988796296</x:v>
      </x:c>
    </x:row>
    <x:row r="1640">
      <x:c r="A1640" s="18" t="str">
        <x:v>tampa</x:v>
      </x:c>
      <x:c r="B1640" s="18" t="str">
        <x:v>vetashti</x:v>
      </x:c>
      <x:c r="C1640" s="19" t="n">
        <x:f>IF(B1640="",0,(LEN(B1640)-LEN(SUBSTITUTE(B1640," | ","")))/3+1)</x:f>
        <x:v>1</x:v>
      </x:c>
      <x:c r="D1640" t="str">
        <x:v>t</x:v>
      </x:c>
      <x:c r="E1640" t="str">
        <x:v>https://www.webonary.org/marubo/gdadd5f59-1a85-492c-8648-67e0517bcc44/</x:v>
      </x:c>
      <x:c r="F1640" t="str">
        <x:v>ga356480b-dd16-4a5e-ae9b-6fbc1fbacf06</x:v>
      </x:c>
      <x:c r="G1640" s="20" t="n">
        <x:v>46003.934988796296</x:v>
      </x:c>
    </x:row>
    <x:row r="1641">
      <x:c r="A1641" s="18" t="str">
        <x:v>tampar</x:v>
      </x:c>
      <x:c r="B1641" s="18" t="str">
        <x:v>vestoa | vetásha</x:v>
      </x:c>
      <x:c r="C1641" s="19" t="n">
        <x:f>IF(B1641="",0,(LEN(B1641)-LEN(SUBSTITUTE(B1641," | ","")))/3+1)</x:f>
        <x:v>2</x:v>
      </x:c>
      <x:c r="D1641" t="str">
        <x:v>t</x:v>
      </x:c>
      <x:c r="E1641" t="str">
        <x:v>https://www.webonary.org/marubo/g35729221-edda-409f-a8c9-01e72a8b9f37/</x:v>
      </x:c>
      <x:c r="F1641" t="str">
        <x:v>gcb2b8416-67c6-49c1-9940-8a4aead5e223</x:v>
      </x:c>
      <x:c r="G1641" s="20" t="n">
        <x:v>46003.934988796296</x:v>
      </x:c>
    </x:row>
    <x:row r="1642">
      <x:c r="A1642" s="18" t="str">
        <x:v>tampar buraco da popa de canoa</x:v>
      </x:c>
      <x:c r="B1642" s="18" t="str">
        <x:v>tsivésa</x:v>
      </x:c>
      <x:c r="C1642" s="19" t="n">
        <x:f>IF(B1642="",0,(LEN(B1642)-LEN(SUBSTITUTE(B1642," | ","")))/3+1)</x:f>
        <x:v>1</x:v>
      </x:c>
      <x:c r="D1642" t="str">
        <x:v>t</x:v>
      </x:c>
      <x:c r="E1642" t="str">
        <x:v>https://www.webonary.org/marubo/g4eb9d07d-aa25-46ed-a239-bcc7026b4345/</x:v>
      </x:c>
      <x:c r="F1642" t="str">
        <x:v>g302d1a01-d6ea-4e73-a6b0-1a6c37fca14f</x:v>
      </x:c>
      <x:c r="G1642" s="20" t="n">
        <x:v>46003.934988796296</x:v>
      </x:c>
    </x:row>
    <x:row r="1643">
      <x:c r="A1643" s="18" t="str">
        <x:v>tanama</x:v>
      </x:c>
      <x:c r="B1643" s="18" t="str">
        <x:v>yatí ikí | yateke aká</x:v>
      </x:c>
      <x:c r="C1643" s="19" t="n">
        <x:f>IF(B1643="",0,(LEN(B1643)-LEN(SUBSTITUTE(B1643," | ","")))/3+1)</x:f>
        <x:v>2</x:v>
      </x:c>
      <x:c r="D1643" t="str">
        <x:v>t</x:v>
      </x:c>
      <x:c r="E1643" t="str">
        <x:v>https://www.webonary.org/marubo/g708f4c7e-9f7c-4796-81fc-0495d3f2f425/</x:v>
      </x:c>
      <x:c r="F1643" t="str">
        <x:v>g4e5afd48-cd8f-4d29-96a8-952a41530e46</x:v>
      </x:c>
      <x:c r="G1643" s="20" t="n">
        <x:v>46003.934988796296</x:v>
      </x:c>
    </x:row>
    <x:row r="1644">
      <x:c r="A1644" s="18" t="str">
        <x:v>tanamaexpressão de</x:v>
      </x:c>
      <x:c r="B1644" s="18" t="str">
        <x:v>yaí</x:v>
      </x:c>
      <x:c r="C1644" s="19" t="n">
        <x:f>IF(B1644="",0,(LEN(B1644)-LEN(SUBSTITUTE(B1644," | ","")))/3+1)</x:f>
        <x:v>1</x:v>
      </x:c>
      <x:c r="D1644" t="str">
        <x:v>t</x:v>
      </x:c>
      <x:c r="E1644" t="str">
        <x:v>https://www.webonary.org/marubo/gb3672560-4695-4060-9b58-774dce316eb6/</x:v>
      </x:c>
      <x:c r="F1644" t="str">
        <x:v>g6a41d4ea-1a44-40de-83bc-701e0545b76d</x:v>
      </x:c>
      <x:c r="G1644" s="20" t="n">
        <x:v>46003.934988796296</x:v>
      </x:c>
    </x:row>
    <x:row r="1645">
      <x:c r="A1645" s="18" t="str">
        <x:v>tanamak</x:v>
      </x:c>
      <x:c r="B1645" s="18" t="str">
        <x:v>txonã meshti</x:v>
      </x:c>
      <x:c r="C1645" s="19" t="n">
        <x:f>IF(B1645="",0,(LEN(B1645)-LEN(SUBSTITUTE(B1645," | ","")))/3+1)</x:f>
        <x:v>1</x:v>
      </x:c>
      <x:c r="D1645" t="str">
        <x:v>t</x:v>
      </x:c>
      <x:c r="E1645" t="str">
        <x:v>https://www.webonary.org/marubo/g78aa6c38-16ea-4b70-9a56-d609389c1e2e/</x:v>
      </x:c>
      <x:c r="F1645" t="str">
        <x:v>g378e693c-8c6b-40cc-9c96-1d4e8e2f8d57</x:v>
      </x:c>
      <x:c r="G1645" s="20" t="n">
        <x:v>46003.934988796296</x:v>
      </x:c>
    </x:row>
    <x:row r="1646">
      <x:c r="A1646" s="18" t="str">
        <x:v>tanga</x:v>
      </x:c>
      <x:c r="B1646" s="18" t="str">
        <x:v>vokã mani</x:v>
      </x:c>
      <x:c r="C1646" s="19" t="n">
        <x:f>IF(B1646="",0,(LEN(B1646)-LEN(SUBSTITUTE(B1646," | ","")))/3+1)</x:f>
        <x:v>1</x:v>
      </x:c>
      <x:c r="D1646" t="str">
        <x:v>t</x:v>
      </x:c>
      <x:c r="E1646" t="str">
        <x:v>https://www.webonary.org/marubo/g73d41511-fdaa-45f8-927f-7316b7d64f65/</x:v>
      </x:c>
      <x:c r="F1646" t="str">
        <x:v>g633eb49a-a26f-4610-af25-9d3bc4da9ce7</x:v>
      </x:c>
      <x:c r="G1646" s="20" t="n">
        <x:v>46003.934988796296</x:v>
      </x:c>
    </x:row>
    <x:row r="1647">
      <x:c r="A1647" s="18" t="str">
        <x:v>tapete trançado</x:v>
      </x:c>
      <x:c r="B1647" s="18" t="str">
        <x:v>pichĩ</x:v>
      </x:c>
      <x:c r="C1647" s="19" t="n">
        <x:f>IF(B1647="",0,(LEN(B1647)-LEN(SUBSTITUTE(B1647," | ","")))/3+1)</x:f>
        <x:v>1</x:v>
      </x:c>
      <x:c r="D1647" t="str">
        <x:v>t</x:v>
      </x:c>
      <x:c r="E1647" t="str">
        <x:v>https://www.webonary.org/marubo/g36fc45b2-9ea1-4ada-898e-4efbd538c48c/</x:v>
      </x:c>
      <x:c r="F1647" t="str">
        <x:v>gc420739a-a854-439b-afc8-32998b51b5f7</x:v>
      </x:c>
      <x:c r="G1647" s="20" t="n">
        <x:v>46003.934988796296</x:v>
      </x:c>
    </x:row>
    <x:row r="1648">
      <x:c r="A1648" s="18" t="str">
        <x:v>tapiri</x:v>
      </x:c>
      <x:c r="B1648" s="18" t="str">
        <x:v>tapo</x:v>
      </x:c>
      <x:c r="C1648" s="19" t="n">
        <x:f>IF(B1648="",0,(LEN(B1648)-LEN(SUBSTITUTE(B1648," | ","")))/3+1)</x:f>
        <x:v>1</x:v>
      </x:c>
      <x:c r="D1648" t="str">
        <x:v>t</x:v>
      </x:c>
      <x:c r="E1648" t="str">
        <x:v>https://www.webonary.org/marubo/g45e8b4f0-84ae-401a-ac31-c79c8ddaa7e2/</x:v>
      </x:c>
      <x:c r="F1648" t="str">
        <x:v>g91802cf5-17c4-4680-ae32-ee33f3966329</x:v>
      </x:c>
      <x:c r="G1648" s="20" t="n">
        <x:v>46003.934988796296</x:v>
      </x:c>
    </x:row>
    <x:row r="1649">
      <x:c r="A1649" s="18" t="str">
        <x:v>tapuru</x:v>
      </x:c>
      <x:c r="B1649" s="18" t="str">
        <x:v>shena | mako</x:v>
      </x:c>
      <x:c r="C1649" s="19" t="n">
        <x:f>IF(B1649="",0,(LEN(B1649)-LEN(SUBSTITUTE(B1649," | ","")))/3+1)</x:f>
        <x:v>2</x:v>
      </x:c>
      <x:c r="D1649" t="str">
        <x:v>t</x:v>
      </x:c>
      <x:c r="E1649" t="str">
        <x:v>https://www.webonary.org/marubo/g92023afe-e3ef-4140-b6e4-bb74cb4889cb/</x:v>
      </x:c>
      <x:c r="F1649" t="str">
        <x:v>g212dd2f6-280b-4eeb-8f82-951d1dd94aba</x:v>
      </x:c>
      <x:c r="G1649" s="20" t="n">
        <x:v>46003.934988796296</x:v>
      </x:c>
    </x:row>
    <x:row r="1650">
      <x:c r="A1650" s="18" t="str">
        <x:v>tarantula</x:v>
      </x:c>
      <x:c r="B1650" s="18" t="str">
        <x:v>yotá</x:v>
      </x:c>
      <x:c r="C1650" s="19" t="n">
        <x:f>IF(B1650="",0,(LEN(B1650)-LEN(SUBSTITUTE(B1650," | ","")))/3+1)</x:f>
        <x:v>1</x:v>
      </x:c>
      <x:c r="D1650" t="str">
        <x:v>t</x:v>
      </x:c>
      <x:c r="E1650" t="str">
        <x:v>https://www.webonary.org/marubo/gd747878a-d9e3-4286-bddf-3d6bf4f719e0/</x:v>
      </x:c>
      <x:c r="F1650" t="str">
        <x:v>gc38db4cc-f18d-4cff-9dad-d8c24a94aadc</x:v>
      </x:c>
      <x:c r="G1650" s="20" t="n">
        <x:v>46003.934988796296</x:v>
      </x:c>
    </x:row>
    <x:row r="1651">
      <x:c r="A1651" s="18" t="str">
        <x:v>tarde</x:v>
      </x:c>
      <x:c r="B1651" s="18" t="str">
        <x:v>yãtã</x:v>
      </x:c>
      <x:c r="C1651" s="19" t="n">
        <x:f>IF(B1651="",0,(LEN(B1651)-LEN(SUBSTITUTE(B1651," | ","")))/3+1)</x:f>
        <x:v>1</x:v>
      </x:c>
      <x:c r="D1651" t="str">
        <x:v>t</x:v>
      </x:c>
      <x:c r="E1651" t="str">
        <x:v>https://www.webonary.org/marubo/g0e396f7d-ebca-4a38-88d0-c1cdbed1e2f1/</x:v>
      </x:c>
      <x:c r="F1651" t="str">
        <x:v>ga0967fdc-2298-4d04-a45b-0743851cf8f9</x:v>
      </x:c>
      <x:c r="G1651" s="20" t="n">
        <x:v>46003.934988796296</x:v>
      </x:c>
    </x:row>
    <x:row r="1652">
      <x:c r="A1652" s="18" t="str">
        <x:v>tartaruga</x:v>
      </x:c>
      <x:c r="B1652" s="18" t="str">
        <x:v>shawẽwa</x:v>
      </x:c>
      <x:c r="C1652" s="19" t="n">
        <x:f>IF(B1652="",0,(LEN(B1652)-LEN(SUBSTITUTE(B1652," | ","")))/3+1)</x:f>
        <x:v>1</x:v>
      </x:c>
      <x:c r="D1652" t="str">
        <x:v>t</x:v>
      </x:c>
      <x:c r="E1652" t="str">
        <x:v>https://www.webonary.org/marubo/ge2225566-e062-4fea-b83f-b66c1fef1f87/</x:v>
      </x:c>
      <x:c r="F1652" t="str">
        <x:v>gfb8799a1-0393-4457-b840-ed6c4409d9c4</x:v>
      </x:c>
      <x:c r="G1652" s="20" t="n">
        <x:v>46003.934988796296</x:v>
      </x:c>
    </x:row>
    <x:row r="1653">
      <x:c r="A1653" s="18" t="str">
        <x:v>tatu</x:v>
      </x:c>
      <x:c r="B1653" s="18" t="str">
        <x:v>yawichi</x:v>
      </x:c>
      <x:c r="C1653" s="19" t="n">
        <x:f>IF(B1653="",0,(LEN(B1653)-LEN(SUBSTITUTE(B1653," | ","")))/3+1)</x:f>
        <x:v>1</x:v>
      </x:c>
      <x:c r="D1653" t="str">
        <x:v>t</x:v>
      </x:c>
      <x:c r="E1653" t="str">
        <x:v>https://www.webonary.org/marubo/g324aad90-ec6d-45be-8d01-534ebdcb5ba2/</x:v>
      </x:c>
      <x:c r="F1653" t="str">
        <x:v>gda4b2920-9cc7-4ef0-9435-09328fde401b</x:v>
      </x:c>
      <x:c r="G1653" s="20" t="n">
        <x:v>46003.934988796296</x:v>
      </x:c>
    </x:row>
    <x:row r="1654">
      <x:c r="A1654" s="18" t="str">
        <x:v>tatu canastra</x:v>
      </x:c>
      <x:c r="B1654" s="18" t="str">
        <x:v>pano</x:v>
      </x:c>
      <x:c r="C1654" s="19" t="n">
        <x:f>IF(B1654="",0,(LEN(B1654)-LEN(SUBSTITUTE(B1654," | ","")))/3+1)</x:f>
        <x:v>1</x:v>
      </x:c>
      <x:c r="D1654" t="str">
        <x:v>t</x:v>
      </x:c>
      <x:c r="E1654" t="str">
        <x:v>https://www.webonary.org/marubo/g4f3141df-3dcb-43f0-8937-1f3367623867/</x:v>
      </x:c>
      <x:c r="F1654" t="str">
        <x:v>gad3dace6-a7f5-4211-8b57-a435805c7ea5</x:v>
      </x:c>
      <x:c r="G1654" s="20" t="n">
        <x:v>46003.934988796296</x:v>
      </x:c>
    </x:row>
    <x:row r="1655">
      <x:c r="A1655" s="18" t="str">
        <x:v>tatu de nove faixas</x:v>
      </x:c>
      <x:c r="B1655" s="18" t="str">
        <x:v>waka yawichi</x:v>
      </x:c>
      <x:c r="C1655" s="19" t="n">
        <x:f>IF(B1655="",0,(LEN(B1655)-LEN(SUBSTITUTE(B1655," | ","")))/3+1)</x:f>
        <x:v>1</x:v>
      </x:c>
      <x:c r="D1655" t="str">
        <x:v>t</x:v>
      </x:c>
      <x:c r="E1655" t="str">
        <x:v>https://www.webonary.org/marubo/gbb6c3b30-4850-4a54-8d69-ff8a56236b21/</x:v>
      </x:c>
      <x:c r="F1655" t="str">
        <x:v>gb8336922-53be-4592-88b7-e7cdbe9b38fa</x:v>
      </x:c>
      <x:c r="G1655" s="20" t="n">
        <x:v>46003.934988796296</x:v>
      </x:c>
    </x:row>
    <x:row r="1656">
      <x:c r="A1656" s="18" t="str">
        <x:v>tatuagem do rosto típico dos marubos</x:v>
      </x:c>
      <x:c r="B1656" s="18" t="str">
        <x:v>tsitsa</x:v>
      </x:c>
      <x:c r="C1656" s="19" t="n">
        <x:f>IF(B1656="",0,(LEN(B1656)-LEN(SUBSTITUTE(B1656," | ","")))/3+1)</x:f>
        <x:v>1</x:v>
      </x:c>
      <x:c r="D1656" t="str">
        <x:v>t</x:v>
      </x:c>
      <x:c r="E1656" t="str">
        <x:v>https://www.webonary.org/marubo/gd2f31392-fc0a-4cd5-984c-3d98f12e3abe/</x:v>
      </x:c>
      <x:c r="F1656" t="str">
        <x:v>g4aaf9c6d-e4a6-4ca8-b249-091c131dbb79</x:v>
      </x:c>
      <x:c r="G1656" s="20" t="n">
        <x:v>46003.93499537037</x:v>
      </x:c>
    </x:row>
    <x:row r="1657">
      <x:c r="A1657" s="18" t="str">
        <x:v>teia de aranha ?</x:v>
      </x:c>
      <x:c r="B1657" s="18" t="str">
        <x:v>wasnõ</x:v>
      </x:c>
      <x:c r="C1657" s="19" t="n">
        <x:f>IF(B1657="",0,(LEN(B1657)-LEN(SUBSTITUTE(B1657," | ","")))/3+1)</x:f>
        <x:v>1</x:v>
      </x:c>
      <x:c r="D1657" t="str">
        <x:v>t</x:v>
      </x:c>
      <x:c r="E1657" t="str">
        <x:v>https://www.webonary.org/marubo/g4aa65223-3a13-4096-8df9-5f22d0bb34ea/</x:v>
      </x:c>
      <x:c r="F1657" t="str">
        <x:v>ga41bcde1-48f3-4a8f-bd21-a74096fae2d3</x:v>
      </x:c>
      <x:c r="G1657" s="20" t="n">
        <x:v>46003.93499537037</x:v>
      </x:c>
    </x:row>
    <x:row r="1658">
      <x:c r="A1658" s="18" t="str">
        <x:v>tela</x:v>
      </x:c>
      <x:c r="B1658" s="18" t="str">
        <x:v>veisti</x:v>
      </x:c>
      <x:c r="C1658" s="19" t="n">
        <x:f>IF(B1658="",0,(LEN(B1658)-LEN(SUBSTITUTE(B1658," | ","")))/3+1)</x:f>
        <x:v>1</x:v>
      </x:c>
      <x:c r="D1658" t="str">
        <x:v>t</x:v>
      </x:c>
      <x:c r="E1658" t="str">
        <x:v>https://www.webonary.org/marubo/g47d979d6-1533-4f01-b45b-837b874e675e/</x:v>
      </x:c>
      <x:c r="F1658" t="str">
        <x:v>ga23f50b5-31a0-41a2-b136-c6b7db36945f</x:v>
      </x:c>
      <x:c r="G1658" s="20" t="n">
        <x:v>46003.93499537037</x:v>
      </x:c>
    </x:row>
    <x:row r="1659">
      <x:c r="A1659" s="18" t="str">
        <x:v>tempo de chuva</x:v>
      </x:c>
      <x:c r="B1659" s="18" t="str">
        <x:v>oi txinĩ</x:v>
      </x:c>
      <x:c r="C1659" s="19" t="n">
        <x:f>IF(B1659="",0,(LEN(B1659)-LEN(SUBSTITUTE(B1659," | ","")))/3+1)</x:f>
        <x:v>1</x:v>
      </x:c>
      <x:c r="D1659" t="str">
        <x:v>t</x:v>
      </x:c>
      <x:c r="E1659" t="str">
        <x:v>https://www.webonary.org/marubo/gd9917c15-553a-471b-9261-5f1ab262d06b/</x:v>
      </x:c>
      <x:c r="F1659" t="str">
        <x:v>g5a14d143-ad82-476f-af2c-cbd6489b24fc</x:v>
      </x:c>
      <x:c r="G1659" s="20" t="n">
        <x:v>46003.93499537037</x:v>
      </x:c>
    </x:row>
    <x:row r="1660">
      <x:c r="A1660" s="18" t="str">
        <x:v>têmpora</x:v>
      </x:c>
      <x:c r="B1660" s="18" t="str">
        <x:v>ismane</x:v>
      </x:c>
      <x:c r="C1660" s="19" t="n">
        <x:f>IF(B1660="",0,(LEN(B1660)-LEN(SUBSTITUTE(B1660," | ","")))/3+1)</x:f>
        <x:v>1</x:v>
      </x:c>
      <x:c r="D1660" t="str">
        <x:v>t</x:v>
      </x:c>
      <x:c r="E1660" t="str">
        <x:v>https://www.webonary.org/marubo/g4d9103e2-9caa-448d-8280-af1dd1579b75/</x:v>
      </x:c>
      <x:c r="F1660" t="str">
        <x:v>g0d9e0f3e-eb00-42f2-b7f4-f77a80af9e60</x:v>
      </x:c>
      <x:c r="G1660" s="20" t="n">
        <x:v>46003.93499537037</x:v>
      </x:c>
    </x:row>
    <x:row r="1661">
      <x:c r="A1661" s="18" t="str">
        <x:v>tendão de Aquiles</x:v>
      </x:c>
      <x:c r="B1661" s="18" t="str">
        <x:v>tẽwã</x:v>
      </x:c>
      <x:c r="C1661" s="19" t="n">
        <x:f>IF(B1661="",0,(LEN(B1661)-LEN(SUBSTITUTE(B1661," | ","")))/3+1)</x:f>
        <x:v>1</x:v>
      </x:c>
      <x:c r="D1661" t="str">
        <x:v>t</x:v>
      </x:c>
      <x:c r="E1661" t="str">
        <x:v>https://www.webonary.org/marubo/gf9c01f0c-8f9d-4013-bf99-496a9f4c3e63/</x:v>
      </x:c>
      <x:c r="F1661" t="str">
        <x:v>gdc9459c6-fd3d-42cc-bec0-6a27d9f7c2ad</x:v>
      </x:c>
      <x:c r="G1661" s="20" t="n">
        <x:v>46003.93499537037</x:v>
      </x:c>
    </x:row>
    <x:row r="1662">
      <x:c r="A1662" s="18" t="str">
        <x:v>ter ciume</x:v>
      </x:c>
      <x:c r="B1662" s="18" t="str">
        <x:v>siná</x:v>
      </x:c>
      <x:c r="C1662" s="19" t="n">
        <x:f>IF(B1662="",0,(LEN(B1662)-LEN(SUBSTITUTE(B1662," | ","")))/3+1)</x:f>
        <x:v>1</x:v>
      </x:c>
      <x:c r="D1662" t="str">
        <x:v>t</x:v>
      </x:c>
      <x:c r="E1662" t="str">
        <x:v>https://www.webonary.org/marubo/gd84c24c9-9a0f-4024-9f43-c8bda53dc58e/</x:v>
      </x:c>
      <x:c r="F1662" t="str">
        <x:v>ge1177140-0fca-4c4c-bf63-ac5dc4a157bc</x:v>
      </x:c>
      <x:c r="G1662" s="20" t="n">
        <x:v>46003.93499537037</x:v>
      </x:c>
    </x:row>
    <x:row r="1663">
      <x:c r="A1663" s="18" t="str">
        <x:v>ter conjuntivite</x:v>
      </x:c>
      <x:c r="B1663" s="18" t="str">
        <x:v>veroai</x:v>
      </x:c>
      <x:c r="C1663" s="19" t="n">
        <x:f>IF(B1663="",0,(LEN(B1663)-LEN(SUBSTITUTE(B1663," | ","")))/3+1)</x:f>
        <x:v>1</x:v>
      </x:c>
      <x:c r="D1663" t="str">
        <x:v>t</x:v>
      </x:c>
      <x:c r="E1663" t="str">
        <x:v>https://www.webonary.org/marubo/gf370c0b8-1b2d-46ae-9735-966204876707/</x:v>
      </x:c>
      <x:c r="F1663" t="str">
        <x:v>gba16fec4-eef0-4e5b-a223-cd286bda457e</x:v>
      </x:c>
      <x:c r="G1663" s="20" t="n">
        <x:v>46003.93499537037</x:v>
      </x:c>
    </x:row>
    <x:row r="1664">
      <x:c r="A1664" s="18" t="str">
        <x:v>ter diarreia</x:v>
      </x:c>
      <x:c r="B1664" s="18" t="str">
        <x:v>txeshóa | yotoa</x:v>
      </x:c>
      <x:c r="C1664" s="19" t="n">
        <x:f>IF(B1664="",0,(LEN(B1664)-LEN(SUBSTITUTE(B1664," | ","")))/3+1)</x:f>
        <x:v>2</x:v>
      </x:c>
      <x:c r="D1664" t="str">
        <x:v>t</x:v>
      </x:c>
      <x:c r="E1664" t="str">
        <x:v>https://www.webonary.org/marubo/ga08caa76-2ba5-4533-b9a9-c8e4dc15b3d8/</x:v>
      </x:c>
      <x:c r="F1664" t="str">
        <x:v>g4186586a-7470-4c43-a275-733fc08b63dc</x:v>
      </x:c>
      <x:c r="G1664" s="20" t="n">
        <x:v>46003.93499537037</x:v>
      </x:c>
    </x:row>
    <x:row r="1665">
      <x:c r="A1665" s="18" t="str">
        <x:v>ter febre</x:v>
      </x:c>
      <x:c r="B1665" s="18" t="str">
        <x:v>yoná | 2</x:v>
      </x:c>
      <x:c r="C1665" s="19" t="n">
        <x:f>IF(B1665="",0,(LEN(B1665)-LEN(SUBSTITUTE(B1665," | ","")))/3+1)</x:f>
        <x:v>2</x:v>
      </x:c>
      <x:c r="D1665" t="str">
        <x:v>t</x:v>
      </x:c>
      <x:c r="E1665" t="str">
        <x:v>https://www.webonary.org/marubo/g3730e107-8def-4e4d-96f3-8d3550b3154e/</x:v>
      </x:c>
      <x:c r="F1665" t="str">
        <x:v>gaf4a405d-426d-4827-8460-dd744db0853f</x:v>
      </x:c>
      <x:c r="G1665" s="20" t="n">
        <x:v>46003.93499537037</x:v>
      </x:c>
    </x:row>
    <x:row r="1666">
      <x:c r="A1666" s="18" t="str">
        <x:v>ter muito peso</x:v>
      </x:c>
      <x:c r="B1666" s="18" t="str">
        <x:v>ewẽa</x:v>
      </x:c>
      <x:c r="C1666" s="19" t="n">
        <x:f>IF(B1666="",0,(LEN(B1666)-LEN(SUBSTITUTE(B1666," | ","")))/3+1)</x:f>
        <x:v>1</x:v>
      </x:c>
      <x:c r="D1666" t="str">
        <x:v>t</x:v>
      </x:c>
      <x:c r="E1666" t="str">
        <x:v>https://www.webonary.org/marubo/g6db986ce-caf7-4565-957b-853c0c4ce11f/</x:v>
      </x:c>
      <x:c r="F1666" t="str">
        <x:v>g45481096-239e-407b-9d4e-7fe8fb735ed8</x:v>
      </x:c>
      <x:c r="G1666" s="20" t="n">
        <x:v>46003.93499537037</x:v>
      </x:c>
    </x:row>
    <x:row r="1667">
      <x:c r="A1667" s="18" t="str">
        <x:v>ter pena</x:v>
      </x:c>
      <x:c r="B1667" s="18" t="str">
        <x:v>onis aká</x:v>
      </x:c>
      <x:c r="C1667" s="19" t="n">
        <x:f>IF(B1667="",0,(LEN(B1667)-LEN(SUBSTITUTE(B1667," | ","")))/3+1)</x:f>
        <x:v>1</x:v>
      </x:c>
      <x:c r="D1667" t="str">
        <x:v>t</x:v>
      </x:c>
      <x:c r="E1667" t="str">
        <x:v>https://www.webonary.org/marubo/g65785808-52a3-4b9a-ab39-9cd7e0a240b4/</x:v>
      </x:c>
      <x:c r="F1667" t="str">
        <x:v>g474bd751-d90c-45bf-a6ba-8bc63841677d</x:v>
      </x:c>
      <x:c r="G1667" s="20" t="n">
        <x:v>46003.93499537037</x:v>
      </x:c>
    </x:row>
    <x:row r="1668">
      <x:c r="A1668" s="18" t="str">
        <x:v>ter vergonha</x:v>
      </x:c>
      <x:c r="B1668" s="18" t="str">
        <x:v>ravĩa</x:v>
      </x:c>
      <x:c r="C1668" s="19" t="n">
        <x:f>IF(B1668="",0,(LEN(B1668)-LEN(SUBSTITUTE(B1668," | ","")))/3+1)</x:f>
        <x:v>1</x:v>
      </x:c>
      <x:c r="D1668" t="str">
        <x:v>t</x:v>
      </x:c>
      <x:c r="E1668" t="str">
        <x:v>https://www.webonary.org/marubo/g7f5befaf-6232-4a6e-8b55-c295f61236f3/</x:v>
      </x:c>
      <x:c r="F1668" t="str">
        <x:v>g22ad328a-6967-41eb-8c4a-2265ef594802</x:v>
      </x:c>
      <x:c r="G1668" s="20" t="n">
        <x:v>46003.93499537037</x:v>
      </x:c>
    </x:row>
    <x:row r="1669">
      <x:c r="A1669" s="18" t="str">
        <x:v>tercado</x:v>
      </x:c>
      <x:c r="B1669" s="18" t="str">
        <x:v>richkiti</x:v>
      </x:c>
      <x:c r="C1669" s="19" t="n">
        <x:f>IF(B1669="",0,(LEN(B1669)-LEN(SUBSTITUTE(B1669," | ","")))/3+1)</x:f>
        <x:v>1</x:v>
      </x:c>
      <x:c r="D1669" t="str">
        <x:v>t</x:v>
      </x:c>
      <x:c r="E1669" t="str">
        <x:v>https://www.webonary.org/marubo/ge141cef9-8c22-4bc9-8e97-443ac623b3f5/</x:v>
      </x:c>
      <x:c r="F1669" t="str">
        <x:v>gc056cc42-aec8-42ba-bbb2-32e95c4cad5b</x:v>
      </x:c>
      <x:c r="G1669" s="20" t="n">
        <x:v>46003.93499537037</x:v>
      </x:c>
    </x:row>
    <x:row r="1670">
      <x:c r="A1670" s="18" t="str">
        <x:v>terçado</x:v>
      </x:c>
      <x:c r="B1670" s="18" t="str">
        <x:v>richkiti</x:v>
      </x:c>
      <x:c r="C1670" s="19" t="n">
        <x:f>IF(B1670="",0,(LEN(B1670)-LEN(SUBSTITUTE(B1670," | ","")))/3+1)</x:f>
        <x:v>1</x:v>
      </x:c>
      <x:c r="D1670" t="str">
        <x:v>t</x:v>
      </x:c>
      <x:c r="E1670" t="str">
        <x:v>https://www.webonary.org/marubo/ge141cef9-8c22-4bc9-8e97-443ac623b3f5/</x:v>
      </x:c>
      <x:c r="F1670" t="str">
        <x:v>g88fc5ae3-85c6-4a88-802b-66770c6946ae</x:v>
      </x:c>
      <x:c r="G1670" s="20" t="n">
        <x:v>46003.93499537037</x:v>
      </x:c>
    </x:row>
    <x:row r="1671">
      <x:c r="A1671" s="18" t="str">
        <x:v>terminar</x:v>
      </x:c>
      <x:c r="B1671" s="18" t="str">
        <x:v>mashtea</x:v>
      </x:c>
      <x:c r="C1671" s="19" t="n">
        <x:f>IF(B1671="",0,(LEN(B1671)-LEN(SUBSTITUTE(B1671," | ","")))/3+1)</x:f>
        <x:v>1</x:v>
      </x:c>
      <x:c r="D1671" t="str">
        <x:v>t</x:v>
      </x:c>
      <x:c r="E1671" t="str">
        <x:v>https://www.webonary.org/marubo/g323fb096-68ac-4d14-a065-e6ef665495df/</x:v>
      </x:c>
      <x:c r="F1671" t="str">
        <x:v>g1655d787-2fd3-4d33-a189-303b32b1c6d6</x:v>
      </x:c>
      <x:c r="G1671" s="20" t="n">
        <x:v>46003.93499537037</x:v>
      </x:c>
    </x:row>
    <x:row r="1672">
      <x:c r="A1672" s="18" t="str">
        <x:v>termo usado de sogra para gênro</x:v>
      </x:c>
      <x:c r="B1672" s="18" t="str">
        <x:v>michi</x:v>
      </x:c>
      <x:c r="C1672" s="19" t="n">
        <x:f>IF(B1672="",0,(LEN(B1672)-LEN(SUBSTITUTE(B1672," | ","")))/3+1)</x:f>
        <x:v>1</x:v>
      </x:c>
      <x:c r="D1672" t="str">
        <x:v>t</x:v>
      </x:c>
      <x:c r="E1672" t="str">
        <x:v>https://www.webonary.org/marubo/g266f3fef-aaf5-4deb-a852-69ca6231171a/</x:v>
      </x:c>
      <x:c r="F1672" t="str">
        <x:v>g1082c034-e819-4559-917a-a2c7b91e8e2a</x:v>
      </x:c>
      <x:c r="G1672" s="20" t="n">
        <x:v>46003.93499537037</x:v>
      </x:c>
    </x:row>
    <x:row r="1673">
      <x:c r="A1673" s="18" t="str">
        <x:v>termo usado para filho</x:v>
      </x:c>
      <x:c r="B1673" s="18" t="str">
        <x:v>yome</x:v>
      </x:c>
      <x:c r="C1673" s="19" t="n">
        <x:f>IF(B1673="",0,(LEN(B1673)-LEN(SUBSTITUTE(B1673," | ","")))/3+1)</x:f>
        <x:v>1</x:v>
      </x:c>
      <x:c r="D1673" t="str">
        <x:v>t</x:v>
      </x:c>
      <x:c r="E1673" t="str">
        <x:v>https://www.webonary.org/marubo/g7e9f75d1-ccad-4d3a-97b8-f4bc8e98270a/</x:v>
      </x:c>
      <x:c r="F1673" t="str">
        <x:v>g4de5223d-143a-4ebf-b0d5-0f8f84cf68c3</x:v>
      </x:c>
      <x:c r="G1673" s="20" t="n">
        <x:v>46003.93499537037</x:v>
      </x:c>
    </x:row>
    <x:row r="1674">
      <x:c r="A1674" s="18" t="str">
        <x:v>termo usado por velhos com pessoas mais novas</x:v>
      </x:c>
      <x:c r="B1674" s="18" t="str">
        <x:v>txõpa</x:v>
      </x:c>
      <x:c r="C1674" s="19" t="n">
        <x:f>IF(B1674="",0,(LEN(B1674)-LEN(SUBSTITUTE(B1674," | ","")))/3+1)</x:f>
        <x:v>1</x:v>
      </x:c>
      <x:c r="D1674" t="str">
        <x:v>t</x:v>
      </x:c>
      <x:c r="E1674" t="str">
        <x:v>https://www.webonary.org/marubo/ga3738855-bc62-4952-94c3-56a5f389e873/</x:v>
      </x:c>
      <x:c r="F1674" t="str">
        <x:v>g13cd46b9-7846-47af-ab90-529cc43228b7</x:v>
      </x:c>
      <x:c r="G1674" s="20" t="n">
        <x:v>46003.93499537037</x:v>
      </x:c>
    </x:row>
    <x:row r="1675">
      <x:c r="A1675" s="18" t="str">
        <x:v>terra</x:v>
      </x:c>
      <x:c r="B1675" s="18" t="str">
        <x:v>mai</x:v>
      </x:c>
      <x:c r="C1675" s="19" t="n">
        <x:f>IF(B1675="",0,(LEN(B1675)-LEN(SUBSTITUTE(B1675," | ","")))/3+1)</x:f>
        <x:v>1</x:v>
      </x:c>
      <x:c r="D1675" t="str">
        <x:v>t</x:v>
      </x:c>
      <x:c r="E1675" t="str">
        <x:v>https://www.webonary.org/marubo/gb28c8292-20ed-4cc8-b7be-cdbf5f39a7bd/</x:v>
      </x:c>
      <x:c r="F1675" t="str">
        <x:v>g40e0abbd-049f-42a4-89d2-a2790992086c</x:v>
      </x:c>
      <x:c r="G1675" s="20" t="n">
        <x:v>46003.93499537037</x:v>
      </x:c>
    </x:row>
    <x:row r="1676">
      <x:c r="A1676" s="18" t="str">
        <x:v>terra limpa</x:v>
      </x:c>
      <x:c r="B1676" s="18" t="str">
        <x:v>mãcho</x:v>
      </x:c>
      <x:c r="C1676" s="19" t="n">
        <x:f>IF(B1676="",0,(LEN(B1676)-LEN(SUBSTITUTE(B1676," | ","")))/3+1)</x:f>
        <x:v>1</x:v>
      </x:c>
      <x:c r="D1676" t="str">
        <x:v>t</x:v>
      </x:c>
      <x:c r="E1676" t="str">
        <x:v>https://www.webonary.org/marubo/g0c040441-9a08-42e1-bc47-5dd87c419e35/</x:v>
      </x:c>
      <x:c r="F1676" t="str">
        <x:v>g984c9dbe-e7d7-4af1-bf97-15ffae82b313</x:v>
      </x:c>
      <x:c r="G1676" s="20" t="n">
        <x:v>46003.93499537037</x:v>
      </x:c>
    </x:row>
    <x:row r="1677">
      <x:c r="A1677" s="18" t="str">
        <x:v>tesoura</x:v>
      </x:c>
      <x:c r="B1677" s="18" t="str">
        <x:v>tashoti</x:v>
      </x:c>
      <x:c r="C1677" s="19" t="n">
        <x:f>IF(B1677="",0,(LEN(B1677)-LEN(SUBSTITUTE(B1677," | ","")))/3+1)</x:f>
        <x:v>1</x:v>
      </x:c>
      <x:c r="D1677" t="str">
        <x:v>t</x:v>
      </x:c>
      <x:c r="E1677" t="str">
        <x:v>https://www.webonary.org/marubo/gb0fa2c02-283c-47cd-8ddc-438680e38a81/</x:v>
      </x:c>
      <x:c r="F1677" t="str">
        <x:v>gf69f67f6-8f49-4a26-88a4-ddb46b71cdfb</x:v>
      </x:c>
      <x:c r="G1677" s="20" t="n">
        <x:v>46003.93499537037</x:v>
      </x:c>
    </x:row>
    <x:row r="1678">
      <x:c r="A1678" s="18" t="str">
        <x:v>testa</x:v>
      </x:c>
      <x:c r="B1678" s="18" t="str">
        <x:v>wẽshõti | vemane</x:v>
      </x:c>
      <x:c r="C1678" s="19" t="n">
        <x:f>IF(B1678="",0,(LEN(B1678)-LEN(SUBSTITUTE(B1678," | ","")))/3+1)</x:f>
        <x:v>2</x:v>
      </x:c>
      <x:c r="D1678" t="str">
        <x:v>t</x:v>
      </x:c>
      <x:c r="E1678" t="str">
        <x:v>https://www.webonary.org/marubo/g7d76fe84-2ad7-4f78-b4a5-78e63560e586/</x:v>
      </x:c>
      <x:c r="F1678" t="str">
        <x:v>g67dcdcc5-07a5-487a-88a4-2613e55f26b3</x:v>
      </x:c>
      <x:c r="G1678" s="20" t="n">
        <x:v>46003.93499537037</x:v>
      </x:c>
    </x:row>
    <x:row r="1679">
      <x:c r="A1679" s="18" t="str">
        <x:v>testículos</x:v>
      </x:c>
      <x:c r="B1679" s="18" t="str">
        <x:v>ovo</x:v>
      </x:c>
      <x:c r="C1679" s="19" t="n">
        <x:f>IF(B1679="",0,(LEN(B1679)-LEN(SUBSTITUTE(B1679," | ","")))/3+1)</x:f>
        <x:v>1</x:v>
      </x:c>
      <x:c r="D1679" t="str">
        <x:v>t</x:v>
      </x:c>
      <x:c r="E1679" t="str">
        <x:v>https://www.webonary.org/marubo/gcd48d701-835e-4025-a79b-77ab66c54bea/</x:v>
      </x:c>
      <x:c r="F1679" t="str">
        <x:v>gdf46883c-76e1-4fe4-b189-4757e331aebc</x:v>
      </x:c>
      <x:c r="G1679" s="20" t="n">
        <x:v>46003.93499537037</x:v>
      </x:c>
    </x:row>
    <x:row r="1680">
      <x:c r="A1680" s="18" t="str">
        <x:v>tia maternal</x:v>
      </x:c>
      <x:c r="B1680" s="18" t="str">
        <x:v>ewa</x:v>
      </x:c>
      <x:c r="C1680" s="19" t="n">
        <x:f>IF(B1680="",0,(LEN(B1680)-LEN(SUBSTITUTE(B1680," | ","")))/3+1)</x:f>
        <x:v>1</x:v>
      </x:c>
      <x:c r="D1680" t="str">
        <x:v>t</x:v>
      </x:c>
      <x:c r="E1680" t="str">
        <x:v>https://www.webonary.org/marubo/g349047ed-3551-41eb-a964-08deccd21cb5/</x:v>
      </x:c>
      <x:c r="F1680" t="str">
        <x:v>g6ae2af6c-13bb-49f5-8839-a982c99dce9b</x:v>
      </x:c>
      <x:c r="G1680" s="20" t="n">
        <x:v>46003.93499537037</x:v>
      </x:c>
    </x:row>
    <x:row r="1681">
      <x:c r="A1681" s="18" t="str">
        <x:v>tia maternal mais nova</x:v>
      </x:c>
      <x:c r="B1681" s="18" t="str">
        <x:v>ewa txipo</x:v>
      </x:c>
      <x:c r="C1681" s="19" t="n">
        <x:f>IF(B1681="",0,(LEN(B1681)-LEN(SUBSTITUTE(B1681," | ","")))/3+1)</x:f>
        <x:v>1</x:v>
      </x:c>
      <x:c r="D1681" t="str">
        <x:v>t</x:v>
      </x:c>
      <x:c r="E1681" t="str">
        <x:v>https://www.webonary.org/marubo/g455168a3-f6ca-4260-b101-f9746fa54d13/</x:v>
      </x:c>
      <x:c r="F1681" t="str">
        <x:v>gbcb39d4c-6ec4-4bbf-b535-a9166829b1f3</x:v>
      </x:c>
      <x:c r="G1681" s="20" t="n">
        <x:v>46003.93499537037</x:v>
      </x:c>
    </x:row>
    <x:row r="1682">
      <x:c r="A1682" s="18" t="str">
        <x:v>tia paternal</x:v>
      </x:c>
      <x:c r="B1682" s="18" t="str">
        <x:v>natxi</x:v>
      </x:c>
      <x:c r="C1682" s="19" t="n">
        <x:f>IF(B1682="",0,(LEN(B1682)-LEN(SUBSTITUTE(B1682," | ","")))/3+1)</x:f>
        <x:v>1</x:v>
      </x:c>
      <x:c r="D1682" t="str">
        <x:v>t</x:v>
      </x:c>
      <x:c r="E1682" t="str">
        <x:v>https://www.webonary.org/marubo/gd8dfb176-f4ce-4570-9ad2-cfb42524edf1/</x:v>
      </x:c>
      <x:c r="F1682" t="str">
        <x:v>ge5dc7832-319f-4652-ad9b-40bede05c91f</x:v>
      </x:c>
      <x:c r="G1682" s="20" t="n">
        <x:v>46003.93499537037</x:v>
      </x:c>
    </x:row>
    <x:row r="1683">
      <x:c r="A1683" s="18" t="str">
        <x:v>tigela</x:v>
      </x:c>
      <x:c r="B1683" s="18" t="str">
        <x:v>kẽtxá</x:v>
      </x:c>
      <x:c r="C1683" s="19" t="n">
        <x:f>IF(B1683="",0,(LEN(B1683)-LEN(SUBSTITUTE(B1683," | ","")))/3+1)</x:f>
        <x:v>1</x:v>
      </x:c>
      <x:c r="D1683" t="str">
        <x:v>t</x:v>
      </x:c>
      <x:c r="E1683" t="str">
        <x:v>https://www.webonary.org/marubo/g8db5cba6-c9d2-4353-b1aa-a23c2ad3cc96/</x:v>
      </x:c>
      <x:c r="F1683" t="str">
        <x:v>g93a01b1b-415f-4d2c-b247-871960605790</x:v>
      </x:c>
      <x:c r="G1683" s="20" t="n">
        <x:v>46003.93499537037</x:v>
      </x:c>
    </x:row>
    <x:row r="1684">
      <x:c r="A1684" s="18" t="str">
        <x:v>tigela de barro</x:v>
      </x:c>
      <x:c r="B1684" s="18" t="str">
        <x:v>mai kẽtxá</x:v>
      </x:c>
      <x:c r="C1684" s="19" t="n">
        <x:f>IF(B1684="",0,(LEN(B1684)-LEN(SUBSTITUTE(B1684," | ","")))/3+1)</x:f>
        <x:v>1</x:v>
      </x:c>
      <x:c r="D1684" t="str">
        <x:v>t</x:v>
      </x:c>
      <x:c r="E1684" t="str">
        <x:v>https://www.webonary.org/marubo/g43d2810d-c990-43d7-b3f4-754a60b71c30/</x:v>
      </x:c>
      <x:c r="F1684" t="str">
        <x:v>gac64c3f1-09ae-4438-9cad-a4f8ebaf776f</x:v>
      </x:c>
      <x:c r="G1684" s="20" t="n">
        <x:v>46003.93499537037</x:v>
      </x:c>
    </x:row>
    <x:row r="1685">
      <x:c r="A1685" s="18" t="str">
        <x:v>tiguan</x:v>
      </x:c>
      <x:c r="B1685" s="18" t="str">
        <x:v>txichka</x:v>
      </x:c>
      <x:c r="C1685" s="19" t="n">
        <x:f>IF(B1685="",0,(LEN(B1685)-LEN(SUBSTITUTE(B1685," | ","")))/3+1)</x:f>
        <x:v>1</x:v>
      </x:c>
      <x:c r="D1685" t="str">
        <x:v>t</x:v>
      </x:c>
      <x:c r="E1685" t="str">
        <x:v>https://www.webonary.org/marubo/gb3117290-444a-4ae1-a5a4-4ba8e894b03d/</x:v>
      </x:c>
      <x:c r="F1685" t="str">
        <x:v>gddab2160-68e1-4992-9bb8-659cbba8efb7</x:v>
      </x:c>
      <x:c r="G1685" s="20" t="n">
        <x:v>46003.93499537037</x:v>
      </x:c>
    </x:row>
    <x:row r="1686">
      <x:c r="A1686" s="18" t="str">
        <x:v>timbó</x:v>
      </x:c>
      <x:c r="B1686" s="18" t="str">
        <x:v>asha</x:v>
      </x:c>
      <x:c r="C1686" s="19" t="n">
        <x:f>IF(B1686="",0,(LEN(B1686)-LEN(SUBSTITUTE(B1686," | ","")))/3+1)</x:f>
        <x:v>1</x:v>
      </x:c>
      <x:c r="D1686" t="str">
        <x:v>t</x:v>
      </x:c>
      <x:c r="E1686" t="str">
        <x:v>https://www.webonary.org/marubo/g6ed2e7f8-3b3e-498c-b0b1-cf623af458ec/</x:v>
      </x:c>
      <x:c r="F1686" t="str">
        <x:v>gceb54088-30c9-4cec-8517-35321aa225ba</x:v>
      </x:c>
      <x:c r="G1686" s="20" t="n">
        <x:v>46003.93499537037</x:v>
      </x:c>
    </x:row>
    <x:row r="1687">
      <x:c r="A1687" s="18" t="str">
        <x:v>tímido</x:v>
      </x:c>
      <x:c r="B1687" s="18" t="str">
        <x:v>vanasma</x:v>
      </x:c>
      <x:c r="C1687" s="19" t="n">
        <x:f>IF(B1687="",0,(LEN(B1687)-LEN(SUBSTITUTE(B1687," | ","")))/3+1)</x:f>
        <x:v>1</x:v>
      </x:c>
      <x:c r="D1687" t="str">
        <x:v>t</x:v>
      </x:c>
      <x:c r="E1687" t="str">
        <x:v>https://www.webonary.org/marubo/g5a631aa9-c2b9-4cb3-8925-bf0615fe6a9e/</x:v>
      </x:c>
      <x:c r="F1687" t="str">
        <x:v>g3da33f96-f47a-44a2-961f-cff7b2f4cc9e</x:v>
      </x:c>
      <x:c r="G1687" s="20" t="n">
        <x:v>46003.93499537037</x:v>
      </x:c>
    </x:row>
    <x:row r="1688">
      <x:c r="A1688" s="18" t="str">
        <x:v>tinir</x:v>
      </x:c>
      <x:c r="B1688" s="18" t="str">
        <x:v>tae senã</x:v>
      </x:c>
      <x:c r="C1688" s="19" t="n">
        <x:f>IF(B1688="",0,(LEN(B1688)-LEN(SUBSTITUTE(B1688," | ","")))/3+1)</x:f>
        <x:v>1</x:v>
      </x:c>
      <x:c r="D1688" t="str">
        <x:v>t</x:v>
      </x:c>
      <x:c r="E1688" t="str">
        <x:v>https://www.webonary.org/marubo/ga1591c73-3515-4724-b197-51e42a1a0b3b/</x:v>
      </x:c>
      <x:c r="F1688" t="str">
        <x:v>gac04e047-082b-49e2-bc44-6cedf730e8a3</x:v>
      </x:c>
      <x:c r="G1688" s="20" t="n">
        <x:v>46003.93499537037</x:v>
      </x:c>
    </x:row>
    <x:row r="1689">
      <x:c r="A1689" s="18" t="str">
        <x:v>tinta para cabelo</x:v>
      </x:c>
      <x:c r="B1689" s="18" t="str">
        <x:v>voo isoti</x:v>
      </x:c>
      <x:c r="C1689" s="19" t="n">
        <x:f>IF(B1689="",0,(LEN(B1689)-LEN(SUBSTITUTE(B1689," | ","")))/3+1)</x:f>
        <x:v>1</x:v>
      </x:c>
      <x:c r="D1689" t="str">
        <x:v>t</x:v>
      </x:c>
      <x:c r="E1689" t="str">
        <x:v>https://www.webonary.org/marubo/g3a66940e-dc29-4b0b-9e55-8036f5e1ee8d/</x:v>
      </x:c>
      <x:c r="F1689" t="str">
        <x:v>ga7fb4c68-bcc3-4f4b-8ad6-85644e25fc5b</x:v>
      </x:c>
      <x:c r="G1689" s="20" t="n">
        <x:v>46003.93499537037</x:v>
      </x:c>
    </x:row>
    <x:row r="1690">
      <x:c r="A1690" s="18" t="str">
        <x:v>tio maternal</x:v>
      </x:c>
      <x:c r="B1690" s="18" t="str">
        <x:v>koka</x:v>
      </x:c>
      <x:c r="C1690" s="19" t="n">
        <x:f>IF(B1690="",0,(LEN(B1690)-LEN(SUBSTITUTE(B1690," | ","")))/3+1)</x:f>
        <x:v>1</x:v>
      </x:c>
      <x:c r="D1690" t="str">
        <x:v>t</x:v>
      </x:c>
      <x:c r="E1690" t="str">
        <x:v>https://www.webonary.org/marubo/g550f401b-971e-4ab3-83a6-08228ea5e531/</x:v>
      </x:c>
      <x:c r="F1690" t="str">
        <x:v>g4c85323c-ee19-44d6-8e2c-371f257f80ce</x:v>
      </x:c>
      <x:c r="G1690" s="20" t="n">
        <x:v>46003.93499537037</x:v>
      </x:c>
    </x:row>
    <x:row r="1691">
      <x:c r="A1691" s="18" t="str">
        <x:v>tio paternal</x:v>
      </x:c>
      <x:c r="B1691" s="18" t="str">
        <x:v>epa</x:v>
      </x:c>
      <x:c r="C1691" s="19" t="n">
        <x:f>IF(B1691="",0,(LEN(B1691)-LEN(SUBSTITUTE(B1691," | ","")))/3+1)</x:f>
        <x:v>1</x:v>
      </x:c>
      <x:c r="D1691" t="str">
        <x:v>t</x:v>
      </x:c>
      <x:c r="E1691" t="str">
        <x:v>https://www.webonary.org/marubo/g46936ef4-5763-4b9e-9dee-cb52e2a0b8b8/</x:v>
      </x:c>
      <x:c r="F1691" t="str">
        <x:v>g415025cb-7684-41e0-b337-ed9a94df2ddf</x:v>
      </x:c>
      <x:c r="G1691" s="20" t="n">
        <x:v>46003.93499537037</x:v>
      </x:c>
    </x:row>
    <x:row r="1692">
      <x:c r="A1692" s="18" t="str">
        <x:v>Tio vocativo</x:v>
      </x:c>
      <x:c r="B1692" s="18" t="str">
        <x:v>epá</x:v>
      </x:c>
      <x:c r="C1692" s="19" t="n">
        <x:f>IF(B1692="",0,(LEN(B1692)-LEN(SUBSTITUTE(B1692," | ","")))/3+1)</x:f>
        <x:v>1</x:v>
      </x:c>
      <x:c r="D1692" t="str">
        <x:v>t</x:v>
      </x:c>
      <x:c r="E1692" t="str">
        <x:v>https://www.webonary.org/marubo/g348a4638-dd41-44a1-9a9d-5b4ff4b1b1c0/</x:v>
      </x:c>
      <x:c r="F1692" t="str">
        <x:v>g5db58cd7-8ae1-4a24-bc78-0a4e23bea0c6</x:v>
      </x:c>
      <x:c r="G1692" s="20" t="n">
        <x:v>46003.93499537037</x:v>
      </x:c>
    </x:row>
    <x:row r="1693">
      <x:c r="A1693" s="18" t="str">
        <x:v>tipo bodó</x:v>
      </x:c>
      <x:c r="B1693" s="18" t="str">
        <x:v>ichkĩ</x:v>
      </x:c>
      <x:c r="C1693" s="19" t="n">
        <x:f>IF(B1693="",0,(LEN(B1693)-LEN(SUBSTITUTE(B1693," | ","")))/3+1)</x:f>
        <x:v>1</x:v>
      </x:c>
      <x:c r="D1693" t="str">
        <x:v>t</x:v>
      </x:c>
      <x:c r="E1693" t="str">
        <x:v>https://www.webonary.org/marubo/gad31b3ef-6840-4967-827e-61352fb646e3/</x:v>
      </x:c>
      <x:c r="F1693" t="str">
        <x:v>gb59b3557-66c8-41b1-85ed-794530f2582c</x:v>
      </x:c>
      <x:c r="G1693" s="20" t="n">
        <x:v>46003.93499537037</x:v>
      </x:c>
    </x:row>
    <x:row r="1694">
      <x:c r="A1694" s="18" t="str">
        <x:v>tipo de árvore</x:v>
      </x:c>
      <x:c r="B1694" s="18" t="str">
        <x:v>voi | voni | otsómei</x:v>
      </x:c>
      <x:c r="C1694" s="19" t="n">
        <x:f>IF(B1694="",0,(LEN(B1694)-LEN(SUBSTITUTE(B1694," | ","")))/3+1)</x:f>
        <x:v>3</x:v>
      </x:c>
      <x:c r="D1694" t="str">
        <x:v>t</x:v>
      </x:c>
      <x:c r="E1694" t="str">
        <x:v>https://www.webonary.org/marubo/g346afdc9-52cf-4cba-a8b2-7ba5f71b237e/</x:v>
      </x:c>
      <x:c r="F1694" t="str">
        <x:v>gfcc51219-ca57-4c30-a183-ecef5ebfd294</x:v>
      </x:c>
      <x:c r="G1694" s="20" t="n">
        <x:v>46003.93499537037</x:v>
      </x:c>
    </x:row>
    <x:row r="1695">
      <x:c r="A1695" s="18" t="str">
        <x:v>tipo de árvore assacú</x:v>
      </x:c>
      <x:c r="B1695" s="18" t="str">
        <x:v>aná</x:v>
      </x:c>
      <x:c r="C1695" s="19" t="n">
        <x:f>IF(B1695="",0,(LEN(B1695)-LEN(SUBSTITUTE(B1695," | ","")))/3+1)</x:f>
        <x:v>1</x:v>
      </x:c>
      <x:c r="D1695" t="str">
        <x:v>t</x:v>
      </x:c>
      <x:c r="E1695" t="str">
        <x:v>https://www.webonary.org/marubo/g8cdb8611-386d-4943-97be-eb55427fef7c/</x:v>
      </x:c>
      <x:c r="F1695" t="str">
        <x:v>g8840edc1-bdca-4fdd-925f-777b07516ea8</x:v>
      </x:c>
      <x:c r="G1695" s="20" t="n">
        <x:v>46003.93499537037</x:v>
      </x:c>
    </x:row>
    <x:row r="1696">
      <x:c r="A1696" s="18" t="str">
        <x:v>tipo de arvore com âmago</x:v>
      </x:c>
      <x:c r="B1696" s="18" t="str">
        <x:v>komã</x:v>
      </x:c>
      <x:c r="C1696" s="19" t="n">
        <x:f>IF(B1696="",0,(LEN(B1696)-LEN(SUBSTITUTE(B1696," | ","")))/3+1)</x:f>
        <x:v>1</x:v>
      </x:c>
      <x:c r="D1696" t="str">
        <x:v>t</x:v>
      </x:c>
      <x:c r="E1696" t="str">
        <x:v>https://www.webonary.org/marubo/g6d6acb85-6c44-4305-ae89-4c7f622ae5dc/</x:v>
      </x:c>
      <x:c r="F1696" t="str">
        <x:v>g905f1abd-e3d7-4936-b457-c6bb778db8ff</x:v>
      </x:c>
      <x:c r="G1696" s="20" t="n">
        <x:v>46003.93499537037</x:v>
      </x:c>
    </x:row>
    <x:row r="1697">
      <x:c r="A1697" s="18" t="str">
        <x:v>tipo de arvore ipê</x:v>
      </x:c>
      <x:c r="B1697" s="18" t="str">
        <x:v>ĩte</x:v>
      </x:c>
      <x:c r="C1697" s="19" t="n">
        <x:f>IF(B1697="",0,(LEN(B1697)-LEN(SUBSTITUTE(B1697," | ","")))/3+1)</x:f>
        <x:v>1</x:v>
      </x:c>
      <x:c r="D1697" t="str">
        <x:v>t</x:v>
      </x:c>
      <x:c r="E1697" t="str">
        <x:v>https://www.webonary.org/marubo/g664e1c23-6201-4f6a-ae3f-5012d8524e1b/</x:v>
      </x:c>
      <x:c r="F1697" t="str">
        <x:v>g7bac7381-9dc0-4530-a9b0-0d0f028e8748</x:v>
      </x:c>
      <x:c r="G1697" s="20" t="n">
        <x:v>46003.93499537037</x:v>
      </x:c>
    </x:row>
    <x:row r="1698">
      <x:c r="A1698" s="18" t="str">
        <x:v>tipo de árvore maúba</x:v>
      </x:c>
      <x:c r="B1698" s="18" t="str">
        <x:v>echo</x:v>
      </x:c>
      <x:c r="C1698" s="19" t="n">
        <x:f>IF(B1698="",0,(LEN(B1698)-LEN(SUBSTITUTE(B1698," | ","")))/3+1)</x:f>
        <x:v>1</x:v>
      </x:c>
      <x:c r="D1698" t="str">
        <x:v>t</x:v>
      </x:c>
      <x:c r="E1698" t="str">
        <x:v>https://www.webonary.org/marubo/gba53c56c-3be4-4644-aeb7-cfd1169a161c/</x:v>
      </x:c>
      <x:c r="F1698" t="str">
        <x:v>g506bf5f0-5bd2-4dc5-8f36-bd9de2907dd4</x:v>
      </x:c>
      <x:c r="G1698" s="20" t="n">
        <x:v>46003.93499537037</x:v>
      </x:c>
    </x:row>
    <x:row r="1699">
      <x:c r="A1699" s="18" t="str">
        <x:v>tipo de ave</x:v>
      </x:c>
      <x:c r="B1699" s="18" t="str">
        <x:v>vakõ | 1</x:v>
      </x:c>
      <x:c r="C1699" s="19" t="n">
        <x:f>IF(B1699="",0,(LEN(B1699)-LEN(SUBSTITUTE(B1699," | ","")))/3+1)</x:f>
        <x:v>2</x:v>
      </x:c>
      <x:c r="D1699" t="str">
        <x:v>t</x:v>
      </x:c>
      <x:c r="E1699" t="str">
        <x:v>https://www.webonary.org/marubo/g780c9a46-b001-4dcd-b298-c11ba97ca00b/</x:v>
      </x:c>
      <x:c r="F1699" t="str">
        <x:v>gfff45ae0-180d-40ac-a7ad-790c0888c2bc</x:v>
      </x:c>
      <x:c r="G1699" s="20" t="n">
        <x:v>46003.93499537037</x:v>
      </x:c>
    </x:row>
    <x:row r="1700">
      <x:c r="A1700" s="18" t="str">
        <x:v>tipo de babaçu</x:v>
      </x:c>
      <x:c r="B1700" s="18" t="str">
        <x:v>katso</x:v>
      </x:c>
      <x:c r="C1700" s="19" t="n">
        <x:f>IF(B1700="",0,(LEN(B1700)-LEN(SUBSTITUTE(B1700," | ","")))/3+1)</x:f>
        <x:v>1</x:v>
      </x:c>
      <x:c r="D1700" t="str">
        <x:v>t</x:v>
      </x:c>
      <x:c r="E1700" t="str">
        <x:v>https://www.webonary.org/marubo/gcc3baec9-6f17-4f90-b362-08a4a5f6395b/</x:v>
      </x:c>
      <x:c r="F1700" t="str">
        <x:v>g19788225-d8b6-4090-9626-4f20ea98d4e7</x:v>
      </x:c>
      <x:c r="G1700" s="20" t="n">
        <x:v>46003.93499537037</x:v>
      </x:c>
    </x:row>
    <x:row r="1701">
      <x:c r="A1701" s="18" t="str">
        <x:v>tipo de banana</x:v>
      </x:c>
      <x:c r="B1701" s="18" t="str">
        <x:v>resto mani | osho mani | oi mani</x:v>
      </x:c>
      <x:c r="C1701" s="19" t="n">
        <x:f>IF(B1701="",0,(LEN(B1701)-LEN(SUBSTITUTE(B1701," | ","")))/3+1)</x:f>
        <x:v>3</x:v>
      </x:c>
      <x:c r="D1701" t="str">
        <x:v>t</x:v>
      </x:c>
      <x:c r="E1701" t="str">
        <x:v>https://www.webonary.org/marubo/g96bfcb8f-d604-4bda-aa63-4b65d3412996/</x:v>
      </x:c>
      <x:c r="F1701" t="str">
        <x:v>g5b671de6-b1d6-4837-aafe-fe3e229b31eb</x:v>
      </x:c>
      <x:c r="G1701" s="20" t="n">
        <x:v>46003.93499537037</x:v>
      </x:c>
    </x:row>
    <x:row r="1702">
      <x:c r="A1702" s="18" t="str">
        <x:v>tipo de brincadeira ou jogo durante fim de festa</x:v>
      </x:c>
      <x:c r="B1702" s="18" t="str">
        <x:v>kevená</x:v>
      </x:c>
      <x:c r="C1702" s="19" t="n">
        <x:f>IF(B1702="",0,(LEN(B1702)-LEN(SUBSTITUTE(B1702," | ","")))/3+1)</x:f>
        <x:v>1</x:v>
      </x:c>
      <x:c r="D1702" t="str">
        <x:v>t</x:v>
      </x:c>
      <x:c r="E1702" t="str">
        <x:v>https://www.webonary.org/marubo/gf83c2330-59fd-45ac-a130-08a4675caf0b/</x:v>
      </x:c>
      <x:c r="F1702" t="str">
        <x:v>g4dd896a1-3e7b-48d4-a885-ae35f133b9e7</x:v>
      </x:c>
      <x:c r="G1702" s="20" t="n">
        <x:v>46003.93499537037</x:v>
      </x:c>
    </x:row>
    <x:row r="1703">
      <x:c r="A1703" s="18" t="str">
        <x:v>tipo de cacau</x:v>
      </x:c>
      <x:c r="B1703" s="18" t="str">
        <x:v>anó</x:v>
      </x:c>
      <x:c r="C1703" s="19" t="n">
        <x:f>IF(B1703="",0,(LEN(B1703)-LEN(SUBSTITUTE(B1703," | ","")))/3+1)</x:f>
        <x:v>1</x:v>
      </x:c>
      <x:c r="D1703" t="str">
        <x:v>t</x:v>
      </x:c>
      <x:c r="E1703" t="str">
        <x:v>https://www.webonary.org/marubo/g8c2adb5f-6253-4a06-88ad-4b561ed694a6/</x:v>
      </x:c>
      <x:c r="F1703" t="str">
        <x:v>ga36a4811-4390-4595-9b13-747390ed69b7</x:v>
      </x:c>
      <x:c r="G1703" s="20" t="n">
        <x:v>46003.93499537037</x:v>
      </x:c>
    </x:row>
    <x:row r="1704">
      <x:c r="A1704" s="18" t="str">
        <x:v>tipo de calango</x:v>
      </x:c>
      <x:c r="B1704" s="18" t="str">
        <x:v>ãpé</x:v>
      </x:c>
      <x:c r="C1704" s="19" t="n">
        <x:f>IF(B1704="",0,(LEN(B1704)-LEN(SUBSTITUTE(B1704," | ","")))/3+1)</x:f>
        <x:v>1</x:v>
      </x:c>
      <x:c r="D1704" t="str">
        <x:v>t</x:v>
      </x:c>
      <x:c r="E1704" t="str">
        <x:v>https://www.webonary.org/marubo/g937b2e7a-120f-4816-ab29-d71b47ced012/</x:v>
      </x:c>
      <x:c r="F1704" t="str">
        <x:v>ge41990ee-6c22-41ee-a798-f7cb7625c879</x:v>
      </x:c>
      <x:c r="G1704" s="20" t="n">
        <x:v>46003.93499537037</x:v>
      </x:c>
    </x:row>
    <x:row r="1705">
      <x:c r="A1705" s="18" t="str">
        <x:v>tipo de caracól comprido</x:v>
      </x:c>
      <x:c r="B1705" s="18" t="str">
        <x:v>txota</x:v>
      </x:c>
      <x:c r="C1705" s="19" t="n">
        <x:f>IF(B1705="",0,(LEN(B1705)-LEN(SUBSTITUTE(B1705," | ","")))/3+1)</x:f>
        <x:v>1</x:v>
      </x:c>
      <x:c r="D1705" t="str">
        <x:v>t</x:v>
      </x:c>
      <x:c r="E1705" t="str">
        <x:v>https://www.webonary.org/marubo/g63b8c49d-bad5-4a15-a2d8-dbf06f62f77b/</x:v>
      </x:c>
      <x:c r="F1705" t="str">
        <x:v>g3e33c260-db4d-45a0-9d78-7e143f2c54e5</x:v>
      </x:c>
      <x:c r="G1705" s="20" t="n">
        <x:v>46003.93499537037</x:v>
      </x:c>
    </x:row>
    <x:row r="1706">
      <x:c r="A1706" s="18" t="str">
        <x:v>tipo de carangueijo</x:v>
      </x:c>
      <x:c r="B1706" s="18" t="str">
        <x:v>choi</x:v>
      </x:c>
      <x:c r="C1706" s="19" t="n">
        <x:f>IF(B1706="",0,(LEN(B1706)-LEN(SUBSTITUTE(B1706," | ","")))/3+1)</x:f>
        <x:v>1</x:v>
      </x:c>
      <x:c r="D1706" t="str">
        <x:v>t</x:v>
      </x:c>
      <x:c r="E1706" t="str">
        <x:v>https://www.webonary.org/marubo/g12e495a3-519b-4efb-824b-c4f02a286d33/</x:v>
      </x:c>
      <x:c r="F1706" t="str">
        <x:v>geecb8f37-e3f6-47d6-8279-59dda85f49cc</x:v>
      </x:c>
      <x:c r="G1706" s="20" t="n">
        <x:v>46003.93500229167</x:v>
      </x:c>
    </x:row>
    <x:row r="1707">
      <x:c r="A1707" s="18" t="str">
        <x:v>tipo de chapeu de penas</x:v>
      </x:c>
      <x:c r="B1707" s="18" t="str">
        <x:v>veá maiti</x:v>
      </x:c>
      <x:c r="C1707" s="19" t="n">
        <x:f>IF(B1707="",0,(LEN(B1707)-LEN(SUBSTITUTE(B1707," | ","")))/3+1)</x:f>
        <x:v>1</x:v>
      </x:c>
      <x:c r="D1707" t="str">
        <x:v>t</x:v>
      </x:c>
      <x:c r="E1707" t="str">
        <x:v>https://www.webonary.org/marubo/g5899f200-0528-44f0-89ec-8ebe2e024337/</x:v>
      </x:c>
      <x:c r="F1707" t="str">
        <x:v>gd572c3bd-cc1d-40e6-9df7-edf93169bb09</x:v>
      </x:c>
      <x:c r="G1707" s="20" t="n">
        <x:v>46003.93500229167</x:v>
      </x:c>
    </x:row>
    <x:row r="1708">
      <x:c r="A1708" s="18" t="str">
        <x:v>tipo de cipó</x:v>
      </x:c>
      <x:c r="B1708" s="18" t="str">
        <x:v>vokã ayáshe | isísi paka</x:v>
      </x:c>
      <x:c r="C1708" s="19" t="n">
        <x:f>IF(B1708="",0,(LEN(B1708)-LEN(SUBSTITUTE(B1708," | ","")))/3+1)</x:f>
        <x:v>2</x:v>
      </x:c>
      <x:c r="D1708" t="str">
        <x:v>t</x:v>
      </x:c>
      <x:c r="E1708" t="str">
        <x:v>https://www.webonary.org/marubo/g457da927-f6dc-4418-8c12-5325d8ad9a9e/</x:v>
      </x:c>
      <x:c r="F1708" t="str">
        <x:v>g59fa9405-c793-4111-afee-3e2345f6db30</x:v>
      </x:c>
      <x:c r="G1708" s="20" t="n">
        <x:v>46003.93500229167</x:v>
      </x:c>
    </x:row>
    <x:row r="1709">
      <x:c r="A1709" s="18" t="str">
        <x:v>tipo de cobra</x:v>
      </x:c>
      <x:c r="B1709" s="18" t="str">
        <x:v>sevi rono | yẽeka | wasaro | koro rono</x:v>
      </x:c>
      <x:c r="C1709" s="19" t="n">
        <x:f>IF(B1709="",0,(LEN(B1709)-LEN(SUBSTITUTE(B1709," | ","")))/3+1)</x:f>
        <x:v>4</x:v>
      </x:c>
      <x:c r="D1709" t="str">
        <x:v>t</x:v>
      </x:c>
      <x:c r="E1709" t="str">
        <x:v>https://www.webonary.org/marubo/g21870899-af1c-4e53-80f6-33449165498f/</x:v>
      </x:c>
      <x:c r="F1709" t="str">
        <x:v>gd299f92a-b6c9-46fe-bfdc-a37ac43889e5</x:v>
      </x:c>
      <x:c r="G1709" s="20" t="n">
        <x:v>46003.93500229167</x:v>
      </x:c>
    </x:row>
    <x:row r="1710">
      <x:c r="A1710" s="18" t="str">
        <x:v>tipo de cogumelo</x:v>
      </x:c>
      <x:c r="B1710" s="18" t="str">
        <x:v>komo</x:v>
      </x:c>
      <x:c r="C1710" s="19" t="n">
        <x:f>IF(B1710="",0,(LEN(B1710)-LEN(SUBSTITUTE(B1710," | ","")))/3+1)</x:f>
        <x:v>1</x:v>
      </x:c>
      <x:c r="D1710" t="str">
        <x:v>t</x:v>
      </x:c>
      <x:c r="E1710" t="str">
        <x:v>https://www.webonary.org/marubo/g6c046c2a-a15e-4421-824e-2e484db4c4bb/</x:v>
      </x:c>
      <x:c r="F1710" t="str">
        <x:v>gf637d0eb-239f-4181-9653-401f24babc41</x:v>
      </x:c>
      <x:c r="G1710" s="20" t="n">
        <x:v>46003.93500229167</x:v>
      </x:c>
    </x:row>
    <x:row r="1711">
      <x:c r="A1711" s="18" t="str">
        <x:v>tipo de coruja</x:v>
      </x:c>
      <x:c r="B1711" s="18" t="str">
        <x:v>chĩchĩ</x:v>
      </x:c>
      <x:c r="C1711" s="19" t="n">
        <x:f>IF(B1711="",0,(LEN(B1711)-LEN(SUBSTITUTE(B1711," | ","")))/3+1)</x:f>
        <x:v>1</x:v>
      </x:c>
      <x:c r="D1711" t="str">
        <x:v>t</x:v>
      </x:c>
      <x:c r="E1711" t="str">
        <x:v>https://www.webonary.org/marubo/g2ffaae71-5087-41d7-bfbf-2769b22537ea/</x:v>
      </x:c>
      <x:c r="F1711" t="str">
        <x:v>g97d48654-8de1-4c30-883f-258eabd4bacb</x:v>
      </x:c>
      <x:c r="G1711" s="20" t="n">
        <x:v>46003.93500229167</x:v>
      </x:c>
    </x:row>
    <x:row r="1712">
      <x:c r="A1712" s="18" t="str">
        <x:v>tipo de cupim</x:v>
      </x:c>
      <x:c r="B1712" s="18" t="str">
        <x:v>võya noã</x:v>
      </x:c>
      <x:c r="C1712" s="19" t="n">
        <x:f>IF(B1712="",0,(LEN(B1712)-LEN(SUBSTITUTE(B1712," | ","")))/3+1)</x:f>
        <x:v>1</x:v>
      </x:c>
      <x:c r="D1712" t="str">
        <x:v>t</x:v>
      </x:c>
      <x:c r="E1712" t="str">
        <x:v>https://www.webonary.org/marubo/gdbb0a965-b1b5-442d-9d38-d843ce0cff70/</x:v>
      </x:c>
      <x:c r="F1712" t="str">
        <x:v>ge706ad5a-1aea-40ee-be8c-ff6bfa8396a9</x:v>
      </x:c>
      <x:c r="G1712" s="20" t="n">
        <x:v>46003.93500229167</x:v>
      </x:c>
    </x:row>
    <x:row r="1713">
      <x:c r="A1713" s="18" t="str">
        <x:v>tipo de espinho da mata</x:v>
      </x:c>
      <x:c r="B1713" s="18" t="str">
        <x:v>chokiti mosha</x:v>
      </x:c>
      <x:c r="C1713" s="19" t="n">
        <x:f>IF(B1713="",0,(LEN(B1713)-LEN(SUBSTITUTE(B1713," | ","")))/3+1)</x:f>
        <x:v>1</x:v>
      </x:c>
      <x:c r="D1713" t="str">
        <x:v>t</x:v>
      </x:c>
      <x:c r="E1713" t="str">
        <x:v>https://www.webonary.org/marubo/g5caa43f1-4129-452d-a4ad-efe817feddf1/</x:v>
      </x:c>
      <x:c r="F1713" t="str">
        <x:v>g25e663f7-d595-41b5-8292-92bc3ec258d3</x:v>
      </x:c>
      <x:c r="G1713" s="20" t="n">
        <x:v>46003.93500229167</x:v>
      </x:c>
    </x:row>
    <x:row r="1714">
      <x:c r="A1714" s="18" t="str">
        <x:v>tipo de formiga</x:v>
      </x:c>
      <x:c r="B1714" s="18" t="str">
        <x:v>tsõtsóse | vĩtó | onã | 2</x:v>
      </x:c>
      <x:c r="C1714" s="19" t="n">
        <x:f>IF(B1714="",0,(LEN(B1714)-LEN(SUBSTITUTE(B1714," | ","")))/3+1)</x:f>
        <x:v>4</x:v>
      </x:c>
      <x:c r="D1714" t="str">
        <x:v>t</x:v>
      </x:c>
      <x:c r="E1714" t="str">
        <x:v>https://www.webonary.org/marubo/g67004c2c-5739-4cf3-a972-b0710fb9307e/</x:v>
      </x:c>
      <x:c r="F1714" t="str">
        <x:v>g271907a7-d04d-4bff-9965-d8b43cefba59</x:v>
      </x:c>
      <x:c r="G1714" s="20" t="n">
        <x:v>46003.93500229167</x:v>
      </x:c>
    </x:row>
    <x:row r="1715">
      <x:c r="A1715" s="18" t="str">
        <x:v>tipo de formiga tracoa</x:v>
      </x:c>
      <x:c r="B1715" s="18" t="str">
        <x:v>isísi</x:v>
      </x:c>
      <x:c r="C1715" s="19" t="n">
        <x:f>IF(B1715="",0,(LEN(B1715)-LEN(SUBSTITUTE(B1715," | ","")))/3+1)</x:f>
        <x:v>1</x:v>
      </x:c>
      <x:c r="D1715" t="str">
        <x:v>t</x:v>
      </x:c>
      <x:c r="E1715" t="str">
        <x:v>https://www.webonary.org/marubo/g6d1a5d65-a0dd-4257-9c65-55a811f8442b/</x:v>
      </x:c>
      <x:c r="F1715" t="str">
        <x:v>g189b1331-2a37-46b6-922f-f19a74b77167</x:v>
      </x:c>
      <x:c r="G1715" s="20" t="n">
        <x:v>46003.93500229167</x:v>
      </x:c>
    </x:row>
    <x:row r="1716">
      <x:c r="A1716" s="18" t="str">
        <x:v>tipo de fruta</x:v>
      </x:c>
      <x:c r="B1716" s="18" t="str">
        <x:v>kamã verorivi | ãcho | 2 | echta | chewẽ vimi</x:v>
      </x:c>
      <x:c r="C1716" s="19" t="n">
        <x:f>IF(B1716="",0,(LEN(B1716)-LEN(SUBSTITUTE(B1716," | ","")))/3+1)</x:f>
        <x:v>5</x:v>
      </x:c>
      <x:c r="D1716" t="str">
        <x:v>t</x:v>
      </x:c>
      <x:c r="E1716" t="str">
        <x:v>https://www.webonary.org/marubo/g9f84596e-5041-4718-922e-ab4e75e558a6/</x:v>
      </x:c>
      <x:c r="F1716" t="str">
        <x:v>ge3ef0d3c-7e96-479d-8076-5a23b38d73f6</x:v>
      </x:c>
      <x:c r="G1716" s="20" t="n">
        <x:v>46003.93500229167</x:v>
      </x:c>
    </x:row>
    <x:row r="1717">
      <x:c r="A1717" s="18" t="str">
        <x:v>tipo de gavião (yové chai)</x:v>
      </x:c>
      <x:c r="B1717" s="18" t="str">
        <x:v>veshtao</x:v>
      </x:c>
      <x:c r="C1717" s="19" t="n">
        <x:f>IF(B1717="",0,(LEN(B1717)-LEN(SUBSTITUTE(B1717," | ","")))/3+1)</x:f>
        <x:v>1</x:v>
      </x:c>
      <x:c r="D1717" t="str">
        <x:v>t</x:v>
      </x:c>
      <x:c r="E1717" t="str">
        <x:v>https://www.webonary.org/marubo/gef22bfa8-07de-45e8-9c8a-81225870ccba/</x:v>
      </x:c>
      <x:c r="F1717" t="str">
        <x:v>g0a65787b-9278-4cf4-9638-54710cc640c6</x:v>
      </x:c>
      <x:c r="G1717" s="20" t="n">
        <x:v>46003.93500229167</x:v>
      </x:c>
    </x:row>
    <x:row r="1718">
      <x:c r="A1718" s="18" t="str">
        <x:v>tipo de gavião que leva as almas dos mortos</x:v>
      </x:c>
      <x:c r="B1718" s="18" t="str">
        <x:v>kais kawã</x:v>
      </x:c>
      <x:c r="C1718" s="19" t="n">
        <x:f>IF(B1718="",0,(LEN(B1718)-LEN(SUBSTITUTE(B1718," | ","")))/3+1)</x:f>
        <x:v>1</x:v>
      </x:c>
      <x:c r="D1718" t="str">
        <x:v>t</x:v>
      </x:c>
      <x:c r="E1718" t="str">
        <x:v>https://www.webonary.org/marubo/g33534fc7-6ed2-4dfb-8862-5713f13530b0/</x:v>
      </x:c>
      <x:c r="F1718" t="str">
        <x:v>gb1c15f39-2bc0-4714-b849-9a8342c0f1c9</x:v>
      </x:c>
      <x:c r="G1718" s="20" t="n">
        <x:v>46003.93500229167</x:v>
      </x:c>
    </x:row>
    <x:row r="1719">
      <x:c r="A1719" s="18" t="str">
        <x:v>tipo de grilo</x:v>
      </x:c>
      <x:c r="B1719" s="18" t="str">
        <x:v>chee | 1</x:v>
      </x:c>
      <x:c r="C1719" s="19" t="n">
        <x:f>IF(B1719="",0,(LEN(B1719)-LEN(SUBSTITUTE(B1719," | ","")))/3+1)</x:f>
        <x:v>2</x:v>
      </x:c>
      <x:c r="D1719" t="str">
        <x:v>t</x:v>
      </x:c>
      <x:c r="E1719" t="str">
        <x:v>https://www.webonary.org/marubo/g6b0b9caa-15d5-4ca0-b441-58fa37484dc3/</x:v>
      </x:c>
      <x:c r="F1719" t="str">
        <x:v>gfb585de4-1bc2-4227-a7ed-cd6ac2f3daf1</x:v>
      </x:c>
      <x:c r="G1719" s="20" t="n">
        <x:v>46003.93500229167</x:v>
      </x:c>
    </x:row>
    <x:row r="1720">
      <x:c r="A1720" s="18" t="str">
        <x:v>tipo de inambu pequeno</x:v>
      </x:c>
      <x:c r="B1720" s="18" t="str">
        <x:v>sene | 1</x:v>
      </x:c>
      <x:c r="C1720" s="19" t="n">
        <x:f>IF(B1720="",0,(LEN(B1720)-LEN(SUBSTITUTE(B1720," | ","")))/3+1)</x:f>
        <x:v>2</x:v>
      </x:c>
      <x:c r="D1720" t="str">
        <x:v>t</x:v>
      </x:c>
      <x:c r="E1720" t="str">
        <x:v>https://www.webonary.org/marubo/ge32eb87c-0b4c-4a62-a70c-d0b0c8a14342/</x:v>
      </x:c>
      <x:c r="F1720" t="str">
        <x:v>g5d63ca58-39b7-4ba0-a84f-b152289bc1cc</x:v>
      </x:c>
      <x:c r="G1720" s="20" t="n">
        <x:v>46003.93500229167</x:v>
      </x:c>
    </x:row>
    <x:row r="1721">
      <x:c r="A1721" s="18" t="str">
        <x:v>tipo de ingá</x:v>
      </x:c>
      <x:c r="B1721" s="18" t="str">
        <x:v>chipĩ shenã | chinõ koré</x:v>
      </x:c>
      <x:c r="C1721" s="19" t="n">
        <x:f>IF(B1721="",0,(LEN(B1721)-LEN(SUBSTITUTE(B1721," | ","")))/3+1)</x:f>
        <x:v>2</x:v>
      </x:c>
      <x:c r="D1721" t="str">
        <x:v>t</x:v>
      </x:c>
      <x:c r="E1721" t="str">
        <x:v>https://www.webonary.org/marubo/gf6aa84f4-bc27-4a86-aefa-078a59dfc8a5/</x:v>
      </x:c>
      <x:c r="F1721" t="str">
        <x:v>gc6756cb4-21ea-4cc6-977f-f43f765abbeb</x:v>
      </x:c>
      <x:c r="G1721" s="20" t="n">
        <x:v>46003.93500229167</x:v>
      </x:c>
    </x:row>
    <x:row r="1722">
      <x:c r="A1722" s="18" t="str">
        <x:v>tipo de inseto</x:v>
      </x:c>
      <x:c r="B1722" s="18" t="str">
        <x:v>viõshe</x:v>
      </x:c>
      <x:c r="C1722" s="19" t="n">
        <x:f>IF(B1722="",0,(LEN(B1722)-LEN(SUBSTITUTE(B1722," | ","")))/3+1)</x:f>
        <x:v>1</x:v>
      </x:c>
      <x:c r="D1722" t="str">
        <x:v>t</x:v>
      </x:c>
      <x:c r="E1722" t="str">
        <x:v>https://www.webonary.org/marubo/gad09331f-5fb9-448c-9869-6d1c1703889b/</x:v>
      </x:c>
      <x:c r="F1722" t="str">
        <x:v>g869659a8-9b14-431e-984e-cf0a52a69452</x:v>
      </x:c>
      <x:c r="G1722" s="20" t="n">
        <x:v>46003.93500229167</x:v>
      </x:c>
    </x:row>
    <x:row r="1723">
      <x:c r="A1723" s="18" t="str">
        <x:v>tipo de jabuti</x:v>
      </x:c>
      <x:c r="B1723" s="18" t="str">
        <x:v>chewẽ shawe</x:v>
      </x:c>
      <x:c r="C1723" s="19" t="n">
        <x:f>IF(B1723="",0,(LEN(B1723)-LEN(SUBSTITUTE(B1723," | ","")))/3+1)</x:f>
        <x:v>1</x:v>
      </x:c>
      <x:c r="D1723" t="str">
        <x:v>t</x:v>
      </x:c>
      <x:c r="E1723" t="str">
        <x:v>https://www.webonary.org/marubo/g258a693b-8bfb-4572-afdf-95dae391387d/</x:v>
      </x:c>
      <x:c r="F1723" t="str">
        <x:v>g3639aaa4-6371-4ac9-be0c-c0bdd4904ee4</x:v>
      </x:c>
      <x:c r="G1723" s="20" t="n">
        <x:v>46003.93500229167</x:v>
      </x:c>
    </x:row>
    <x:row r="1724">
      <x:c r="A1724" s="18" t="str">
        <x:v>tipo de lagarta</x:v>
      </x:c>
      <x:c r="B1724" s="18" t="str">
        <x:v>chiwa</x:v>
      </x:c>
      <x:c r="C1724" s="19" t="n">
        <x:f>IF(B1724="",0,(LEN(B1724)-LEN(SUBSTITUTE(B1724," | ","")))/3+1)</x:f>
        <x:v>1</x:v>
      </x:c>
      <x:c r="D1724" t="str">
        <x:v>t</x:v>
      </x:c>
      <x:c r="E1724" t="str">
        <x:v>https://www.webonary.org/marubo/gb88f2d08-93ac-4541-a550-a5a57e277100/</x:v>
      </x:c>
      <x:c r="F1724" t="str">
        <x:v>gb55acef9-f458-4ce9-8d38-f83a6314beaa</x:v>
      </x:c>
      <x:c r="G1724" s="20" t="n">
        <x:v>46003.93500229167</x:v>
      </x:c>
    </x:row>
    <x:row r="1725">
      <x:c r="A1725" s="18" t="str">
        <x:v>tipo de macaco chino arí</x:v>
      </x:c>
      <x:c r="B1725" s="18" t="str">
        <x:v>sata</x:v>
      </x:c>
      <x:c r="C1725" s="19" t="n">
        <x:f>IF(B1725="",0,(LEN(B1725)-LEN(SUBSTITUTE(B1725," | ","")))/3+1)</x:f>
        <x:v>1</x:v>
      </x:c>
      <x:c r="D1725" t="str">
        <x:v>t</x:v>
      </x:c>
      <x:c r="E1725" t="str">
        <x:v>https://www.webonary.org/marubo/g45a505e7-c860-4d98-925e-da1fc54f80ed/</x:v>
      </x:c>
      <x:c r="F1725" t="str">
        <x:v>g81a51cee-588e-4ad4-bcf1-cfdee5fe7f75</x:v>
      </x:c>
      <x:c r="G1725" s="20" t="n">
        <x:v>46003.93500229167</x:v>
      </x:c>
    </x:row>
    <x:row r="1726">
      <x:c r="A1726" s="18" t="str">
        <x:v>tipo de macaco mico</x:v>
      </x:c>
      <x:c r="B1726" s="18" t="str">
        <x:v>chipi osho</x:v>
      </x:c>
      <x:c r="C1726" s="19" t="n">
        <x:f>IF(B1726="",0,(LEN(B1726)-LEN(SUBSTITUTE(B1726," | ","")))/3+1)</x:f>
        <x:v>1</x:v>
      </x:c>
      <x:c r="D1726" t="str">
        <x:v>t</x:v>
      </x:c>
      <x:c r="E1726" t="str">
        <x:v>https://www.webonary.org/marubo/gba7539f3-0270-4979-a0b8-264f53349492/</x:v>
      </x:c>
      <x:c r="F1726" t="str">
        <x:v>g92a9d188-9b68-4a10-ae4c-4fc1c2a68e05</x:v>
      </x:c>
      <x:c r="G1726" s="20" t="n">
        <x:v>46003.93500229167</x:v>
      </x:c>
    </x:row>
    <x:row r="1727">
      <x:c r="A1727" s="18" t="str">
        <x:v>tipo de madeira</x:v>
      </x:c>
      <x:c r="B1727" s="18" t="str">
        <x:v>yono | chewẽ</x:v>
      </x:c>
      <x:c r="C1727" s="19" t="n">
        <x:f>IF(B1727="",0,(LEN(B1727)-LEN(SUBSTITUTE(B1727," | ","")))/3+1)</x:f>
        <x:v>2</x:v>
      </x:c>
      <x:c r="D1727" t="str">
        <x:v>t</x:v>
      </x:c>
      <x:c r="E1727" t="str">
        <x:v>https://www.webonary.org/marubo/gc26aee2d-6a70-40ea-bf32-f21b145a6d8a/</x:v>
      </x:c>
      <x:c r="F1727" t="str">
        <x:v>gfef6e5d8-4e84-464b-80fd-bbc7ca6f7567</x:v>
      </x:c>
      <x:c r="G1727" s="20" t="n">
        <x:v>46003.93500229167</x:v>
      </x:c>
    </x:row>
    <x:row r="1728">
      <x:c r="A1728" s="18" t="str">
        <x:v>tipo de madeira tachi</x:v>
      </x:c>
      <x:c r="B1728" s="18" t="str">
        <x:v>anĩ</x:v>
      </x:c>
      <x:c r="C1728" s="19" t="n">
        <x:f>IF(B1728="",0,(LEN(B1728)-LEN(SUBSTITUTE(B1728," | ","")))/3+1)</x:f>
        <x:v>1</x:v>
      </x:c>
      <x:c r="D1728" t="str">
        <x:v>t</x:v>
      </x:c>
      <x:c r="E1728" t="str">
        <x:v>https://www.webonary.org/marubo/g6fee8620-e3cf-4880-a83b-609c73609f7f/</x:v>
      </x:c>
      <x:c r="F1728" t="str">
        <x:v>g3d8f334d-1dea-4450-989d-76820510847e</x:v>
      </x:c>
      <x:c r="G1728" s="20" t="n">
        <x:v>46003.93500229167</x:v>
      </x:c>
    </x:row>
    <x:row r="1729">
      <x:c r="A1729" s="18" t="str">
        <x:v>tipo de mala para guardar penas etc</x:v>
      </x:c>
      <x:c r="B1729" s="18" t="str">
        <x:v>vonãti</x:v>
      </x:c>
      <x:c r="C1729" s="19" t="n">
        <x:f>IF(B1729="",0,(LEN(B1729)-LEN(SUBSTITUTE(B1729," | ","")))/3+1)</x:f>
        <x:v>1</x:v>
      </x:c>
      <x:c r="D1729" t="str">
        <x:v>t</x:v>
      </x:c>
      <x:c r="E1729" t="str">
        <x:v>https://www.webonary.org/marubo/g598300e4-4fa3-48a1-b724-d4a1474dc096/</x:v>
      </x:c>
      <x:c r="F1729" t="str">
        <x:v>g86374589-8ba4-4293-a402-a68c2c9f364f</x:v>
      </x:c>
      <x:c r="G1729" s="20" t="n">
        <x:v>46003.93500229167</x:v>
      </x:c>
    </x:row>
    <x:row r="1730">
      <x:c r="A1730" s="18" t="str">
        <x:v>tipo de mamão da mata</x:v>
      </x:c>
      <x:c r="B1730" s="18" t="str">
        <x:v>võpa nawa vimi</x:v>
      </x:c>
      <x:c r="C1730" s="19" t="n">
        <x:f>IF(B1730="",0,(LEN(B1730)-LEN(SUBSTITUTE(B1730," | ","")))/3+1)</x:f>
        <x:v>1</x:v>
      </x:c>
      <x:c r="D1730" t="str">
        <x:v>t</x:v>
      </x:c>
      <x:c r="E1730" t="str">
        <x:v>https://www.webonary.org/marubo/g1818f0e6-8aea-4f0a-80cd-351d9834b94a/</x:v>
      </x:c>
      <x:c r="F1730" t="str">
        <x:v>g20d7e5da-5419-473b-8199-1433819cf55d</x:v>
      </x:c>
      <x:c r="G1730" s="20" t="n">
        <x:v>46003.93500229167</x:v>
      </x:c>
    </x:row>
    <x:row r="1731">
      <x:c r="A1731" s="18" t="str">
        <x:v>tipo de mosca</x:v>
      </x:c>
      <x:c r="B1731" s="18" t="str">
        <x:v>shara</x:v>
      </x:c>
      <x:c r="C1731" s="19" t="n">
        <x:f>IF(B1731="",0,(LEN(B1731)-LEN(SUBSTITUTE(B1731," | ","")))/3+1)</x:f>
        <x:v>1</x:v>
      </x:c>
      <x:c r="D1731" t="str">
        <x:v>t</x:v>
      </x:c>
      <x:c r="E1731" t="str">
        <x:v>https://www.webonary.org/marubo/g31f85a50-360c-48a6-91ca-863945574bda/</x:v>
      </x:c>
      <x:c r="F1731" t="str">
        <x:v>g6d47e8ad-443b-4ca9-9e17-0987d01055df</x:v>
      </x:c>
      <x:c r="G1731" s="20" t="n">
        <x:v>46003.93500229167</x:v>
      </x:c>
    </x:row>
    <x:row r="1732">
      <x:c r="A1732" s="18" t="str">
        <x:v>tipo de mosquito</x:v>
      </x:c>
      <x:c r="B1732" s="18" t="str">
        <x:v>voí</x:v>
      </x:c>
      <x:c r="C1732" s="19" t="n">
        <x:f>IF(B1732="",0,(LEN(B1732)-LEN(SUBSTITUTE(B1732," | ","")))/3+1)</x:f>
        <x:v>1</x:v>
      </x:c>
      <x:c r="D1732" t="str">
        <x:v>t</x:v>
      </x:c>
      <x:c r="E1732" t="str">
        <x:v>https://www.webonary.org/marubo/g46c7cdd0-16e3-4347-9f6c-07364b03c067/</x:v>
      </x:c>
      <x:c r="F1732" t="str">
        <x:v>g45d1d123-3283-455c-8f7f-b29db9e5ba87</x:v>
      </x:c>
      <x:c r="G1732" s="20" t="n">
        <x:v>46003.93500229167</x:v>
      </x:c>
    </x:row>
    <x:row r="1733">
      <x:c r="A1733" s="18" t="str">
        <x:v>tipo de mutuca</x:v>
      </x:c>
      <x:c r="B1733" s="18" t="str">
        <x:v>votsimísi</x:v>
      </x:c>
      <x:c r="C1733" s="19" t="n">
        <x:f>IF(B1733="",0,(LEN(B1733)-LEN(SUBSTITUTE(B1733," | ","")))/3+1)</x:f>
        <x:v>1</x:v>
      </x:c>
      <x:c r="D1733" t="str">
        <x:v>t</x:v>
      </x:c>
      <x:c r="E1733" t="str">
        <x:v>https://www.webonary.org/marubo/g7a914a99-00c5-4678-b0bc-be41198d031d/</x:v>
      </x:c>
      <x:c r="F1733" t="str">
        <x:v>g75d6ff3d-7d04-4b65-b94d-a50115136de3</x:v>
      </x:c>
      <x:c r="G1733" s="20" t="n">
        <x:v>46003.93500229167</x:v>
      </x:c>
    </x:row>
    <x:row r="1734">
      <x:c r="A1734" s="18" t="str">
        <x:v>tipo de mutum</x:v>
      </x:c>
      <x:c r="B1734" s="18" t="str">
        <x:v>kayo</x:v>
      </x:c>
      <x:c r="C1734" s="19" t="n">
        <x:f>IF(B1734="",0,(LEN(B1734)-LEN(SUBSTITUTE(B1734," | ","")))/3+1)</x:f>
        <x:v>1</x:v>
      </x:c>
      <x:c r="D1734" t="str">
        <x:v>t</x:v>
      </x:c>
      <x:c r="E1734" t="str">
        <x:v>https://www.webonary.org/marubo/g4146e884-5890-47b8-9355-5929cdb30caa/</x:v>
      </x:c>
      <x:c r="F1734" t="str">
        <x:v>g34268fbc-f942-4f29-abe0-c14eb2ba5b3f</x:v>
      </x:c>
      <x:c r="G1734" s="20" t="n">
        <x:v>46003.93500229167</x:v>
      </x:c>
    </x:row>
    <x:row r="1735">
      <x:c r="A1735" s="18" t="str">
        <x:v>tipo de pássaro</x:v>
      </x:c>
      <x:c r="B1735" s="18" t="str">
        <x:v>yapeti | txove | irí vaka | choti | 1</x:v>
      </x:c>
      <x:c r="C1735" s="19" t="n">
        <x:f>IF(B1735="",0,(LEN(B1735)-LEN(SUBSTITUTE(B1735," | ","")))/3+1)</x:f>
        <x:v>5</x:v>
      </x:c>
      <x:c r="D1735" t="str">
        <x:v>t</x:v>
      </x:c>
      <x:c r="E1735" t="str">
        <x:v>https://www.webonary.org/marubo/g024799c7-0a1d-4777-a3d0-f99953ef3429/</x:v>
      </x:c>
      <x:c r="F1735" t="str">
        <x:v>gb7a1d378-35b3-4855-95d9-31985850afa2</x:v>
      </x:c>
      <x:c r="G1735" s="20" t="n">
        <x:v>46003.93500229167</x:v>
      </x:c>
    </x:row>
    <x:row r="1736">
      <x:c r="A1736" s="18" t="str">
        <x:v>tipo de pássaro amarelo</x:v>
      </x:c>
      <x:c r="B1736" s="18" t="str">
        <x:v>koyõ voĩ</x:v>
      </x:c>
      <x:c r="C1736" s="19" t="n">
        <x:f>IF(B1736="",0,(LEN(B1736)-LEN(SUBSTITUTE(B1736," | ","")))/3+1)</x:f>
        <x:v>1</x:v>
      </x:c>
      <x:c r="D1736" t="str">
        <x:v>t</x:v>
      </x:c>
      <x:c r="E1736" t="str">
        <x:v>https://www.webonary.org/marubo/gc19902e0-1bf8-47ec-b2b9-bc14ddcaf141/</x:v>
      </x:c>
      <x:c r="F1736" t="str">
        <x:v>ga52c638f-3cee-42ab-8951-5a717106a052</x:v>
      </x:c>
      <x:c r="G1736" s="20" t="n">
        <x:v>46003.93500229167</x:v>
      </x:c>
    </x:row>
    <x:row r="1737">
      <x:c r="A1737" s="18" t="str">
        <x:v>tipo de peixe</x:v>
      </x:c>
      <x:c r="B1737" s="18" t="str">
        <x:v>tsatsa | vẽshá rome | kaiyõ | kope</x:v>
      </x:c>
      <x:c r="C1737" s="19" t="n">
        <x:f>IF(B1737="",0,(LEN(B1737)-LEN(SUBSTITUTE(B1737," | ","")))/3+1)</x:f>
        <x:v>4</x:v>
      </x:c>
      <x:c r="D1737" t="str">
        <x:v>t</x:v>
      </x:c>
      <x:c r="E1737" t="str">
        <x:v>https://www.webonary.org/marubo/g0a00a83d-36dd-4f5c-8887-08060f4db1da/</x:v>
      </x:c>
      <x:c r="F1737" t="str">
        <x:v>gd9839fef-e78f-4e13-91a9-b68d9a68b709</x:v>
      </x:c>
      <x:c r="G1737" s="20" t="n">
        <x:v>46003.93500229167</x:v>
      </x:c>
    </x:row>
    <x:row r="1738">
      <x:c r="A1738" s="18" t="str">
        <x:v>tipo de peixe (pequeno)</x:v>
      </x:c>
      <x:c r="B1738" s="18" t="str">
        <x:v>poshko</x:v>
      </x:c>
      <x:c r="C1738" s="19" t="n">
        <x:f>IF(B1738="",0,(LEN(B1738)-LEN(SUBSTITUTE(B1738," | ","")))/3+1)</x:f>
        <x:v>1</x:v>
      </x:c>
      <x:c r="D1738" t="str">
        <x:v>t</x:v>
      </x:c>
      <x:c r="E1738" t="str">
        <x:v>https://www.webonary.org/marubo/g81d5a055-4864-4889-9f69-b951a92abdbd/</x:v>
      </x:c>
      <x:c r="F1738" t="str">
        <x:v>gbf0de187-820f-4d2b-9a09-f49d11200736</x:v>
      </x:c>
      <x:c r="G1738" s="20" t="n">
        <x:v>46003.93500229167</x:v>
      </x:c>
    </x:row>
    <x:row r="1739">
      <x:c r="A1739" s="18" t="str">
        <x:v>tipo de peixe matupiri</x:v>
      </x:c>
      <x:c r="B1739" s="18" t="str">
        <x:v>petxa</x:v>
      </x:c>
      <x:c r="C1739" s="19" t="n">
        <x:f>IF(B1739="",0,(LEN(B1739)-LEN(SUBSTITUTE(B1739," | ","")))/3+1)</x:f>
        <x:v>1</x:v>
      </x:c>
      <x:c r="D1739" t="str">
        <x:v>t</x:v>
      </x:c>
      <x:c r="E1739" t="str">
        <x:v>https://www.webonary.org/marubo/g4088feb6-8153-4211-b0bb-ecc7b92dea50/</x:v>
      </x:c>
      <x:c r="F1739" t="str">
        <x:v>g710bb056-162f-471f-9ce6-c383f5ffa0b7</x:v>
      </x:c>
      <x:c r="G1739" s="20" t="n">
        <x:v>46003.93500229167</x:v>
      </x:c>
    </x:row>
    <x:row r="1740">
      <x:c r="A1740" s="18" t="str">
        <x:v>tipo de pica-pau</x:v>
      </x:c>
      <x:c r="B1740" s="18" t="str">
        <x:v>chekere | 1</x:v>
      </x:c>
      <x:c r="C1740" s="19" t="n">
        <x:f>IF(B1740="",0,(LEN(B1740)-LEN(SUBSTITUTE(B1740," | ","")))/3+1)</x:f>
        <x:v>2</x:v>
      </x:c>
      <x:c r="D1740" t="str">
        <x:v>t</x:v>
      </x:c>
      <x:c r="E1740" t="str">
        <x:v>https://www.webonary.org/marubo/gf520421f-b6b4-4b53-bce3-795688d4bc6e/</x:v>
      </x:c>
      <x:c r="F1740" t="str">
        <x:v>g7aa34ad0-2f85-4138-ae4b-80098ab60963</x:v>
      </x:c>
      <x:c r="G1740" s="20" t="n">
        <x:v>46003.93500229167</x:v>
      </x:c>
    </x:row>
    <x:row r="1741">
      <x:c r="A1741" s="18" t="str">
        <x:v>tipo de planta</x:v>
      </x:c>
      <x:c r="B1741" s="18" t="str">
        <x:v>voase | ati | chiwã</x:v>
      </x:c>
      <x:c r="C1741" s="19" t="n">
        <x:f>IF(B1741="",0,(LEN(B1741)-LEN(SUBSTITUTE(B1741," | ","")))/3+1)</x:f>
        <x:v>3</x:v>
      </x:c>
      <x:c r="D1741" t="str">
        <x:v>t</x:v>
      </x:c>
      <x:c r="E1741" t="str">
        <x:v>https://www.webonary.org/marubo/g957be4d0-e527-488f-98aa-ab27bf0cfed3/</x:v>
      </x:c>
      <x:c r="F1741" t="str">
        <x:v>g177fbea8-22fe-4233-a2ab-359a5e7f84c9</x:v>
      </x:c>
      <x:c r="G1741" s="20" t="n">
        <x:v>46003.93500229167</x:v>
      </x:c>
    </x:row>
    <x:row r="1742">
      <x:c r="A1742" s="18" t="str">
        <x:v>tipo de planta da mata</x:v>
      </x:c>
      <x:c r="B1742" s="18" t="str">
        <x:v>chiní</x:v>
      </x:c>
      <x:c r="C1742" s="19" t="n">
        <x:f>IF(B1742="",0,(LEN(B1742)-LEN(SUBSTITUTE(B1742," | ","")))/3+1)</x:f>
        <x:v>1</x:v>
      </x:c>
      <x:c r="D1742" t="str">
        <x:v>t</x:v>
      </x:c>
      <x:c r="E1742" t="str">
        <x:v>https://www.webonary.org/marubo/g1b4cbbfa-0856-4b2c-bb5c-952be435b812/</x:v>
      </x:c>
      <x:c r="F1742" t="str">
        <x:v>g948319a5-849a-4154-860c-4bbb7054563c</x:v>
      </x:c>
      <x:c r="G1742" s="20" t="n">
        <x:v>46003.93500229167</x:v>
      </x:c>
    </x:row>
    <x:row r="1743">
      <x:c r="A1743" s="18" t="str">
        <x:v>tipo de planta na beira do rio</x:v>
      </x:c>
      <x:c r="B1743" s="18" t="str">
        <x:v>chĩkomi</x:v>
      </x:c>
      <x:c r="C1743" s="19" t="n">
        <x:f>IF(B1743="",0,(LEN(B1743)-LEN(SUBSTITUTE(B1743," | ","")))/3+1)</x:f>
        <x:v>1</x:v>
      </x:c>
      <x:c r="D1743" t="str">
        <x:v>t</x:v>
      </x:c>
      <x:c r="E1743" t="str">
        <x:v>https://www.webonary.org/marubo/g0fd95243-06fb-4a63-8b7a-58f89d0714f7/</x:v>
      </x:c>
      <x:c r="F1743" t="str">
        <x:v>g29d6f235-f6be-4137-af99-e0ec673d665c</x:v>
      </x:c>
      <x:c r="G1743" s="20" t="n">
        <x:v>46003.93500229167</x:v>
      </x:c>
    </x:row>
    <x:row r="1744">
      <x:c r="A1744" s="18" t="str">
        <x:v>tipo de ponte com várias toras</x:v>
      </x:c>
      <x:c r="B1744" s="18" t="str">
        <x:v>veká tapã</x:v>
      </x:c>
      <x:c r="C1744" s="19" t="n">
        <x:f>IF(B1744="",0,(LEN(B1744)-LEN(SUBSTITUTE(B1744," | ","")))/3+1)</x:f>
        <x:v>1</x:v>
      </x:c>
      <x:c r="D1744" t="str">
        <x:v>t</x:v>
      </x:c>
      <x:c r="E1744" t="str">
        <x:v>https://www.webonary.org/marubo/g097fe531-017d-49f8-b44c-309d7d04eb54/</x:v>
      </x:c>
      <x:c r="F1744" t="str">
        <x:v>gc4e33b81-0fbf-4956-99bf-13f773c2e4fe</x:v>
      </x:c>
      <x:c r="G1744" s="20" t="n">
        <x:v>46003.93500229167</x:v>
      </x:c>
    </x:row>
    <x:row r="1745">
      <x:c r="A1745" s="18" t="str">
        <x:v>tipo de sapo cururu</x:v>
      </x:c>
      <x:c r="B1745" s="18" t="str">
        <x:v>poyápoyáka</x:v>
      </x:c>
      <x:c r="C1745" s="19" t="n">
        <x:f>IF(B1745="",0,(LEN(B1745)-LEN(SUBSTITUTE(B1745," | ","")))/3+1)</x:f>
        <x:v>1</x:v>
      </x:c>
      <x:c r="D1745" t="str">
        <x:v>t</x:v>
      </x:c>
      <x:c r="E1745" t="str">
        <x:v>https://www.webonary.org/marubo/gbe1e334f-2af0-447b-bd46-287e898a4cb9/</x:v>
      </x:c>
      <x:c r="F1745" t="str">
        <x:v>g4aae82ca-c1ea-49e1-8530-4e1d49c62476</x:v>
      </x:c>
      <x:c r="G1745" s="20" t="n">
        <x:v>46003.93500229167</x:v>
      </x:c>
    </x:row>
    <x:row r="1746">
      <x:c r="A1746" s="18" t="str">
        <x:v>tipo de sarapô</x:v>
      </x:c>
      <x:c r="B1746" s="18" t="str">
        <x:v>china</x:v>
      </x:c>
      <x:c r="C1746" s="19" t="n">
        <x:f>IF(B1746="",0,(LEN(B1746)-LEN(SUBSTITUTE(B1746," | ","")))/3+1)</x:f>
        <x:v>1</x:v>
      </x:c>
      <x:c r="D1746" t="str">
        <x:v>t</x:v>
      </x:c>
      <x:c r="E1746" t="str">
        <x:v>https://www.webonary.org/marubo/gab8f0abe-8092-4c30-8c84-36a866adb7e4/</x:v>
      </x:c>
      <x:c r="F1746" t="str">
        <x:v>g261f8bb5-4595-4eb3-9649-8753f2199068</x:v>
      </x:c>
      <x:c r="G1746" s="20" t="n">
        <x:v>46003.93500229167</x:v>
      </x:c>
    </x:row>
    <x:row r="1747">
      <x:c r="A1747" s="18" t="str">
        <x:v>tipo de sucuri preto</x:v>
      </x:c>
      <x:c r="B1747" s="18" t="str">
        <x:v>ĩpere</x:v>
      </x:c>
      <x:c r="C1747" s="19" t="n">
        <x:f>IF(B1747="",0,(LEN(B1747)-LEN(SUBSTITUTE(B1747," | ","")))/3+1)</x:f>
        <x:v>1</x:v>
      </x:c>
      <x:c r="D1747" t="str">
        <x:v>t</x:v>
      </x:c>
      <x:c r="E1747" t="str">
        <x:v>https://www.webonary.org/marubo/g76cb8789-dd7b-4366-949f-d218af5c4f91/</x:v>
      </x:c>
      <x:c r="F1747" t="str">
        <x:v>g32a8d78c-55f3-4406-a780-5732a6996f91</x:v>
      </x:c>
      <x:c r="G1747" s="20" t="n">
        <x:v>46003.93500229167</x:v>
      </x:c>
    </x:row>
    <x:row r="1748">
      <x:c r="A1748" s="18" t="str">
        <x:v>tipo de tapuru (tano) grande</x:v>
      </x:c>
      <x:c r="B1748" s="18" t="str">
        <x:v>chõchi</x:v>
      </x:c>
      <x:c r="C1748" s="19" t="n">
        <x:f>IF(B1748="",0,(LEN(B1748)-LEN(SUBSTITUTE(B1748," | ","")))/3+1)</x:f>
        <x:v>1</x:v>
      </x:c>
      <x:c r="D1748" t="str">
        <x:v>t</x:v>
      </x:c>
      <x:c r="E1748" t="str">
        <x:v>https://www.webonary.org/marubo/g7950efce-dac7-4858-b323-8f3078e6f48e/</x:v>
      </x:c>
      <x:c r="F1748" t="str">
        <x:v>gdcb1b92b-9d18-4f50-988b-ef3c19ad6f86</x:v>
      </x:c>
      <x:c r="G1748" s="20" t="n">
        <x:v>46003.93500229167</x:v>
      </x:c>
    </x:row>
    <x:row r="1749">
      <x:c r="A1749" s="18" t="str">
        <x:v>tipo de tavão</x:v>
      </x:c>
      <x:c r="B1749" s="18" t="str">
        <x:v>tero</x:v>
      </x:c>
      <x:c r="C1749" s="19" t="n">
        <x:f>IF(B1749="",0,(LEN(B1749)-LEN(SUBSTITUTE(B1749," | ","")))/3+1)</x:f>
        <x:v>1</x:v>
      </x:c>
      <x:c r="D1749" t="str">
        <x:v>t</x:v>
      </x:c>
      <x:c r="E1749" t="str">
        <x:v>https://www.webonary.org/marubo/gd67f251a-78a2-4154-b76d-7647e23474c0/</x:v>
      </x:c>
      <x:c r="F1749" t="str">
        <x:v>gcdc0148a-a577-4f03-9d57-e8521b2c361c</x:v>
      </x:c>
      <x:c r="G1749" s="20" t="n">
        <x:v>46003.93500229167</x:v>
      </x:c>
    </x:row>
    <x:row r="1750">
      <x:c r="A1750" s="18" t="str">
        <x:v>tipo de vara para limpar terreiro</x:v>
      </x:c>
      <x:c r="B1750" s="18" t="str">
        <x:v>chewẽ võtáshe</x:v>
      </x:c>
      <x:c r="C1750" s="19" t="n">
        <x:f>IF(B1750="",0,(LEN(B1750)-LEN(SUBSTITUTE(B1750," | ","")))/3+1)</x:f>
        <x:v>1</x:v>
      </x:c>
      <x:c r="D1750" t="str">
        <x:v>t</x:v>
      </x:c>
      <x:c r="E1750" t="str">
        <x:v>https://www.webonary.org/marubo/gd8f8dac7-7c6b-45c5-8444-94b1d27babfe/</x:v>
      </x:c>
      <x:c r="F1750" t="str">
        <x:v>g3726502b-7d4c-47b1-b4ba-7486bc2230d0</x:v>
      </x:c>
      <x:c r="G1750" s="20" t="n">
        <x:v>46003.93500229167</x:v>
      </x:c>
    </x:row>
    <x:row r="1751">
      <x:c r="A1751" s="18" t="str">
        <x:v>tipo de veneno para pegar peixe</x:v>
      </x:c>
      <x:c r="B1751" s="18" t="str">
        <x:v>komo</x:v>
      </x:c>
      <x:c r="C1751" s="19" t="n">
        <x:f>IF(B1751="",0,(LEN(B1751)-LEN(SUBSTITUTE(B1751," | ","")))/3+1)</x:f>
        <x:v>1</x:v>
      </x:c>
      <x:c r="D1751" t="str">
        <x:v>t</x:v>
      </x:c>
      <x:c r="E1751" t="str">
        <x:v>https://www.webonary.org/marubo/g6c046c2a-a15e-4421-824e-2e484db4c4bb/</x:v>
      </x:c>
      <x:c r="F1751" t="str">
        <x:v>g9a8e5b00-e4df-4931-b88b-ab23c52bbe4d</x:v>
      </x:c>
      <x:c r="G1751" s="20" t="n">
        <x:v>46003.93500229167</x:v>
      </x:c>
    </x:row>
    <x:row r="1752">
      <x:c r="A1752" s="18" t="str">
        <x:v>tipo formiga</x:v>
      </x:c>
      <x:c r="B1752" s="18" t="str">
        <x:v>anĩ</x:v>
      </x:c>
      <x:c r="C1752" s="19" t="n">
        <x:f>IF(B1752="",0,(LEN(B1752)-LEN(SUBSTITUTE(B1752," | ","")))/3+1)</x:f>
        <x:v>1</x:v>
      </x:c>
      <x:c r="D1752" t="str">
        <x:v>t</x:v>
      </x:c>
      <x:c r="E1752" t="str">
        <x:v>https://www.webonary.org/marubo/g6fee8620-e3cf-4880-a83b-609c73609f7f/</x:v>
      </x:c>
      <x:c r="F1752" t="str">
        <x:v>g9976e58e-df01-4afb-af59-f3fd7a01105c</x:v>
      </x:c>
      <x:c r="G1752" s="20" t="n">
        <x:v>46003.93500229167</x:v>
      </x:c>
    </x:row>
    <x:row r="1753">
      <x:c r="A1753" s="18" t="str">
        <x:v>tipo pamonha</x:v>
      </x:c>
      <x:c r="B1753" s="18" t="str">
        <x:v>misi</x:v>
      </x:c>
      <x:c r="C1753" s="19" t="n">
        <x:f>IF(B1753="",0,(LEN(B1753)-LEN(SUBSTITUTE(B1753," | ","")))/3+1)</x:f>
        <x:v>1</x:v>
      </x:c>
      <x:c r="D1753" t="str">
        <x:v>t</x:v>
      </x:c>
      <x:c r="E1753" t="str">
        <x:v>https://www.webonary.org/marubo/g7eb450b3-e421-4cf9-83ca-a9f7c3e61441/</x:v>
      </x:c>
      <x:c r="F1753" t="str">
        <x:v>g9200c4a1-8f3a-4761-8d40-9166bf568f51</x:v>
      </x:c>
      <x:c r="G1753" s="20" t="n">
        <x:v>46003.93500229167</x:v>
      </x:c>
    </x:row>
    <x:row r="1754">
      <x:c r="A1754" s="18" t="str">
        <x:v>tipo penhasco</x:v>
      </x:c>
      <x:c r="B1754" s="18" t="str">
        <x:v>keréne</x:v>
      </x:c>
      <x:c r="C1754" s="19" t="n">
        <x:f>IF(B1754="",0,(LEN(B1754)-LEN(SUBSTITUTE(B1754," | ","")))/3+1)</x:f>
        <x:v>1</x:v>
      </x:c>
      <x:c r="D1754" t="str">
        <x:v>t</x:v>
      </x:c>
      <x:c r="E1754" t="str">
        <x:v>https://www.webonary.org/marubo/g584fdf8c-27d3-4512-9bab-fec504bdf1fd/</x:v>
      </x:c>
      <x:c r="F1754" t="str">
        <x:v>g6eb3aefb-a10f-4c97-b249-39e1de6edb73</x:v>
      </x:c>
      <x:c r="G1754" s="20" t="n">
        <x:v>46003.93500229167</x:v>
      </x:c>
    </x:row>
    <x:row r="1755">
      <x:c r="A1755" s="18" t="str">
        <x:v>tirar</x:v>
      </x:c>
      <x:c r="B1755" s="18" t="str">
        <x:v>tseka</x:v>
      </x:c>
      <x:c r="C1755" s="19" t="n">
        <x:f>IF(B1755="",0,(LEN(B1755)-LEN(SUBSTITUTE(B1755," | ","")))/3+1)</x:f>
        <x:v>1</x:v>
      </x:c>
      <x:c r="D1755" t="str">
        <x:v>t</x:v>
      </x:c>
      <x:c r="E1755" t="str">
        <x:v>https://www.webonary.org/marubo/g51b5d3da-e6d9-411e-a544-ed594f42ef20/</x:v>
      </x:c>
      <x:c r="F1755" t="str">
        <x:v>g6d0181e7-6ce0-46ae-acf3-b51e36be69bf</x:v>
      </x:c>
      <x:c r="G1755" s="20" t="n">
        <x:v>46003.93500229167</x:v>
      </x:c>
    </x:row>
    <x:row r="1756">
      <x:c r="A1756" s="18" t="str">
        <x:v>tirar buriti outros</x:v>
      </x:c>
      <x:c r="B1756" s="18" t="str">
        <x:v>teste aká</x:v>
      </x:c>
      <x:c r="C1756" s="19" t="n">
        <x:f>IF(B1756="",0,(LEN(B1756)-LEN(SUBSTITUTE(B1756," | ","")))/3+1)</x:f>
        <x:v>1</x:v>
      </x:c>
      <x:c r="D1756" t="str">
        <x:v>t</x:v>
      </x:c>
      <x:c r="E1756" t="str">
        <x:v>https://www.webonary.org/marubo/g68d4ff62-ee74-416c-ba96-02ef5735ee57/</x:v>
      </x:c>
      <x:c r="F1756" t="str">
        <x:v>gcd92d419-1fac-4808-9769-687286f6b745</x:v>
      </x:c>
      <x:c r="G1756" s="20" t="n">
        <x:v>46003.93500945602</x:v>
      </x:c>
    </x:row>
    <x:row r="1757">
      <x:c r="A1757" s="18" t="str">
        <x:v>tirar carne do osso</x:v>
      </x:c>
      <x:c r="B1757" s="18" t="str">
        <x:v>vero aká</x:v>
      </x:c>
      <x:c r="C1757" s="19" t="n">
        <x:f>IF(B1757="",0,(LEN(B1757)-LEN(SUBSTITUTE(B1757," | ","")))/3+1)</x:f>
        <x:v>1</x:v>
      </x:c>
      <x:c r="D1757" t="str">
        <x:v>t</x:v>
      </x:c>
      <x:c r="E1757" t="str">
        <x:v>https://www.webonary.org/marubo/gdb3c94d3-5011-499d-908e-c42118cc319d/</x:v>
      </x:c>
      <x:c r="F1757" t="str">
        <x:v>gfcd654a1-b185-4e03-8c4d-cb5ec061fafb</x:v>
      </x:c>
      <x:c r="G1757" s="20" t="n">
        <x:v>46003.93500945602</x:v>
      </x:c>
    </x:row>
    <x:row r="1758">
      <x:c r="A1758" s="18" t="str">
        <x:v>tirar couro</x:v>
      </x:c>
      <x:c r="B1758" s="18" t="str">
        <x:v>shoka</x:v>
      </x:c>
      <x:c r="C1758" s="19" t="n">
        <x:f>IF(B1758="",0,(LEN(B1758)-LEN(SUBSTITUTE(B1758," | ","")))/3+1)</x:f>
        <x:v>1</x:v>
      </x:c>
      <x:c r="D1758" t="str">
        <x:v>t</x:v>
      </x:c>
      <x:c r="E1758" t="str">
        <x:v>https://www.webonary.org/marubo/gd792d6cb-d0b4-4db7-9418-5c9e208b7382/</x:v>
      </x:c>
      <x:c r="F1758" t="str">
        <x:v>g59be9166-6a5c-438c-af7b-5d6b5ac0efb3</x:v>
      </x:c>
      <x:c r="G1758" s="20" t="n">
        <x:v>46003.93500945602</x:v>
      </x:c>
    </x:row>
    <x:row r="1759">
      <x:c r="A1759" s="18" t="str">
        <x:v>tirar escama</x:v>
      </x:c>
      <x:c r="B1759" s="18" t="str">
        <x:v>tsara</x:v>
      </x:c>
      <x:c r="C1759" s="19" t="n">
        <x:f>IF(B1759="",0,(LEN(B1759)-LEN(SUBSTITUTE(B1759," | ","")))/3+1)</x:f>
        <x:v>1</x:v>
      </x:c>
      <x:c r="D1759" t="str">
        <x:v>t</x:v>
      </x:c>
      <x:c r="E1759" t="str">
        <x:v>https://www.webonary.org/marubo/g53d9ea9e-6b10-4b13-8a2a-c4f91286bcb1/</x:v>
      </x:c>
      <x:c r="F1759" t="str">
        <x:v>g848ea491-5aff-4888-88fc-aff924e18cde</x:v>
      </x:c>
      <x:c r="G1759" s="20" t="n">
        <x:v>46003.93500945602</x:v>
      </x:c>
    </x:row>
    <x:row r="1760">
      <x:c r="A1760" s="18" t="str">
        <x:v>tirar escamas de buriti com os dentes</x:v>
      </x:c>
      <x:c r="B1760" s="18" t="str">
        <x:v>tarése aká</x:v>
      </x:c>
      <x:c r="C1760" s="19" t="n">
        <x:f>IF(B1760="",0,(LEN(B1760)-LEN(SUBSTITUTE(B1760," | ","")))/3+1)</x:f>
        <x:v>1</x:v>
      </x:c>
      <x:c r="D1760" t="str">
        <x:v>t</x:v>
      </x:c>
      <x:c r="E1760" t="str">
        <x:v>https://www.webonary.org/marubo/gf4b831af-c747-40ab-a969-485ecd7ede26/</x:v>
      </x:c>
      <x:c r="F1760" t="str">
        <x:v>g52a8a611-9951-4693-8cc8-330ea2676f5c</x:v>
      </x:c>
      <x:c r="G1760" s="20" t="n">
        <x:v>46003.93500945602</x:v>
      </x:c>
    </x:row>
    <x:row r="1761">
      <x:c r="A1761" s="18" t="str">
        <x:v>tirar folha</x:v>
      </x:c>
      <x:c r="B1761" s="18" t="str">
        <x:v>petséa</x:v>
      </x:c>
      <x:c r="C1761" s="19" t="n">
        <x:f>IF(B1761="",0,(LEN(B1761)-LEN(SUBSTITUTE(B1761," | ","")))/3+1)</x:f>
        <x:v>1</x:v>
      </x:c>
      <x:c r="D1761" t="str">
        <x:v>t</x:v>
      </x:c>
      <x:c r="E1761" t="str">
        <x:v>https://www.webonary.org/marubo/g67154b4b-a1c3-4fcf-a13a-ca5a83a85e2e/</x:v>
      </x:c>
      <x:c r="F1761" t="str">
        <x:v>gc657adbe-7ea1-48f3-8e08-0a96a204732a</x:v>
      </x:c>
      <x:c r="G1761" s="20" t="n">
        <x:v>46003.93500945602</x:v>
      </x:c>
    </x:row>
    <x:row r="1762">
      <x:c r="A1762" s="18" t="str">
        <x:v>tirar o algodão da semente</x:v>
      </x:c>
      <x:c r="B1762" s="18" t="str">
        <x:v>shõpea</x:v>
      </x:c>
      <x:c r="C1762" s="19" t="n">
        <x:f>IF(B1762="",0,(LEN(B1762)-LEN(SUBSTITUTE(B1762," | ","")))/3+1)</x:f>
        <x:v>1</x:v>
      </x:c>
      <x:c r="D1762" t="str">
        <x:v>t</x:v>
      </x:c>
      <x:c r="E1762" t="str">
        <x:v>https://www.webonary.org/marubo/gc2855212-13ee-4c3b-8c71-429c63d48617/</x:v>
      </x:c>
      <x:c r="F1762" t="str">
        <x:v>gd607f68d-1b6f-4202-b13c-699950dd4233</x:v>
      </x:c>
      <x:c r="G1762" s="20" t="n">
        <x:v>46003.93500945602</x:v>
      </x:c>
    </x:row>
    <x:row r="1763">
      <x:c r="A1763" s="18" t="str">
        <x:v>tirar o ombro de animal</x:v>
      </x:c>
      <x:c r="B1763" s="18" t="str">
        <x:v>peshtea</x:v>
      </x:c>
      <x:c r="C1763" s="19" t="n">
        <x:f>IF(B1763="",0,(LEN(B1763)-LEN(SUBSTITUTE(B1763," | ","")))/3+1)</x:f>
        <x:v>1</x:v>
      </x:c>
      <x:c r="D1763" t="str">
        <x:v>t</x:v>
      </x:c>
      <x:c r="E1763" t="str">
        <x:v>https://www.webonary.org/marubo/g7b00f018-ff5e-4816-9409-00843971acb4/</x:v>
      </x:c>
      <x:c r="F1763" t="str">
        <x:v>g3e6e95d1-ce39-41e7-a4c0-2214ed690c75</x:v>
      </x:c>
      <x:c r="G1763" s="20" t="n">
        <x:v>46003.93500945602</x:v>
      </x:c>
    </x:row>
    <x:row r="1764">
      <x:c r="A1764" s="18" t="str">
        <x:v>tirar porção ou pedaços</x:v>
      </x:c>
      <x:c r="B1764" s="18" t="str">
        <x:v>kashkea</x:v>
      </x:c>
      <x:c r="C1764" s="19" t="n">
        <x:f>IF(B1764="",0,(LEN(B1764)-LEN(SUBSTITUTE(B1764," | ","")))/3+1)</x:f>
        <x:v>1</x:v>
      </x:c>
      <x:c r="D1764" t="str">
        <x:v>t</x:v>
      </x:c>
      <x:c r="E1764" t="str">
        <x:v>https://www.webonary.org/marubo/g511e1883-004b-43e4-9237-31103bedd5ba/</x:v>
      </x:c>
      <x:c r="F1764" t="str">
        <x:v>g23d90513-4528-4bfa-9f21-9d23426105f0</x:v>
      </x:c>
      <x:c r="G1764" s="20" t="n">
        <x:v>46003.93500945602</x:v>
      </x:c>
    </x:row>
    <x:row r="1765">
      <x:c r="A1765" s="18" t="str">
        <x:v>toalha</x:v>
      </x:c>
      <x:c r="B1765" s="18" t="str">
        <x:v>raskiti</x:v>
      </x:c>
      <x:c r="C1765" s="19" t="n">
        <x:f>IF(B1765="",0,(LEN(B1765)-LEN(SUBSTITUTE(B1765," | ","")))/3+1)</x:f>
        <x:v>1</x:v>
      </x:c>
      <x:c r="D1765" t="str">
        <x:v>t</x:v>
      </x:c>
      <x:c r="E1765" t="str">
        <x:v>https://www.webonary.org/marubo/g773de68d-220d-449f-ae9f-d613cc6ca886/</x:v>
      </x:c>
      <x:c r="F1765" t="str">
        <x:v>g7b835be4-0941-430f-9df5-4b1201c90987</x:v>
      </x:c>
      <x:c r="G1765" s="20" t="n">
        <x:v>46003.93500945602</x:v>
      </x:c>
    </x:row>
    <x:row r="1766">
      <x:c r="A1766" s="18" t="str">
        <x:v>tocar</x:v>
      </x:c>
      <x:c r="B1766" s="18" t="str">
        <x:v>mee</x:v>
      </x:c>
      <x:c r="C1766" s="19" t="n">
        <x:f>IF(B1766="",0,(LEN(B1766)-LEN(SUBSTITUTE(B1766," | ","")))/3+1)</x:f>
        <x:v>1</x:v>
      </x:c>
      <x:c r="D1766" t="str">
        <x:v>t</x:v>
      </x:c>
      <x:c r="E1766" t="str">
        <x:v>https://www.webonary.org/marubo/g7900156e-5685-435c-b65c-8e597ae4824c/</x:v>
      </x:c>
      <x:c r="F1766" t="str">
        <x:v>g62881806-a458-433f-8d37-2ebb99cae10a</x:v>
      </x:c>
      <x:c r="G1766" s="20" t="n">
        <x:v>46003.93500945602</x:v>
      </x:c>
    </x:row>
    <x:row r="1767">
      <x:c r="A1767" s="18" t="str">
        <x:v>toce</x:v>
      </x:c>
      <x:c r="B1767" s="18" t="str">
        <x:v>oko</x:v>
      </x:c>
      <x:c r="C1767" s="19" t="n">
        <x:f>IF(B1767="",0,(LEN(B1767)-LEN(SUBSTITUTE(B1767," | ","")))/3+1)</x:f>
        <x:v>1</x:v>
      </x:c>
      <x:c r="D1767" t="str">
        <x:v>t</x:v>
      </x:c>
      <x:c r="E1767" t="str">
        <x:v>https://www.webonary.org/marubo/gd8cc52fc-36f7-433d-8201-1f228aed08dc/</x:v>
      </x:c>
      <x:c r="F1767" t="str">
        <x:v>g66cb2892-103c-42b0-9ed9-ee75e61e813e</x:v>
      </x:c>
      <x:c r="G1767" s="20" t="n">
        <x:v>46003.93500945602</x:v>
      </x:c>
    </x:row>
    <x:row r="1768">
      <x:c r="A1768" s="18" t="str">
        <x:v>tocer</x:v>
      </x:c>
      <x:c r="B1768" s="18" t="str">
        <x:v>oko ikí</x:v>
      </x:c>
      <x:c r="C1768" s="19" t="n">
        <x:f>IF(B1768="",0,(LEN(B1768)-LEN(SUBSTITUTE(B1768," | ","")))/3+1)</x:f>
        <x:v>1</x:v>
      </x:c>
      <x:c r="D1768" t="str">
        <x:v>t</x:v>
      </x:c>
      <x:c r="E1768" t="str">
        <x:v>https://www.webonary.org/marubo/gb701f969-017e-40a8-8f3f-7abc8217fadc/</x:v>
      </x:c>
      <x:c r="F1768" t="str">
        <x:v>g8c3a0f2b-6627-445d-b6b8-b07639be5c5a</x:v>
      </x:c>
      <x:c r="G1768" s="20" t="n">
        <x:v>46003.93500945602</x:v>
      </x:c>
    </x:row>
    <x:row r="1769">
      <x:c r="A1769" s="18" t="str">
        <x:v>tocha feito de folhas secas</x:v>
      </x:c>
      <x:c r="B1769" s="18" t="str">
        <x:v>pisí</x:v>
      </x:c>
      <x:c r="C1769" s="19" t="n">
        <x:f>IF(B1769="",0,(LEN(B1769)-LEN(SUBSTITUTE(B1769," | ","")))/3+1)</x:f>
        <x:v>1</x:v>
      </x:c>
      <x:c r="D1769" t="str">
        <x:v>t</x:v>
      </x:c>
      <x:c r="E1769" t="str">
        <x:v>https://www.webonary.org/marubo/gea8be87a-aa81-4f61-bb8d-25ef775528a3/</x:v>
      </x:c>
      <x:c r="F1769" t="str">
        <x:v>g57281c60-3226-48f7-a73c-01b81423ddf5</x:v>
      </x:c>
      <x:c r="G1769" s="20" t="n">
        <x:v>46003.93500945602</x:v>
      </x:c>
    </x:row>
    <x:row r="1770">
      <x:c r="A1770" s="18" t="str">
        <x:v>tocha para breu</x:v>
      </x:c>
      <x:c r="B1770" s="18" t="str">
        <x:v>amo kawa</x:v>
      </x:c>
      <x:c r="C1770" s="19" t="n">
        <x:f>IF(B1770="",0,(LEN(B1770)-LEN(SUBSTITUTE(B1770," | ","")))/3+1)</x:f>
        <x:v>1</x:v>
      </x:c>
      <x:c r="D1770" t="str">
        <x:v>t</x:v>
      </x:c>
      <x:c r="E1770" t="str">
        <x:v>https://www.webonary.org/marubo/g817d1c1d-209a-4c1f-8d05-03699ae2afd7/</x:v>
      </x:c>
      <x:c r="F1770" t="str">
        <x:v>gd0e6b6cc-36bd-4064-bc3d-9a80e1012866</x:v>
      </x:c>
      <x:c r="G1770" s="20" t="n">
        <x:v>46003.93500945602</x:v>
      </x:c>
    </x:row>
    <x:row r="1771">
      <x:c r="A1771" s="18" t="str">
        <x:v>toco</x:v>
      </x:c>
      <x:c r="B1771" s="18" t="str">
        <x:v>tapã | voró</x:v>
      </x:c>
      <x:c r="C1771" s="19" t="n">
        <x:f>IF(B1771="",0,(LEN(B1771)-LEN(SUBSTITUTE(B1771," | ","")))/3+1)</x:f>
        <x:v>2</x:v>
      </x:c>
      <x:c r="D1771" t="str">
        <x:v>t</x:v>
      </x:c>
      <x:c r="E1771" t="str">
        <x:v>https://www.webonary.org/marubo/g9d26c257-b960-4f42-8ef5-747fb289f8f8/</x:v>
      </x:c>
      <x:c r="F1771" t="str">
        <x:v>ga1b48f1d-83a6-4e1d-8a83-19910800c58f</x:v>
      </x:c>
      <x:c r="G1771" s="20" t="n">
        <x:v>46003.93500945602</x:v>
      </x:c>
    </x:row>
    <x:row r="1772">
      <x:c r="A1772" s="18" t="str">
        <x:v>toco mítico na história dos Marubos</x:v>
      </x:c>
      <x:c r="B1772" s="18" t="str">
        <x:v>kapé tapã</x:v>
      </x:c>
      <x:c r="C1772" s="19" t="n">
        <x:f>IF(B1772="",0,(LEN(B1772)-LEN(SUBSTITUTE(B1772," | ","")))/3+1)</x:f>
        <x:v>1</x:v>
      </x:c>
      <x:c r="D1772" t="str">
        <x:v>t</x:v>
      </x:c>
      <x:c r="E1772" t="str">
        <x:v>https://www.webonary.org/marubo/gc7e192d4-af31-4487-acb2-2ad6f964fef2/</x:v>
      </x:c>
      <x:c r="F1772" t="str">
        <x:v>g06f8df61-480a-40dc-9f02-5c5a83e04c2c</x:v>
      </x:c>
      <x:c r="G1772" s="20" t="n">
        <x:v>46003.93500945602</x:v>
      </x:c>
    </x:row>
    <x:row r="1773">
      <x:c r="A1773" s="18" t="str">
        <x:v>tom de voz</x:v>
      </x:c>
      <x:c r="B1773" s="18" t="str">
        <x:v>oi</x:v>
      </x:c>
      <x:c r="C1773" s="19" t="n">
        <x:f>IF(B1773="",0,(LEN(B1773)-LEN(SUBSTITUTE(B1773," | ","")))/3+1)</x:f>
        <x:v>1</x:v>
      </x:c>
      <x:c r="D1773" t="str">
        <x:v>t</x:v>
      </x:c>
      <x:c r="E1773" t="str">
        <x:v>https://www.webonary.org/marubo/g06d3fb35-bfbc-45b8-ae13-814db53e9f02/</x:v>
      </x:c>
      <x:c r="F1773" t="str">
        <x:v>g3571514e-14fb-4d16-a4c1-39b6c5ff36f9</x:v>
      </x:c>
      <x:c r="G1773" s="20" t="n">
        <x:v>46003.93500945602</x:v>
      </x:c>
    </x:row>
    <x:row r="1774">
      <x:c r="A1774" s="18" t="str">
        <x:v>tomar</x:v>
      </x:c>
      <x:c r="B1774" s="18" t="str">
        <x:v>aká | 1</x:v>
      </x:c>
      <x:c r="C1774" s="19" t="n">
        <x:f>IF(B1774="",0,(LEN(B1774)-LEN(SUBSTITUTE(B1774," | ","")))/3+1)</x:f>
        <x:v>2</x:v>
      </x:c>
      <x:c r="D1774" t="str">
        <x:v>t</x:v>
      </x:c>
      <x:c r="E1774" t="str">
        <x:v>https://www.webonary.org/marubo/g7a914280-a7fa-4014-ae32-59b4321cc34b/</x:v>
      </x:c>
      <x:c r="F1774" t="str">
        <x:v>g3c13ddf1-046a-44c8-a249-26d3c0de03ff</x:v>
      </x:c>
      <x:c r="G1774" s="20" t="n">
        <x:v>46003.93500945602</x:v>
      </x:c>
    </x:row>
    <x:row r="1775">
      <x:c r="A1775" s="18" t="str">
        <x:v>tomar banho</x:v>
      </x:c>
      <x:c r="B1775" s="18" t="str">
        <x:v>nachia</x:v>
      </x:c>
      <x:c r="C1775" s="19" t="n">
        <x:f>IF(B1775="",0,(LEN(B1775)-LEN(SUBSTITUTE(B1775," | ","")))/3+1)</x:f>
        <x:v>1</x:v>
      </x:c>
      <x:c r="D1775" t="str">
        <x:v>t</x:v>
      </x:c>
      <x:c r="E1775" t="str">
        <x:v>https://www.webonary.org/marubo/g800c576f-71b8-4dd5-86cd-6a1cad1457d5/</x:v>
      </x:c>
      <x:c r="F1775" t="str">
        <x:v>g67d0953c-40b9-4c6c-bb02-9cb022af46b6</x:v>
      </x:c>
      <x:c r="G1775" s="20" t="n">
        <x:v>46003.93500945602</x:v>
      </x:c>
    </x:row>
    <x:row r="1776">
      <x:c r="A1776" s="18" t="str">
        <x:v>tomou</x:v>
      </x:c>
      <x:c r="B1776" s="18" t="str">
        <x:v>mĩ aka</x:v>
      </x:c>
      <x:c r="C1776" s="19" t="n">
        <x:f>IF(B1776="",0,(LEN(B1776)-LEN(SUBSTITUTE(B1776," | ","")))/3+1)</x:f>
        <x:v>1</x:v>
      </x:c>
      <x:c r="D1776" t="str">
        <x:v>t</x:v>
      </x:c>
      <x:c r="E1776" t="str">
        <x:v>https://www.webonary.org/marubo/g6ac75dd4-b0c4-47f1-bc22-df7e701f46d6/</x:v>
      </x:c>
      <x:c r="F1776" t="str">
        <x:v>g9d507501-917f-4be9-b8e2-398deb7c815a</x:v>
      </x:c>
      <x:c r="G1776" s="20" t="n">
        <x:v>46003.93500945602</x:v>
      </x:c>
    </x:row>
    <x:row r="1777">
      <x:c r="A1777" s="18" t="str">
        <x:v>TOP</x:v>
      </x:c>
      <x:c r="B1777" s="18" t="str">
        <x:v>nã</x:v>
      </x:c>
      <x:c r="C1777" s="19" t="n">
        <x:f>IF(B1777="",0,(LEN(B1777)-LEN(SUBSTITUTE(B1777," | ","")))/3+1)</x:f>
        <x:v>1</x:v>
      </x:c>
      <x:c r="D1777" t="str">
        <x:v>t</x:v>
      </x:c>
      <x:c r="E1777" t="str">
        <x:v>https://www.webonary.org/marubo/gcc148e5c-805e-46de-9ed6-50ead9ffbe42/</x:v>
      </x:c>
      <x:c r="F1777" t="str">
        <x:v>gd3e21fbf-2742-43ff-9ec2-228ae53d8b37</x:v>
      </x:c>
      <x:c r="G1777" s="20" t="n">
        <x:v>46003.93500945602</x:v>
      </x:c>
    </x:row>
    <x:row r="1778">
      <x:c r="A1778" s="18" t="str">
        <x:v>topo da cabeça</x:v>
      </x:c>
      <x:c r="B1778" s="18" t="str">
        <x:v>matxokti</x:v>
      </x:c>
      <x:c r="C1778" s="19" t="n">
        <x:f>IF(B1778="",0,(LEN(B1778)-LEN(SUBSTITUTE(B1778," | ","")))/3+1)</x:f>
        <x:v>1</x:v>
      </x:c>
      <x:c r="D1778" t="str">
        <x:v>t</x:v>
      </x:c>
      <x:c r="E1778" t="str">
        <x:v>https://www.webonary.org/marubo/g562d5150-1bc7-4b5b-ba19-6e9f14618346/</x:v>
      </x:c>
      <x:c r="F1778" t="str">
        <x:v>gffdf2a3b-b63b-4937-8733-9ae543b004fe</x:v>
      </x:c>
      <x:c r="G1778" s="20" t="n">
        <x:v>46003.93500945602</x:v>
      </x:c>
    </x:row>
    <x:row r="1779">
      <x:c r="A1779" s="18" t="str">
        <x:v>torcer</x:v>
      </x:c>
      <x:c r="B1779" s="18" t="str">
        <x:v>omĩa</x:v>
      </x:c>
      <x:c r="C1779" s="19" t="n">
        <x:f>IF(B1779="",0,(LEN(B1779)-LEN(SUBSTITUTE(B1779," | ","")))/3+1)</x:f>
        <x:v>1</x:v>
      </x:c>
      <x:c r="D1779" t="str">
        <x:v>t</x:v>
      </x:c>
      <x:c r="E1779" t="str">
        <x:v>https://www.webonary.org/marubo/g2d359bad-c2a6-4a0b-a004-4655a8887495/</x:v>
      </x:c>
      <x:c r="F1779" t="str">
        <x:v>g9e9e5bd2-7c55-42ac-89f8-cc5c215df6bd</x:v>
      </x:c>
      <x:c r="G1779" s="20" t="n">
        <x:v>46003.93500945602</x:v>
      </x:c>
    </x:row>
    <x:row r="1780">
      <x:c r="A1780" s="18" t="str">
        <x:v>torcha</x:v>
      </x:c>
      <x:c r="B1780" s="18" t="str">
        <x:v>tashkã</x:v>
      </x:c>
      <x:c r="C1780" s="19" t="n">
        <x:f>IF(B1780="",0,(LEN(B1780)-LEN(SUBSTITUTE(B1780," | ","")))/3+1)</x:f>
        <x:v>1</x:v>
      </x:c>
      <x:c r="D1780" t="str">
        <x:v>t</x:v>
      </x:c>
      <x:c r="E1780" t="str">
        <x:v>https://www.webonary.org/marubo/g956f8f31-0257-480e-a67b-31f2826286f3/</x:v>
      </x:c>
      <x:c r="F1780" t="str">
        <x:v>g123d84d0-af4b-4d58-b5ec-77fde37b8b25</x:v>
      </x:c>
      <x:c r="G1780" s="20" t="n">
        <x:v>46003.93500945602</x:v>
      </x:c>
    </x:row>
    <x:row r="1781">
      <x:c r="A1781" s="18" t="str">
        <x:v>tornozelo</x:v>
      </x:c>
      <x:c r="B1781" s="18" t="str">
        <x:v>tapóshe</x:v>
      </x:c>
      <x:c r="C1781" s="19" t="n">
        <x:f>IF(B1781="",0,(LEN(B1781)-LEN(SUBSTITUTE(B1781," | ","")))/3+1)</x:f>
        <x:v>1</x:v>
      </x:c>
      <x:c r="D1781" t="str">
        <x:v>t</x:v>
      </x:c>
      <x:c r="E1781" t="str">
        <x:v>https://www.webonary.org/marubo/gbd99662c-5fdf-4574-b402-785f6096ba46/</x:v>
      </x:c>
      <x:c r="F1781" t="str">
        <x:v>g84b1e23f-969c-4b81-9fdf-76724de8e931</x:v>
      </x:c>
      <x:c r="G1781" s="20" t="n">
        <x:v>46003.93500945602</x:v>
      </x:c>
    </x:row>
    <x:row r="1782">
      <x:c r="A1782" s="18" t="str">
        <x:v>torrar</x:v>
      </x:c>
      <x:c r="B1782" s="18" t="str">
        <x:v>tovã</x:v>
      </x:c>
      <x:c r="C1782" s="19" t="n">
        <x:f>IF(B1782="",0,(LEN(B1782)-LEN(SUBSTITUTE(B1782," | ","")))/3+1)</x:f>
        <x:v>1</x:v>
      </x:c>
      <x:c r="D1782" t="str">
        <x:v>t</x:v>
      </x:c>
      <x:c r="E1782" t="str">
        <x:v>https://www.webonary.org/marubo/gf724f1b0-c8b2-4f9b-ae35-8b64ea9b78e9/</x:v>
      </x:c>
      <x:c r="F1782" t="str">
        <x:v>gac439353-918a-4803-9d69-09a4756f5bf3</x:v>
      </x:c>
      <x:c r="G1782" s="20" t="n">
        <x:v>46003.93500945602</x:v>
      </x:c>
    </x:row>
    <x:row r="1783">
      <x:c r="A1783" s="18" t="str">
        <x:v>torrar (milho)</x:v>
      </x:c>
      <x:c r="B1783" s="18" t="str">
        <x:v>paich ikí</x:v>
      </x:c>
      <x:c r="C1783" s="19" t="n">
        <x:f>IF(B1783="",0,(LEN(B1783)-LEN(SUBSTITUTE(B1783," | ","")))/3+1)</x:f>
        <x:v>1</x:v>
      </x:c>
      <x:c r="D1783" t="str">
        <x:v>t</x:v>
      </x:c>
      <x:c r="E1783" t="str">
        <x:v>https://www.webonary.org/marubo/g6ed85e9b-3164-420f-b2bc-cf3ef9fc9f24/</x:v>
      </x:c>
      <x:c r="F1783" t="str">
        <x:v>gd8515700-79f4-47b8-98d0-c5a7e6522e51</x:v>
      </x:c>
      <x:c r="G1783" s="20" t="n">
        <x:v>46003.93500945602</x:v>
      </x:c>
    </x:row>
    <x:row r="1784">
      <x:c r="A1784" s="18" t="str">
        <x:v>torto</x:v>
      </x:c>
      <x:c r="B1784" s="18" t="str">
        <x:v>rõkeka | omĩka</x:v>
      </x:c>
      <x:c r="C1784" s="19" t="n">
        <x:f>IF(B1784="",0,(LEN(B1784)-LEN(SUBSTITUTE(B1784," | ","")))/3+1)</x:f>
        <x:v>2</x:v>
      </x:c>
      <x:c r="D1784" t="str">
        <x:v>t</x:v>
      </x:c>
      <x:c r="E1784" t="str">
        <x:v>https://www.webonary.org/marubo/g1f1d4058-57ba-4201-bd89-cd7d35c4be44/</x:v>
      </x:c>
      <x:c r="F1784" t="str">
        <x:v>g79a8e389-3bd8-4b57-aece-5f319948a616</x:v>
      </x:c>
      <x:c r="G1784" s="20" t="n">
        <x:v>46003.93500945602</x:v>
      </x:c>
    </x:row>
    <x:row r="1785">
      <x:c r="A1785" s="18" t="str">
        <x:v>trabalhar</x:v>
      </x:c>
      <x:c r="B1785" s="18" t="str">
        <x:v>mee iki</x:v>
      </x:c>
      <x:c r="C1785" s="19" t="n">
        <x:f>IF(B1785="",0,(LEN(B1785)-LEN(SUBSTITUTE(B1785," | ","")))/3+1)</x:f>
        <x:v>1</x:v>
      </x:c>
      <x:c r="D1785" t="str">
        <x:v>t</x:v>
      </x:c>
      <x:c r="E1785" t="str">
        <x:v>https://www.webonary.org/marubo/gd11fff36-e81a-4654-bd66-fa11b669460f/</x:v>
      </x:c>
      <x:c r="F1785" t="str">
        <x:v>gc7f3dbbf-bb20-4c09-8a98-e5fb965e4f6d</x:v>
      </x:c>
      <x:c r="G1785" s="20" t="n">
        <x:v>46003.93500945602</x:v>
      </x:c>
    </x:row>
    <x:row r="1786">
      <x:c r="A1786" s="18" t="str">
        <x:v>tracajá</x:v>
      </x:c>
      <x:c r="B1786" s="18" t="str">
        <x:v>tãko</x:v>
      </x:c>
      <x:c r="C1786" s="19" t="n">
        <x:f>IF(B1786="",0,(LEN(B1786)-LEN(SUBSTITUTE(B1786," | ","")))/3+1)</x:f>
        <x:v>1</x:v>
      </x:c>
      <x:c r="D1786" t="str">
        <x:v>t</x:v>
      </x:c>
      <x:c r="E1786" t="str">
        <x:v>https://www.webonary.org/marubo/g137c7604-f20a-4eb2-a935-ebb5004cd3ef/</x:v>
      </x:c>
      <x:c r="F1786" t="str">
        <x:v>gf0948fe4-208d-4982-8be8-d2468de6960d</x:v>
      </x:c>
      <x:c r="G1786" s="20" t="n">
        <x:v>46003.93500945602</x:v>
      </x:c>
    </x:row>
    <x:row r="1787">
      <x:c r="A1787" s="18" t="str">
        <x:v>traíra</x:v>
      </x:c>
      <x:c r="B1787" s="18" t="str">
        <x:v>tsismã</x:v>
      </x:c>
      <x:c r="C1787" s="19" t="n">
        <x:f>IF(B1787="",0,(LEN(B1787)-LEN(SUBSTITUTE(B1787," | ","")))/3+1)</x:f>
        <x:v>1</x:v>
      </x:c>
      <x:c r="D1787" t="str">
        <x:v>t</x:v>
      </x:c>
      <x:c r="E1787" t="str">
        <x:v>https://www.webonary.org/marubo/gd8a4a9e5-ebdd-4753-88c1-a2db08706aba/</x:v>
      </x:c>
      <x:c r="F1787" t="str">
        <x:v>g416b90d4-0678-4462-97c4-d9d6450ca111</x:v>
      </x:c>
      <x:c r="G1787" s="20" t="n">
        <x:v>46003.93500945602</x:v>
      </x:c>
    </x:row>
    <x:row r="1788">
      <x:c r="A1788" s="18" t="str">
        <x:v>trancar</x:v>
      </x:c>
      <x:c r="B1788" s="18" t="str">
        <x:v>kepoa</x:v>
      </x:c>
      <x:c r="C1788" s="19" t="n">
        <x:f>IF(B1788="",0,(LEN(B1788)-LEN(SUBSTITUTE(B1788," | ","")))/3+1)</x:f>
        <x:v>1</x:v>
      </x:c>
      <x:c r="D1788" t="str">
        <x:v>t</x:v>
      </x:c>
      <x:c r="E1788" t="str">
        <x:v>https://www.webonary.org/marubo/gc5cc3359-e095-4584-95f9-d289015bc6bf/</x:v>
      </x:c>
      <x:c r="F1788" t="str">
        <x:v>gdcf35223-2e22-45c2-9470-9ed214639c77</x:v>
      </x:c>
      <x:c r="G1788" s="20" t="n">
        <x:v>46003.93500945602</x:v>
      </x:c>
    </x:row>
    <x:row r="1789">
      <x:c r="A1789" s="18" t="str">
        <x:v>transferir</x:v>
      </x:c>
      <x:c r="B1789" s="18" t="str">
        <x:v>teki aká</x:v>
      </x:c>
      <x:c r="C1789" s="19" t="n">
        <x:f>IF(B1789="",0,(LEN(B1789)-LEN(SUBSTITUTE(B1789," | ","")))/3+1)</x:f>
        <x:v>1</x:v>
      </x:c>
      <x:c r="D1789" t="str">
        <x:v>t</x:v>
      </x:c>
      <x:c r="E1789" t="str">
        <x:v>https://www.webonary.org/marubo/geddc987c-9bb5-43d7-b19b-9aeef5a82cc6/</x:v>
      </x:c>
      <x:c r="F1789" t="str">
        <x:v>g68b3352a-d406-4289-bc13-319b0d643841</x:v>
      </x:c>
      <x:c r="G1789" s="20" t="n">
        <x:v>46003.93500945602</x:v>
      </x:c>
    </x:row>
    <x:row r="1790">
      <x:c r="A1790" s="18" t="str">
        <x:v>traseira</x:v>
      </x:c>
      <x:c r="B1790" s="18" t="str">
        <x:v>txĩtó</x:v>
      </x:c>
      <x:c r="C1790" s="19" t="n">
        <x:f>IF(B1790="",0,(LEN(B1790)-LEN(SUBSTITUTE(B1790," | ","")))/3+1)</x:f>
        <x:v>1</x:v>
      </x:c>
      <x:c r="D1790" t="str">
        <x:v>t</x:v>
      </x:c>
      <x:c r="E1790" t="str">
        <x:v>https://www.webonary.org/marubo/gd09a55fb-56f5-4427-a8b8-701f1a43f0c4/</x:v>
      </x:c>
      <x:c r="F1790" t="str">
        <x:v>g09ff010d-86f6-4cce-bd3b-f2183bbd451e</x:v>
      </x:c>
      <x:c r="G1790" s="20" t="n">
        <x:v>46003.93500945602</x:v>
      </x:c>
    </x:row>
    <x:row r="1791">
      <x:c r="A1791" s="18" t="str">
        <x:v>tratar animal</x:v>
      </x:c>
      <x:c r="B1791" s="18" t="str">
        <x:v>potea</x:v>
      </x:c>
      <x:c r="C1791" s="19" t="n">
        <x:f>IF(B1791="",0,(LEN(B1791)-LEN(SUBSTITUTE(B1791," | ","")))/3+1)</x:f>
        <x:v>1</x:v>
      </x:c>
      <x:c r="D1791" t="str">
        <x:v>t</x:v>
      </x:c>
      <x:c r="E1791" t="str">
        <x:v>https://www.webonary.org/marubo/ge29f4b57-fe8f-4e94-95db-95dcbc5f0ce0/</x:v>
      </x:c>
      <x:c r="F1791" t="str">
        <x:v>ge1834715-41c4-4287-b2b7-64f416f2eb26</x:v>
      </x:c>
      <x:c r="G1791" s="20" t="n">
        <x:v>46003.93500945602</x:v>
      </x:c>
    </x:row>
    <x:row r="1792">
      <x:c r="A1792" s="18" t="str">
        <x:v>traveseiro</x:v>
      </x:c>
      <x:c r="B1792" s="18" t="str">
        <x:v>anõ vosokiti</x:v>
      </x:c>
      <x:c r="C1792" s="19" t="n">
        <x:f>IF(B1792="",0,(LEN(B1792)-LEN(SUBSTITUTE(B1792," | ","")))/3+1)</x:f>
        <x:v>1</x:v>
      </x:c>
      <x:c r="D1792" t="str">
        <x:v>t</x:v>
      </x:c>
      <x:c r="E1792" t="str">
        <x:v>https://www.webonary.org/marubo/g8b697b30-1950-4f78-b9e4-e3ac6027b334/</x:v>
      </x:c>
      <x:c r="F1792" t="str">
        <x:v>gb5ef3bfc-fa23-4cd2-b812-9d5b21e07e7a</x:v>
      </x:c>
      <x:c r="G1792" s="20" t="n">
        <x:v>46003.93500945602</x:v>
      </x:c>
    </x:row>
    <x:row r="1793">
      <x:c r="A1793" s="18" t="str">
        <x:v>travessão</x:v>
      </x:c>
      <x:c r="B1793" s="18" t="str">
        <x:v>vosekiti</x:v>
      </x:c>
      <x:c r="C1793" s="19" t="n">
        <x:f>IF(B1793="",0,(LEN(B1793)-LEN(SUBSTITUTE(B1793," | ","")))/3+1)</x:f>
        <x:v>1</x:v>
      </x:c>
      <x:c r="D1793" t="str">
        <x:v>t</x:v>
      </x:c>
      <x:c r="E1793" t="str">
        <x:v>https://www.webonary.org/marubo/g029c2a38-057b-4a10-a1aa-4839a3d682ed/</x:v>
      </x:c>
      <x:c r="F1793" t="str">
        <x:v>gb15936cd-dc65-4d9a-acdc-5bf6515c7ac7</x:v>
      </x:c>
      <x:c r="G1793" s="20" t="n">
        <x:v>46003.93500945602</x:v>
      </x:c>
    </x:row>
    <x:row r="1794">
      <x:c r="A1794" s="18" t="str">
        <x:v>travesseiro</x:v>
      </x:c>
      <x:c r="B1794" s="18" t="str">
        <x:v>kama vesokiti</x:v>
      </x:c>
      <x:c r="C1794" s="19" t="n">
        <x:f>IF(B1794="",0,(LEN(B1794)-LEN(SUBSTITUTE(B1794," | ","")))/3+1)</x:f>
        <x:v>1</x:v>
      </x:c>
      <x:c r="D1794" t="str">
        <x:v>t</x:v>
      </x:c>
      <x:c r="E1794" t="str">
        <x:v>https://www.webonary.org/marubo/g4eaf4f1d-6ceb-46d1-b834-5bf16b2ffc0d/</x:v>
      </x:c>
      <x:c r="F1794" t="str">
        <x:v>g9767a632-5e06-4ec1-8806-96116366408b</x:v>
      </x:c>
      <x:c r="G1794" s="20" t="n">
        <x:v>46003.93500945602</x:v>
      </x:c>
    </x:row>
    <x:row r="1795">
      <x:c r="A1795" s="18" t="str">
        <x:v>trazeiro</x:v>
      </x:c>
      <x:c r="B1795" s="18" t="str">
        <x:v>txesho</x:v>
      </x:c>
      <x:c r="C1795" s="19" t="n">
        <x:f>IF(B1795="",0,(LEN(B1795)-LEN(SUBSTITUTE(B1795," | ","")))/3+1)</x:f>
        <x:v>1</x:v>
      </x:c>
      <x:c r="D1795" t="str">
        <x:v>t</x:v>
      </x:c>
      <x:c r="E1795" t="str">
        <x:v>https://www.webonary.org/marubo/g249e7a66-80a6-478f-b478-90b847b13f53/</x:v>
      </x:c>
      <x:c r="F1795" t="str">
        <x:v>g9ceb42ea-fd7a-41bd-8e97-b88b69d9c43d</x:v>
      </x:c>
      <x:c r="G1795" s="20" t="n">
        <x:v>46003.93500945602</x:v>
      </x:c>
    </x:row>
    <x:row r="1796">
      <x:c r="A1796" s="18" t="str">
        <x:v>trazer</x:v>
      </x:c>
      <x:c r="B1796" s="18" t="str">
        <x:v>ninia</x:v>
      </x:c>
      <x:c r="C1796" s="19" t="n">
        <x:f>IF(B1796="",0,(LEN(B1796)-LEN(SUBSTITUTE(B1796," | ","")))/3+1)</x:f>
        <x:v>1</x:v>
      </x:c>
      <x:c r="D1796" t="str">
        <x:v>t</x:v>
      </x:c>
      <x:c r="E1796" t="str">
        <x:v>https://www.webonary.org/marubo/g848b5820-c91b-4e96-8757-33ca68f14c22/</x:v>
      </x:c>
      <x:c r="F1796" t="str">
        <x:v>gc0c0a6e4-575c-4699-a420-dc5c8035fb76</x:v>
      </x:c>
      <x:c r="G1796" s="20" t="n">
        <x:v>46003.93500945602</x:v>
      </x:c>
    </x:row>
    <x:row r="1797">
      <x:c r="A1797" s="18" t="str">
        <x:v>trecho reto do rio</x:v>
      </x:c>
      <x:c r="B1797" s="18" t="str">
        <x:v>waka naistika</x:v>
      </x:c>
      <x:c r="C1797" s="19" t="n">
        <x:f>IF(B1797="",0,(LEN(B1797)-LEN(SUBSTITUTE(B1797," | ","")))/3+1)</x:f>
        <x:v>1</x:v>
      </x:c>
      <x:c r="D1797" t="str">
        <x:v>t</x:v>
      </x:c>
      <x:c r="E1797" t="str">
        <x:v>https://www.webonary.org/marubo/g7615123f-a07d-45b8-9ad0-b9e93fd82504/</x:v>
      </x:c>
      <x:c r="F1797" t="str">
        <x:v>ge6decbd8-0ecc-44e9-9791-b88e14696ed6</x:v>
      </x:c>
      <x:c r="G1797" s="20" t="n">
        <x:v>46003.93500945602</x:v>
      </x:c>
    </x:row>
    <x:row r="1798">
      <x:c r="A1798" s="18" t="str">
        <x:v>trepadeira</x:v>
      </x:c>
      <x:c r="B1798" s="18" t="str">
        <x:v>kawé</x:v>
      </x:c>
      <x:c r="C1798" s="19" t="n">
        <x:f>IF(B1798="",0,(LEN(B1798)-LEN(SUBSTITUTE(B1798," | ","")))/3+1)</x:f>
        <x:v>1</x:v>
      </x:c>
      <x:c r="D1798" t="str">
        <x:v>t</x:v>
      </x:c>
      <x:c r="E1798" t="str">
        <x:v>https://www.webonary.org/marubo/g1fcf4210-03e7-4899-b478-b2619988090e/</x:v>
      </x:c>
      <x:c r="F1798" t="str">
        <x:v>g48e1786c-afce-4429-b042-3ca54c5f575d</x:v>
      </x:c>
      <x:c r="G1798" s="20" t="n">
        <x:v>46003.93500945602</x:v>
      </x:c>
    </x:row>
    <x:row r="1799">
      <x:c r="A1799" s="18" t="str">
        <x:v>triscar</x:v>
      </x:c>
      <x:c r="B1799" s="18" t="str">
        <x:v>viõ ikí</x:v>
      </x:c>
      <x:c r="C1799" s="19" t="n">
        <x:f>IF(B1799="",0,(LEN(B1799)-LEN(SUBSTITUTE(B1799," | ","")))/3+1)</x:f>
        <x:v>1</x:v>
      </x:c>
      <x:c r="D1799" t="str">
        <x:v>t</x:v>
      </x:c>
      <x:c r="E1799" t="str">
        <x:v>https://www.webonary.org/marubo/g405c3ee6-e405-458a-bd1e-c41469c18ed7/</x:v>
      </x:c>
      <x:c r="F1799" t="str">
        <x:v>gb92b2a90-51dd-48f7-9190-40aa5abd591d</x:v>
      </x:c>
      <x:c r="G1799" s="20" t="n">
        <x:v>46003.93500945602</x:v>
      </x:c>
    </x:row>
    <x:row r="1800">
      <x:c r="A1800" s="18" t="str">
        <x:v>triste</x:v>
      </x:c>
      <x:c r="B1800" s="18" t="str">
        <x:v>oníska</x:v>
      </x:c>
      <x:c r="C1800" s="19" t="n">
        <x:f>IF(B1800="",0,(LEN(B1800)-LEN(SUBSTITUTE(B1800," | ","")))/3+1)</x:f>
        <x:v>1</x:v>
      </x:c>
      <x:c r="D1800" t="str">
        <x:v>t</x:v>
      </x:c>
      <x:c r="E1800" t="str">
        <x:v>https://www.webonary.org/marubo/gc22349c3-2816-4392-8fca-58a2d6fa89dc/</x:v>
      </x:c>
      <x:c r="F1800" t="str">
        <x:v>g194b2856-f629-44a4-8630-4c3f2201fd41</x:v>
      </x:c>
      <x:c r="G1800" s="20" t="n">
        <x:v>46003.93500945602</x:v>
      </x:c>
    </x:row>
    <x:row r="1801">
      <x:c r="A1801" s="18" t="str">
        <x:v>trocano</x:v>
      </x:c>
      <x:c r="B1801" s="18" t="str">
        <x:v>ako</x:v>
      </x:c>
      <x:c r="C1801" s="19" t="n">
        <x:f>IF(B1801="",0,(LEN(B1801)-LEN(SUBSTITUTE(B1801," | ","")))/3+1)</x:f>
        <x:v>1</x:v>
      </x:c>
      <x:c r="D1801" t="str">
        <x:v>t</x:v>
      </x:c>
      <x:c r="E1801" t="str">
        <x:v>https://www.webonary.org/marubo/g6eb1b623-d2a4-48fd-b5d7-5a99cae6d6f5/</x:v>
      </x:c>
      <x:c r="F1801" t="str">
        <x:v>g679acd51-d020-4eba-8425-2a0dfbe22e46</x:v>
      </x:c>
      <x:c r="G1801" s="20" t="n">
        <x:v>46003.93500945602</x:v>
      </x:c>
    </x:row>
    <x:row r="1802">
      <x:c r="A1802" s="18" t="str">
        <x:v>trocar</x:v>
      </x:c>
      <x:c r="B1802" s="18" t="str">
        <x:v>katoa</x:v>
      </x:c>
      <x:c r="C1802" s="19" t="n">
        <x:f>IF(B1802="",0,(LEN(B1802)-LEN(SUBSTITUTE(B1802," | ","")))/3+1)</x:f>
        <x:v>1</x:v>
      </x:c>
      <x:c r="D1802" t="str">
        <x:v>t</x:v>
      </x:c>
      <x:c r="E1802" t="str">
        <x:v>https://www.webonary.org/marubo/g054a35d0-4f8c-423f-b4b5-75e8316c5c70/</x:v>
      </x:c>
      <x:c r="F1802" t="str">
        <x:v>g744f0126-3d96-425a-9a01-8f632cf90ec7</x:v>
      </x:c>
      <x:c r="G1802" s="20" t="n">
        <x:v>46003.93500945602</x:v>
      </x:c>
    </x:row>
    <x:row r="1803">
      <x:c r="A1803" s="18" t="str">
        <x:v>tromba</x:v>
      </x:c>
      <x:c r="B1803" s="18" t="str">
        <x:v>retxoke</x:v>
      </x:c>
      <x:c r="C1803" s="19" t="n">
        <x:f>IF(B1803="",0,(LEN(B1803)-LEN(SUBSTITUTE(B1803," | ","")))/3+1)</x:f>
        <x:v>1</x:v>
      </x:c>
      <x:c r="D1803" t="str">
        <x:v>t</x:v>
      </x:c>
      <x:c r="E1803" t="str">
        <x:v>https://www.webonary.org/marubo/gd6fd80d8-7629-46a4-a0d7-13c533bfc4ec/</x:v>
      </x:c>
      <x:c r="F1803" t="str">
        <x:v>g14070dbb-3857-46d9-b821-91f5fa248330</x:v>
      </x:c>
      <x:c r="G1803" s="20" t="n">
        <x:v>46003.93500945602</x:v>
      </x:c>
    </x:row>
    <x:row r="1804">
      <x:c r="A1804" s="18" t="str">
        <x:v>tronco</x:v>
      </x:c>
      <x:c r="B1804" s="18" t="str">
        <x:v>kaya</x:v>
      </x:c>
      <x:c r="C1804" s="19" t="n">
        <x:f>IF(B1804="",0,(LEN(B1804)-LEN(SUBSTITUTE(B1804," | ","")))/3+1)</x:f>
        <x:v>1</x:v>
      </x:c>
      <x:c r="D1804" t="str">
        <x:v>t</x:v>
      </x:c>
      <x:c r="E1804" t="str">
        <x:v>https://www.webonary.org/marubo/ga27346be-b8b3-46e0-87e1-d17aae4c88b3/</x:v>
      </x:c>
      <x:c r="F1804" t="str">
        <x:v>g1f418c6b-b57b-468e-a94d-d005f8573b2e</x:v>
      </x:c>
      <x:c r="G1804" s="20" t="n">
        <x:v>46003.93500945602</x:v>
      </x:c>
    </x:row>
    <x:row r="1805">
      <x:c r="A1805" s="18" t="str">
        <x:v>tucandeira</x:v>
      </x:c>
      <x:c r="B1805" s="18" t="str">
        <x:v>vona</x:v>
      </x:c>
      <x:c r="C1805" s="19" t="n">
        <x:f>IF(B1805="",0,(LEN(B1805)-LEN(SUBSTITUTE(B1805," | ","")))/3+1)</x:f>
        <x:v>1</x:v>
      </x:c>
      <x:c r="D1805" t="str">
        <x:v>t</x:v>
      </x:c>
      <x:c r="E1805" t="str">
        <x:v>https://www.webonary.org/marubo/gc0748ca9-487b-425c-882d-574158a18e8d/</x:v>
      </x:c>
      <x:c r="F1805" t="str">
        <x:v>ga6177aec-1a77-468f-b064-ab5bff9a56c3</x:v>
      </x:c>
      <x:c r="G1805" s="20" t="n">
        <x:v>46003.93500945602</x:v>
      </x:c>
    </x:row>
    <x:row r="1806">
      <x:c r="A1806" s="18" t="str">
        <x:v>tucano</x:v>
      </x:c>
      <x:c r="B1806" s="18" t="str">
        <x:v>shoke | 1</x:v>
      </x:c>
      <x:c r="C1806" s="19" t="n">
        <x:f>IF(B1806="",0,(LEN(B1806)-LEN(SUBSTITUTE(B1806," | ","")))/3+1)</x:f>
        <x:v>2</x:v>
      </x:c>
      <x:c r="D1806" t="str">
        <x:v>t</x:v>
      </x:c>
      <x:c r="E1806" t="str">
        <x:v>https://www.webonary.org/marubo/gf9c0f32a-edad-476e-b0b8-834853c75122/</x:v>
      </x:c>
      <x:c r="F1806" t="str">
        <x:v>g789c05c9-ea3e-4bcb-9e65-65be56d70509</x:v>
      </x:c>
      <x:c r="G1806" s="20" t="n">
        <x:v>46003.93502480324</x:v>
      </x:c>
    </x:row>
    <x:row r="1807">
      <x:c r="A1807" s="18" t="str">
        <x:v>tucano de colarinho dourado</x:v>
      </x:c>
      <x:c r="B1807" s="18" t="str">
        <x:v>tãpáshe | 1</x:v>
      </x:c>
      <x:c r="C1807" s="19" t="n">
        <x:f>IF(B1807="",0,(LEN(B1807)-LEN(SUBSTITUTE(B1807," | ","")))/3+1)</x:f>
        <x:v>2</x:v>
      </x:c>
      <x:c r="D1807" t="str">
        <x:v>t</x:v>
      </x:c>
      <x:c r="E1807" t="str">
        <x:v>https://www.webonary.org/marubo/g678c005e-a1dd-494f-9cee-f9085418d31b/</x:v>
      </x:c>
      <x:c r="F1807" t="str">
        <x:v>g543f5d5a-182c-4576-b222-87c903581bec</x:v>
      </x:c>
      <x:c r="G1807" s="20" t="n">
        <x:v>46003.93502480324</x:v>
      </x:c>
    </x:row>
    <x:row r="1808">
      <x:c r="A1808" s="18" t="str">
        <x:v>tucano pequeno</x:v>
      </x:c>
      <x:c r="B1808" s="18" t="str">
        <x:v>oi shoke</x:v>
      </x:c>
      <x:c r="C1808" s="19" t="n">
        <x:f>IF(B1808="",0,(LEN(B1808)-LEN(SUBSTITUTE(B1808," | ","")))/3+1)</x:f>
        <x:v>1</x:v>
      </x:c>
      <x:c r="D1808" t="str">
        <x:v>t</x:v>
      </x:c>
      <x:c r="E1808" t="str">
        <x:v>https://www.webonary.org/marubo/g9505fd19-ea27-4cdc-ad15-359f318690a9/</x:v>
      </x:c>
      <x:c r="F1808" t="str">
        <x:v>gf49e58fe-814a-4496-89dd-847a3da395d1</x:v>
      </x:c>
      <x:c r="G1808" s="20" t="n">
        <x:v>46003.93502480324</x:v>
      </x:c>
    </x:row>
    <x:row r="1809">
      <x:c r="A1809" s="18" t="str">
        <x:v>tucumã</x:v>
      </x:c>
      <x:c r="B1809" s="18" t="str">
        <x:v>pani</x:v>
      </x:c>
      <x:c r="C1809" s="19" t="n">
        <x:f>IF(B1809="",0,(LEN(B1809)-LEN(SUBSTITUTE(B1809," | ","")))/3+1)</x:f>
        <x:v>1</x:v>
      </x:c>
      <x:c r="D1809" t="str">
        <x:v>t</x:v>
      </x:c>
      <x:c r="E1809" t="str">
        <x:v>https://www.webonary.org/marubo/g106cc223-ee6b-45d2-84f6-81009cf148a0/</x:v>
      </x:c>
      <x:c r="F1809" t="str">
        <x:v>g8fec9aec-9e30-4bc2-94b9-0ee550ac85c0</x:v>
      </x:c>
      <x:c r="G1809" s="20" t="n">
        <x:v>46003.93502480324</x:v>
      </x:c>
    </x:row>
    <x:row r="1810">
      <x:c r="A1810" s="18" t="str">
        <x:v>tucumã pequeno</x:v>
      </x:c>
      <x:c r="B1810" s="18" t="str">
        <x:v>chaĩ pani</x:v>
      </x:c>
      <x:c r="C1810" s="19" t="n">
        <x:f>IF(B1810="",0,(LEN(B1810)-LEN(SUBSTITUTE(B1810," | ","")))/3+1)</x:f>
        <x:v>1</x:v>
      </x:c>
      <x:c r="D1810" t="str">
        <x:v>t</x:v>
      </x:c>
      <x:c r="E1810" t="str">
        <x:v>https://www.webonary.org/marubo/g774c8171-5b35-41a7-b4c1-09cd72cd4c26/</x:v>
      </x:c>
      <x:c r="F1810" t="str">
        <x:v>g328b6009-2de0-4b44-b246-e0e7d54fda5c</x:v>
      </x:c>
      <x:c r="G1810" s="20" t="n">
        <x:v>46003.93502480324</x:v>
      </x:c>
    </x:row>
    <x:row r="1811">
      <x:c r="A1811" s="18" t="str">
        <x:v>tudo</x:v>
      </x:c>
      <x:c r="B1811" s="18" t="str">
        <x:v>katsé</x:v>
      </x:c>
      <x:c r="C1811" s="19" t="n">
        <x:f>IF(B1811="",0,(LEN(B1811)-LEN(SUBSTITUTE(B1811," | ","")))/3+1)</x:f>
        <x:v>1</x:v>
      </x:c>
      <x:c r="D1811" t="str">
        <x:v>t</x:v>
      </x:c>
      <x:c r="E1811" t="str">
        <x:v>https://www.webonary.org/marubo/g4c5f7851-014d-4b58-8895-6b5fbad3efab/</x:v>
      </x:c>
      <x:c r="F1811" t="str">
        <x:v>g1866d529-b6e2-4e19-baf2-7392fac2f15a</x:v>
      </x:c>
      <x:c r="G1811" s="20" t="n">
        <x:v>46003.93502480324</x:v>
      </x:c>
    </x:row>
    <x:row r="1812">
      <x:c r="A1812" s="18" t="str">
        <x:v>tumor</x:v>
      </x:c>
      <x:c r="B1812" s="18" t="str">
        <x:v>pochi</x:v>
      </x:c>
      <x:c r="C1812" s="19" t="n">
        <x:f>IF(B1812="",0,(LEN(B1812)-LEN(SUBSTITUTE(B1812," | ","")))/3+1)</x:f>
        <x:v>1</x:v>
      </x:c>
      <x:c r="D1812" t="str">
        <x:v>t</x:v>
      </x:c>
      <x:c r="E1812" t="str">
        <x:v>https://www.webonary.org/marubo/g093d96e1-9197-4cfd-a573-d486ce36596c/</x:v>
      </x:c>
      <x:c r="F1812" t="str">
        <x:v>g4780eac2-8b83-40c7-8e78-61a272d96f96</x:v>
      </x:c>
      <x:c r="G1812" s="20" t="n">
        <x:v>46003.93502480324</x:v>
      </x:c>
    </x:row>
    <x:row r="1813">
      <x:c r="A1813" s="18" t="str">
        <x:v>udu de bico largo</x:v>
      </x:c>
      <x:c r="B1813" s="18" t="str">
        <x:v>oro | 1</x:v>
      </x:c>
      <x:c r="C1813" s="19" t="n">
        <x:f>IF(B1813="",0,(LEN(B1813)-LEN(SUBSTITUTE(B1813," | ","")))/3+1)</x:f>
        <x:v>2</x:v>
      </x:c>
      <x:c r="D1813" t="str">
        <x:v>u</x:v>
      </x:c>
      <x:c r="E1813" t="str">
        <x:v>https://www.webonary.org/marubo/gf8c0501f-0c40-450b-916c-154170e81ff1/</x:v>
      </x:c>
      <x:c r="F1813" t="str">
        <x:v>g216d5554-8c5a-41cc-8dcc-dada6cb6176e</x:v>
      </x:c>
      <x:c r="G1813" s="20" t="n">
        <x:v>46003.93502480324</x:v>
      </x:c>
    </x:row>
    <x:row r="1814">
      <x:c r="A1814" s="18" t="str">
        <x:v>udu de coroa azul</x:v>
      </x:c>
      <x:c r="B1814" s="18" t="str">
        <x:v>shane oro</x:v>
      </x:c>
      <x:c r="C1814" s="19" t="n">
        <x:f>IF(B1814="",0,(LEN(B1814)-LEN(SUBSTITUTE(B1814," | ","")))/3+1)</x:f>
        <x:v>1</x:v>
      </x:c>
      <x:c r="D1814" t="str">
        <x:v>u</x:v>
      </x:c>
      <x:c r="E1814" t="str">
        <x:v>https://www.webonary.org/marubo/g3816a169-f0e0-48c5-8b2f-4b950f8357c1/</x:v>
      </x:c>
      <x:c r="F1814" t="str">
        <x:v>g0701accd-7666-40ba-ac8f-7dd19a8840e5</x:v>
      </x:c>
      <x:c r="G1814" s="20" t="n">
        <x:v>46003.93502480324</x:v>
      </x:c>
    </x:row>
    <x:row r="1815">
      <x:c r="A1815" s="18" t="str">
        <x:v>um</x:v>
      </x:c>
      <x:c r="B1815" s="18" t="str">
        <x:v>westíchta</x:v>
      </x:c>
      <x:c r="C1815" s="19" t="n">
        <x:f>IF(B1815="",0,(LEN(B1815)-LEN(SUBSTITUTE(B1815," | ","")))/3+1)</x:f>
        <x:v>1</x:v>
      </x:c>
      <x:c r="D1815" t="str">
        <x:v>u</x:v>
      </x:c>
      <x:c r="E1815" t="str">
        <x:v>https://www.webonary.org/marubo/g718b26c6-21ae-4289-946c-6078330918b5/</x:v>
      </x:c>
      <x:c r="F1815" t="str">
        <x:v>gab4671ec-e2e8-45cc-99df-572ff68b1492</x:v>
      </x:c>
      <x:c r="G1815" s="20" t="n">
        <x:v>46003.93502480324</x:v>
      </x:c>
    </x:row>
    <x:row r="1816">
      <x:c r="A1816" s="18" t="str">
        <x:v>um tapiri quebrade ou abandonado</x:v>
      </x:c>
      <x:c r="B1816" s="18" t="str">
        <x:v>país ipá</x:v>
      </x:c>
      <x:c r="C1816" s="19" t="n">
        <x:f>IF(B1816="",0,(LEN(B1816)-LEN(SUBSTITUTE(B1816," | ","")))/3+1)</x:f>
        <x:v>1</x:v>
      </x:c>
      <x:c r="D1816" t="str">
        <x:v>u</x:v>
      </x:c>
      <x:c r="E1816" t="str">
        <x:v>https://www.webonary.org/marubo/g034a2c18-85b9-4da0-bf07-0384de2ac0d6/</x:v>
      </x:c>
      <x:c r="F1816" t="str">
        <x:v>gd0393a7e-596a-4664-90ee-886bbe10fe53</x:v>
      </x:c>
      <x:c r="G1816" s="20" t="n">
        <x:v>46003.93502480324</x:v>
      </x:c>
    </x:row>
    <x:row r="1817">
      <x:c r="A1817" s="18" t="str">
        <x:v>um tipo de tucumã</x:v>
      </x:c>
      <x:c r="B1817" s="18" t="str">
        <x:v>chaĩ wati</x:v>
      </x:c>
      <x:c r="C1817" s="19" t="n">
        <x:f>IF(B1817="",0,(LEN(B1817)-LEN(SUBSTITUTE(B1817," | ","")))/3+1)</x:f>
        <x:v>1</x:v>
      </x:c>
      <x:c r="D1817" t="str">
        <x:v>u</x:v>
      </x:c>
      <x:c r="E1817" t="str">
        <x:v>https://www.webonary.org/marubo/g61206118-3de0-4898-ae8e-7ad0b3bbe261/</x:v>
      </x:c>
      <x:c r="F1817" t="str">
        <x:v>g2313d599-4017-4f0b-af5e-54cdca5c2ed2</x:v>
      </x:c>
      <x:c r="G1817" s="20" t="n">
        <x:v>46003.93502480324</x:v>
      </x:c>
    </x:row>
    <x:row r="1818">
      <x:c r="A1818" s="18" t="str">
        <x:v>uma larva pequena</x:v>
      </x:c>
      <x:c r="B1818" s="18" t="str">
        <x:v>tano txõte</x:v>
      </x:c>
      <x:c r="C1818" s="19" t="n">
        <x:f>IF(B1818="",0,(LEN(B1818)-LEN(SUBSTITUTE(B1818," | ","")))/3+1)</x:f>
        <x:v>1</x:v>
      </x:c>
      <x:c r="D1818" t="str">
        <x:v>u</x:v>
      </x:c>
      <x:c r="E1818" t="str">
        <x:v>https://www.webonary.org/marubo/g94a5f9f4-4b7c-4911-9966-6785336573d5/</x:v>
      </x:c>
      <x:c r="F1818" t="str">
        <x:v>g619eb5fd-74a4-45f3-b4f1-410f86affa68</x:v>
      </x:c>
      <x:c r="G1818" s="20" t="n">
        <x:v>46003.93502480324</x:v>
      </x:c>
    </x:row>
    <x:row r="1819">
      <x:c r="A1819" s="18" t="str">
        <x:v>uma linha ou miçaga amarrado em volta da cintura</x:v>
      </x:c>
      <x:c r="B1819" s="18" t="str">
        <x:v>txõpi</x:v>
      </x:c>
      <x:c r="C1819" s="19" t="n">
        <x:f>IF(B1819="",0,(LEN(B1819)-LEN(SUBSTITUTE(B1819," | ","")))/3+1)</x:f>
        <x:v>1</x:v>
      </x:c>
      <x:c r="D1819" t="str">
        <x:v>u</x:v>
      </x:c>
      <x:c r="E1819" t="str">
        <x:v>https://www.webonary.org/marubo/g2617e9e6-422a-4f50-b7c6-e745ca041fc1/</x:v>
      </x:c>
      <x:c r="F1819" t="str">
        <x:v>gdd4dd9b5-2046-4a02-9eac-ec8119aed215</x:v>
      </x:c>
      <x:c r="G1819" s="20" t="n">
        <x:v>46003.93502480324</x:v>
      </x:c>
    </x:row>
    <x:row r="1820">
      <x:c r="A1820" s="18" t="str">
        <x:v>uma pedra para triturar coisas (ossos)</x:v>
      </x:c>
      <x:c r="B1820" s="18" t="str">
        <x:v>posti | 1</x:v>
      </x:c>
      <x:c r="C1820" s="19" t="n">
        <x:f>IF(B1820="",0,(LEN(B1820)-LEN(SUBSTITUTE(B1820," | ","")))/3+1)</x:f>
        <x:v>2</x:v>
      </x:c>
      <x:c r="D1820" t="str">
        <x:v>u</x:v>
      </x:c>
      <x:c r="E1820" t="str">
        <x:v>https://www.webonary.org/marubo/g4c7167a8-a4d4-4e3c-89a2-d6dd84871fe5/</x:v>
      </x:c>
      <x:c r="F1820" t="str">
        <x:v>gbdb3a770-8e66-4bad-8193-15e4c9ec6e32</x:v>
      </x:c>
      <x:c r="G1820" s="20" t="n">
        <x:v>46003.93502480324</x:v>
      </x:c>
    </x:row>
    <x:row r="1821">
      <x:c r="A1821" s="18" t="str">
        <x:v>uma senhora velha</x:v>
      </x:c>
      <x:c r="B1821" s="18" t="str">
        <x:v>yõsha</x:v>
      </x:c>
      <x:c r="C1821" s="19" t="n">
        <x:f>IF(B1821="",0,(LEN(B1821)-LEN(SUBSTITUTE(B1821," | ","")))/3+1)</x:f>
        <x:v>1</x:v>
      </x:c>
      <x:c r="D1821" t="str">
        <x:v>u</x:v>
      </x:c>
      <x:c r="E1821" t="str">
        <x:v>https://www.webonary.org/marubo/g2a34c8c8-80bc-4d6b-b914-16d7cc7472d5/</x:v>
      </x:c>
      <x:c r="F1821" t="str">
        <x:v>g168f22f4-a979-4292-bda5-fa4c4a9c2506</x:v>
      </x:c>
      <x:c r="G1821" s="20" t="n">
        <x:v>46003.93502480324</x:v>
      </x:c>
    </x:row>
    <x:row r="1822">
      <x:c r="A1822" s="18" t="str">
        <x:v>umbigo</x:v>
      </x:c>
      <x:c r="B1822" s="18" t="str">
        <x:v>tõpi</x:v>
      </x:c>
      <x:c r="C1822" s="19" t="n">
        <x:f>IF(B1822="",0,(LEN(B1822)-LEN(SUBSTITUTE(B1822," | ","")))/3+1)</x:f>
        <x:v>1</x:v>
      </x:c>
      <x:c r="D1822" t="str">
        <x:v>u</x:v>
      </x:c>
      <x:c r="E1822" t="str">
        <x:v>https://www.webonary.org/marubo/gb7153d6b-5a10-493b-836c-d5dff10b7cbc/</x:v>
      </x:c>
      <x:c r="F1822" t="str">
        <x:v>gb4f718ae-fd6f-4461-a758-9983773b79e0</x:v>
      </x:c>
      <x:c r="G1822" s="20" t="n">
        <x:v>46003.93502480324</x:v>
      </x:c>
    </x:row>
    <x:row r="1823">
      <x:c r="A1823" s="18" t="str">
        <x:v>unha</x:v>
      </x:c>
      <x:c r="B1823" s="18" t="str">
        <x:v>mẽtsísi</x:v>
      </x:c>
      <x:c r="C1823" s="19" t="n">
        <x:f>IF(B1823="",0,(LEN(B1823)-LEN(SUBSTITUTE(B1823," | ","")))/3+1)</x:f>
        <x:v>1</x:v>
      </x:c>
      <x:c r="D1823" t="str">
        <x:v>u</x:v>
      </x:c>
      <x:c r="E1823" t="str">
        <x:v>https://www.webonary.org/marubo/g83d8528f-5a6c-4bfb-b064-704925aaa831/</x:v>
      </x:c>
      <x:c r="F1823" t="str">
        <x:v>gb9f6aa1c-3d26-411d-99bf-658c11159308</x:v>
      </x:c>
      <x:c r="G1823" s="20" t="n">
        <x:v>46003.93502480324</x:v>
      </x:c>
    </x:row>
    <x:row r="1824">
      <x:c r="A1824" s="18" t="str">
        <x:v>urina</x:v>
      </x:c>
      <x:c r="B1824" s="18" t="str">
        <x:v>isõ</x:v>
      </x:c>
      <x:c r="C1824" s="19" t="n">
        <x:f>IF(B1824="",0,(LEN(B1824)-LEN(SUBSTITUTE(B1824," | ","")))/3+1)</x:f>
        <x:v>1</x:v>
      </x:c>
      <x:c r="D1824" t="str">
        <x:v>u</x:v>
      </x:c>
      <x:c r="E1824" t="str">
        <x:v>https://www.webonary.org/marubo/g7d2b9d02-f566-4653-a6fa-0d8b012a6cb4/</x:v>
      </x:c>
      <x:c r="F1824" t="str">
        <x:v>gc6c44e7c-2bc4-4f19-8959-958d068604f6</x:v>
      </x:c>
      <x:c r="G1824" s="20" t="n">
        <x:v>46003.93502480324</x:v>
      </x:c>
    </x:row>
    <x:row r="1825">
      <x:c r="A1825" s="18" t="str">
        <x:v>urinar</x:v>
      </x:c>
      <x:c r="B1825" s="18" t="str">
        <x:v>isõa | 1</x:v>
      </x:c>
      <x:c r="C1825" s="19" t="n">
        <x:f>IF(B1825="",0,(LEN(B1825)-LEN(SUBSTITUTE(B1825," | ","")))/3+1)</x:f>
        <x:v>2</x:v>
      </x:c>
      <x:c r="D1825" t="str">
        <x:v>u</x:v>
      </x:c>
      <x:c r="E1825" t="str">
        <x:v>https://www.webonary.org/marubo/g2aee292c-7de9-4163-8619-bc4694ac2d64/</x:v>
      </x:c>
      <x:c r="F1825" t="str">
        <x:v>gebed5da3-97a7-4232-bb5f-ac23b162f8cd</x:v>
      </x:c>
      <x:c r="G1825" s="20" t="n">
        <x:v>46003.93502480324</x:v>
      </x:c>
    </x:row>
    <x:row r="1826">
      <x:c r="A1826" s="18" t="str">
        <x:v>urtiga</x:v>
      </x:c>
      <x:c r="B1826" s="18" t="str">
        <x:v>vakíse</x:v>
      </x:c>
      <x:c r="C1826" s="19" t="n">
        <x:f>IF(B1826="",0,(LEN(B1826)-LEN(SUBSTITUTE(B1826," | ","")))/3+1)</x:f>
        <x:v>1</x:v>
      </x:c>
      <x:c r="D1826" t="str">
        <x:v>u</x:v>
      </x:c>
      <x:c r="E1826" t="str">
        <x:v>https://www.webonary.org/marubo/g9adbdf4f-c18d-494a-97cf-ac3df27c952e/</x:v>
      </x:c>
      <x:c r="F1826" t="str">
        <x:v>g1e2e3c4a-6d85-42be-8ede-735ee406af24</x:v>
      </x:c>
      <x:c r="G1826" s="20" t="n">
        <x:v>46003.93502480324</x:v>
      </x:c>
    </x:row>
    <x:row r="1827">
      <x:c r="A1827" s="18" t="str">
        <x:v>urubu</x:v>
      </x:c>
      <x:c r="B1827" s="18" t="str">
        <x:v>shete</x:v>
      </x:c>
      <x:c r="C1827" s="19" t="n">
        <x:f>IF(B1827="",0,(LEN(B1827)-LEN(SUBSTITUTE(B1827," | ","")))/3+1)</x:f>
        <x:v>1</x:v>
      </x:c>
      <x:c r="D1827" t="str">
        <x:v>u</x:v>
      </x:c>
      <x:c r="E1827" t="str">
        <x:v>https://www.webonary.org/marubo/g426f21ea-0113-45d1-869a-1320e1219a0f/</x:v>
      </x:c>
      <x:c r="F1827" t="str">
        <x:v>g419db58b-9df8-4453-a0ca-a68c68e9aa9f</x:v>
      </x:c>
      <x:c r="G1827" s="20" t="n">
        <x:v>46003.93502480324</x:v>
      </x:c>
    </x:row>
    <x:row r="1828">
      <x:c r="A1828" s="18" t="str">
        <x:v>usado para objeto que não permanece reto quando é colocado</x:v>
      </x:c>
      <x:c r="B1828" s="18" t="str">
        <x:v>tsismõka</x:v>
      </x:c>
      <x:c r="C1828" s="19" t="n">
        <x:f>IF(B1828="",0,(LEN(B1828)-LEN(SUBSTITUTE(B1828," | ","")))/3+1)</x:f>
        <x:v>1</x:v>
      </x:c>
      <x:c r="D1828" t="str">
        <x:v>u</x:v>
      </x:c>
      <x:c r="E1828" t="str">
        <x:v>https://www.webonary.org/marubo/gbcda5b75-f21f-4575-ad17-f85949ddab54/</x:v>
      </x:c>
      <x:c r="F1828" t="str">
        <x:v>g72d15d7e-76a9-4242-9246-ef0403533e05</x:v>
      </x:c>
      <x:c r="G1828" s="20" t="n">
        <x:v>46003.93502480324</x:v>
      </x:c>
    </x:row>
    <x:row r="1829">
      <x:c r="A1829" s="18" t="str">
        <x:v>usado quando está com medo</x:v>
      </x:c>
      <x:c r="B1829" s="18" t="str">
        <x:v>txó</x:v>
      </x:c>
      <x:c r="C1829" s="19" t="n">
        <x:f>IF(B1829="",0,(LEN(B1829)-LEN(SUBSTITUTE(B1829," | ","")))/3+1)</x:f>
        <x:v>1</x:v>
      </x:c>
      <x:c r="D1829" t="str">
        <x:v>u</x:v>
      </x:c>
      <x:c r="E1829" t="str">
        <x:v>https://www.webonary.org/marubo/g243136c0-2c3d-4625-a84f-e57fc48152ea/</x:v>
      </x:c>
      <x:c r="F1829" t="str">
        <x:v>g441b2dbf-f2f4-4159-9d89-a7d41a53e6c9</x:v>
      </x:c>
      <x:c r="G1829" s="20" t="n">
        <x:v>46003.93502480324</x:v>
      </x:c>
    </x:row>
    <x:row r="1830">
      <x:c r="A1830" s="18" t="str">
        <x:v>usar</x:v>
      </x:c>
      <x:c r="B1830" s="18" t="str">
        <x:v>imamtsãwã</x:v>
      </x:c>
      <x:c r="C1830" s="19" t="n">
        <x:f>IF(B1830="",0,(LEN(B1830)-LEN(SUBSTITUTE(B1830," | ","")))/3+1)</x:f>
        <x:v>1</x:v>
      </x:c>
      <x:c r="D1830" t="str">
        <x:v>u</x:v>
      </x:c>
      <x:c r="E1830" t="str">
        <x:v>https://www.webonary.org/marubo/gbb79fe2d-d208-4b04-839c-882f372369a8/</x:v>
      </x:c>
      <x:c r="F1830" t="str">
        <x:v>gc1e396ea-9da8-4dc4-9294-11ade4a7232e</x:v>
      </x:c>
      <x:c r="G1830" s="20" t="n">
        <x:v>46003.93502480324</x:v>
      </x:c>
    </x:row>
    <x:row r="1831">
      <x:c r="A1831" s="18" t="str">
        <x:v>vale</x:v>
      </x:c>
      <x:c r="B1831" s="18" t="str">
        <x:v>nãpi</x:v>
      </x:c>
      <x:c r="C1831" s="19" t="n">
        <x:f>IF(B1831="",0,(LEN(B1831)-LEN(SUBSTITUTE(B1831," | ","")))/3+1)</x:f>
        <x:v>1</x:v>
      </x:c>
      <x:c r="D1831" t="str">
        <x:v>v</x:v>
      </x:c>
      <x:c r="E1831" t="str">
        <x:v>https://www.webonary.org/marubo/gcde81885-37f2-4135-b326-b9cba4c66931/</x:v>
      </x:c>
      <x:c r="F1831" t="str">
        <x:v>g5c1ef6be-df42-4de8-b39d-55f581014329</x:v>
      </x:c>
      <x:c r="G1831" s="20" t="n">
        <x:v>46003.93502480324</x:v>
      </x:c>
    </x:row>
    <x:row r="1832">
      <x:c r="A1832" s="18" t="str">
        <x:v>vara</x:v>
      </x:c>
      <x:c r="B1832" s="18" t="str">
        <x:v>txĩti</x:v>
      </x:c>
      <x:c r="C1832" s="19" t="n">
        <x:f>IF(B1832="",0,(LEN(B1832)-LEN(SUBSTITUTE(B1832," | ","")))/3+1)</x:f>
        <x:v>1</x:v>
      </x:c>
      <x:c r="D1832" t="str">
        <x:v>v</x:v>
      </x:c>
      <x:c r="E1832" t="str">
        <x:v>https://www.webonary.org/marubo/ga8410985-2936-45ef-9c13-8c6274a959b7/</x:v>
      </x:c>
      <x:c r="F1832" t="str">
        <x:v>gf061a8d3-d699-4dbf-900d-d542e9a322e5</x:v>
      </x:c>
      <x:c r="G1832" s="20" t="n">
        <x:v>46003.93502480324</x:v>
      </x:c>
    </x:row>
    <x:row r="1833">
      <x:c r="A1833" s="18" t="str">
        <x:v>variação de ichã aká</x:v>
      </x:c>
      <x:c r="B1833" s="18" t="str">
        <x:v>ichá aká</x:v>
      </x:c>
      <x:c r="C1833" s="19" t="n">
        <x:f>IF(B1833="",0,(LEN(B1833)-LEN(SUBSTITUTE(B1833," | ","")))/3+1)</x:f>
        <x:v>1</x:v>
      </x:c>
      <x:c r="D1833" t="str">
        <x:v>v</x:v>
      </x:c>
      <x:c r="E1833" t="str">
        <x:v>https://www.webonary.org/marubo/g585d53d2-d468-4264-8e45-4c2ac57378af/</x:v>
      </x:c>
      <x:c r="F1833" t="str">
        <x:v>g30528a8f-1cd0-4de9-b937-bc5bbd210d06</x:v>
      </x:c>
      <x:c r="G1833" s="20" t="n">
        <x:v>46003.93502480324</x:v>
      </x:c>
    </x:row>
    <x:row r="1834">
      <x:c r="A1834" s="18" t="str">
        <x:v>variado</x:v>
      </x:c>
      <x:c r="B1834" s="18" t="str">
        <x:v>õsiõsipá</x:v>
      </x:c>
      <x:c r="C1834" s="19" t="n">
        <x:f>IF(B1834="",0,(LEN(B1834)-LEN(SUBSTITUTE(B1834," | ","")))/3+1)</x:f>
        <x:v>1</x:v>
      </x:c>
      <x:c r="D1834" t="str">
        <x:v>v</x:v>
      </x:c>
      <x:c r="E1834" t="str">
        <x:v>https://www.webonary.org/marubo/g635071a9-4d35-4bb9-8c19-8c8e7a30451c/</x:v>
      </x:c>
      <x:c r="F1834" t="str">
        <x:v>g3b099b3a-2bb2-4be0-95ac-1e16afeb6960</x:v>
      </x:c>
      <x:c r="G1834" s="20" t="n">
        <x:v>46003.93502480324</x:v>
      </x:c>
    </x:row>
    <x:row r="1835">
      <x:c r="A1835" s="18" t="str">
        <x:v>varrer</x:v>
      </x:c>
      <x:c r="B1835" s="18" t="str">
        <x:v>matsóa</x:v>
      </x:c>
      <x:c r="C1835" s="19" t="n">
        <x:f>IF(B1835="",0,(LEN(B1835)-LEN(SUBSTITUTE(B1835," | ","")))/3+1)</x:f>
        <x:v>1</x:v>
      </x:c>
      <x:c r="D1835" t="str">
        <x:v>v</x:v>
      </x:c>
      <x:c r="E1835" t="str">
        <x:v>https://www.webonary.org/marubo/gb0d78409-2f99-401e-b9b4-5ce5483d72ae/</x:v>
      </x:c>
      <x:c r="F1835" t="str">
        <x:v>g8f484436-8b77-43e0-b6a1-6913a73b1ee8</x:v>
      </x:c>
      <x:c r="G1835" s="20" t="n">
        <x:v>46003.93502480324</x:v>
      </x:c>
    </x:row>
    <x:row r="1836">
      <x:c r="A1836" s="18" t="str">
        <x:v>vaso de barro</x:v>
      </x:c>
      <x:c r="B1836" s="18" t="str">
        <x:v>yoá</x:v>
      </x:c>
      <x:c r="C1836" s="19" t="n">
        <x:f>IF(B1836="",0,(LEN(B1836)-LEN(SUBSTITUTE(B1836," | ","")))/3+1)</x:f>
        <x:v>1</x:v>
      </x:c>
      <x:c r="D1836" t="str">
        <x:v>v</x:v>
      </x:c>
      <x:c r="E1836" t="str">
        <x:v>https://www.webonary.org/marubo/g93220b4f-9c9f-4e3c-877e-979af806ea12/</x:v>
      </x:c>
      <x:c r="F1836" t="str">
        <x:v>g96cd3a73-d2c4-4de5-b73c-5821c7086938</x:v>
      </x:c>
      <x:c r="G1836" s="20" t="n">
        <x:v>46003.93502480324</x:v>
      </x:c>
    </x:row>
    <x:row r="1837">
      <x:c r="A1837" s="18" t="str">
        <x:v>vassoura</x:v>
      </x:c>
      <x:c r="B1837" s="18" t="str">
        <x:v>matsoti</x:v>
      </x:c>
      <x:c r="C1837" s="19" t="n">
        <x:f>IF(B1837="",0,(LEN(B1837)-LEN(SUBSTITUTE(B1837," | ","")))/3+1)</x:f>
        <x:v>1</x:v>
      </x:c>
      <x:c r="D1837" t="str">
        <x:v>v</x:v>
      </x:c>
      <x:c r="E1837" t="str">
        <x:v>https://www.webonary.org/marubo/g1de56947-970d-41e7-9381-3c9172fe0e1b/</x:v>
      </x:c>
      <x:c r="F1837" t="str">
        <x:v>g3398d1a7-b3aa-4118-996e-094ca877b30b</x:v>
      </x:c>
      <x:c r="G1837" s="20" t="n">
        <x:v>46003.93502480324</x:v>
      </x:c>
    </x:row>
    <x:row r="1838">
      <x:c r="A1838" s="18" t="str">
        <x:v>vazar</x:v>
      </x:c>
      <x:c r="B1838" s="18" t="str">
        <x:v>-tsooa</x:v>
      </x:c>
      <x:c r="C1838" s="19" t="n">
        <x:f>IF(B1838="",0,(LEN(B1838)-LEN(SUBSTITUTE(B1838," | ","")))/3+1)</x:f>
        <x:v>1</x:v>
      </x:c>
      <x:c r="D1838" t="str">
        <x:v>v</x:v>
      </x:c>
      <x:c r="E1838" t="str">
        <x:v>https://www.webonary.org/marubo/g8b44d880-eb2a-41a2-86d8-3f75deffba1e/</x:v>
      </x:c>
      <x:c r="F1838" t="str">
        <x:v>gd1229962-8579-457e-8e7e-0955349948f7</x:v>
      </x:c>
      <x:c r="G1838" s="20" t="n">
        <x:v>46003.93502480324</x:v>
      </x:c>
    </x:row>
    <x:row r="1839">
      <x:c r="A1839" s="18" t="str">
        <x:v>vazio</x:v>
      </x:c>
      <x:c r="B1839" s="18" t="str">
        <x:v>shakaka</x:v>
      </x:c>
      <x:c r="C1839" s="19" t="n">
        <x:f>IF(B1839="",0,(LEN(B1839)-LEN(SUBSTITUTE(B1839," | ","")))/3+1)</x:f>
        <x:v>1</x:v>
      </x:c>
      <x:c r="D1839" t="str">
        <x:v>v</x:v>
      </x:c>
      <x:c r="E1839" t="str">
        <x:v>https://www.webonary.org/marubo/g1e449857-79ae-45a0-bbc4-d432f3a78316/</x:v>
      </x:c>
      <x:c r="F1839" t="str">
        <x:v>g116bf7ef-1a44-4e25-af34-6cfb2ebc1936</x:v>
      </x:c>
      <x:c r="G1839" s="20" t="n">
        <x:v>46003.93502480324</x:v>
      </x:c>
    </x:row>
    <x:row r="1840">
      <x:c r="A1840" s="18" t="str">
        <x:v>veado</x:v>
      </x:c>
      <x:c r="B1840" s="18" t="str">
        <x:v>txasho | 1</x:v>
      </x:c>
      <x:c r="C1840" s="19" t="n">
        <x:f>IF(B1840="",0,(LEN(B1840)-LEN(SUBSTITUTE(B1840," | ","")))/3+1)</x:f>
        <x:v>2</x:v>
      </x:c>
      <x:c r="D1840" t="str">
        <x:v>v</x:v>
      </x:c>
      <x:c r="E1840" t="str">
        <x:v>https://www.webonary.org/marubo/g900ad477-9ae4-4880-a8ce-828c124d99ac/</x:v>
      </x:c>
      <x:c r="F1840" t="str">
        <x:v>g37027d9b-e793-4f12-83f2-8db092e6a11f</x:v>
      </x:c>
      <x:c r="G1840" s="20" t="n">
        <x:v>46003.93502480324</x:v>
      </x:c>
    </x:row>
    <x:row r="1841">
      <x:c r="A1841" s="18" t="str">
        <x:v>veia</x:v>
      </x:c>
      <x:c r="B1841" s="18" t="str">
        <x:v>pono</x:v>
      </x:c>
      <x:c r="C1841" s="19" t="n">
        <x:f>IF(B1841="",0,(LEN(B1841)-LEN(SUBSTITUTE(B1841," | ","")))/3+1)</x:f>
        <x:v>1</x:v>
      </x:c>
      <x:c r="D1841" t="str">
        <x:v>v</x:v>
      </x:c>
      <x:c r="E1841" t="str">
        <x:v>https://www.webonary.org/marubo/g3ab5f6f4-542d-463c-b40b-da58cd66a466/</x:v>
      </x:c>
      <x:c r="F1841" t="str">
        <x:v>gd15a9263-5439-4c20-af70-8e674e7e84cf</x:v>
      </x:c>
      <x:c r="G1841" s="20" t="n">
        <x:v>46003.93502480324</x:v>
      </x:c>
    </x:row>
    <x:row r="1842">
      <x:c r="A1842" s="18" t="str">
        <x:v>vela</x:v>
      </x:c>
      <x:c r="B1842" s="18" t="str">
        <x:v>amo shãko</x:v>
      </x:c>
      <x:c r="C1842" s="19" t="n">
        <x:f>IF(B1842="",0,(LEN(B1842)-LEN(SUBSTITUTE(B1842," | ","")))/3+1)</x:f>
        <x:v>1</x:v>
      </x:c>
      <x:c r="D1842" t="str">
        <x:v>v</x:v>
      </x:c>
      <x:c r="E1842" t="str">
        <x:v>https://www.webonary.org/marubo/gfcb428cc-728b-42d8-b4a1-022355d3e131/</x:v>
      </x:c>
      <x:c r="F1842" t="str">
        <x:v>geb5dcd80-4f17-45d8-bbcc-db84f50e3bac</x:v>
      </x:c>
      <x:c r="G1842" s="20" t="n">
        <x:v>46003.93502480324</x:v>
      </x:c>
    </x:row>
    <x:row r="1843">
      <x:c r="A1843" s="18" t="str">
        <x:v>vela\luz</x:v>
      </x:c>
      <x:c r="B1843" s="18" t="str">
        <x:v>nake</x:v>
      </x:c>
      <x:c r="C1843" s="19" t="n">
        <x:f>IF(B1843="",0,(LEN(B1843)-LEN(SUBSTITUTE(B1843," | ","")))/3+1)</x:f>
        <x:v>1</x:v>
      </x:c>
      <x:c r="D1843" t="str">
        <x:v>v</x:v>
      </x:c>
      <x:c r="E1843" t="str">
        <x:v>https://www.webonary.org/marubo/g6e6fc4a6-a832-49ca-85fd-06903c830647/</x:v>
      </x:c>
      <x:c r="F1843" t="str">
        <x:v>g64a5a9b4-f4d2-4c98-b77b-2894ed00fe5d</x:v>
      </x:c>
      <x:c r="G1843" s="20" t="n">
        <x:v>46003.93502480324</x:v>
      </x:c>
    </x:row>
    <x:row r="1844">
      <x:c r="A1844" s="18" t="str">
        <x:v>velho</x:v>
      </x:c>
      <x:c r="B1844" s="18" t="str">
        <x:v>sheni wetsa | sheni</x:v>
      </x:c>
      <x:c r="C1844" s="19" t="n">
        <x:f>IF(B1844="",0,(LEN(B1844)-LEN(SUBSTITUTE(B1844," | ","")))/3+1)</x:f>
        <x:v>2</x:v>
      </x:c>
      <x:c r="D1844" t="str">
        <x:v>v</x:v>
      </x:c>
      <x:c r="E1844" t="str">
        <x:v>https://www.webonary.org/marubo/g5b2c70a1-9da4-456f-ae6d-995c202bd89f/</x:v>
      </x:c>
      <x:c r="F1844" t="str">
        <x:v>g3baaf12a-cd0a-4f0c-89b8-94724f4620f7</x:v>
      </x:c>
      <x:c r="G1844" s="20" t="n">
        <x:v>46003.93502480324</x:v>
      </x:c>
    </x:row>
    <x:row r="1845">
      <x:c r="A1845" s="18" t="str">
        <x:v>ventilador</x:v>
      </x:c>
      <x:c r="B1845" s="18" t="str">
        <x:v>niskã weati</x:v>
      </x:c>
      <x:c r="C1845" s="19" t="n">
        <x:f>IF(B1845="",0,(LEN(B1845)-LEN(SUBSTITUTE(B1845," | ","")))/3+1)</x:f>
        <x:v>1</x:v>
      </x:c>
      <x:c r="D1845" t="str">
        <x:v>v</x:v>
      </x:c>
      <x:c r="E1845" t="str">
        <x:v>https://www.webonary.org/marubo/gb88f2e20-f42c-41f7-8362-3cd028c94141/</x:v>
      </x:c>
      <x:c r="F1845" t="str">
        <x:v>g5b8e7f7e-aa5d-479b-b770-7670de272bdb</x:v>
      </x:c>
      <x:c r="G1845" s="20" t="n">
        <x:v>46003.93502480324</x:v>
      </x:c>
    </x:row>
    <x:row r="1846">
      <x:c r="A1846" s="18" t="str">
        <x:v>vento</x:v>
      </x:c>
      <x:c r="B1846" s="18" t="str">
        <x:v>shovi ikí | wee</x:v>
      </x:c>
      <x:c r="C1846" s="19" t="n">
        <x:f>IF(B1846="",0,(LEN(B1846)-LEN(SUBSTITUTE(B1846," | ","")))/3+1)</x:f>
        <x:v>2</x:v>
      </x:c>
      <x:c r="D1846" t="str">
        <x:v>v</x:v>
      </x:c>
      <x:c r="E1846" t="str">
        <x:v>https://www.webonary.org/marubo/g26a4899d-10d8-4a18-9c45-e41349637691/</x:v>
      </x:c>
      <x:c r="F1846" t="str">
        <x:v>gef4b27dd-5080-49a7-adec-c047895738d0</x:v>
      </x:c>
      <x:c r="G1846" s="20" t="n">
        <x:v>46003.93502480324</x:v>
      </x:c>
    </x:row>
    <x:row r="1847">
      <x:c r="A1847" s="18" t="str">
        <x:v>ver</x:v>
      </x:c>
      <x:c r="B1847" s="18" t="str">
        <x:v>oĩa</x:v>
      </x:c>
      <x:c r="C1847" s="19" t="n">
        <x:f>IF(B1847="",0,(LEN(B1847)-LEN(SUBSTITUTE(B1847," | ","")))/3+1)</x:f>
        <x:v>1</x:v>
      </x:c>
      <x:c r="D1847" t="str">
        <x:v>v</x:v>
      </x:c>
      <x:c r="E1847" t="str">
        <x:v>https://www.webonary.org/marubo/g46f66d90-6c1a-4aab-8170-96e8992bce95/</x:v>
      </x:c>
      <x:c r="F1847" t="str">
        <x:v>g3523d2f2-b77e-4562-b1d4-87ab803d6ff4</x:v>
      </x:c>
      <x:c r="G1847" s="20" t="n">
        <x:v>46003.93502480324</x:v>
      </x:c>
    </x:row>
    <x:row r="1848">
      <x:c r="A1848" s="18" t="str">
        <x:v>VER</x:v>
      </x:c>
      <x:c r="B1848" s="18" t="str">
        <x:v>-koĩ | 2</x:v>
      </x:c>
      <x:c r="C1848" s="19" t="n">
        <x:f>IF(B1848="",0,(LEN(B1848)-LEN(SUBSTITUTE(B1848," | ","")))/3+1)</x:f>
        <x:v>2</x:v>
      </x:c>
      <x:c r="D1848" t="str">
        <x:v>v</x:v>
      </x:c>
      <x:c r="E1848" t="str">
        <x:v>https://www.webonary.org/marubo/g42291073-35ac-42ce-8b1a-4e213cec7ba0/</x:v>
      </x:c>
      <x:c r="F1848" t="str">
        <x:v>gee0a23eb-845b-448a-99ef-370cdb26c41e</x:v>
      </x:c>
      <x:c r="G1848" s="20" t="n">
        <x:v>46003.93502480324</x:v>
      </x:c>
    </x:row>
    <x:row r="1849">
      <x:c r="A1849" s="18" t="str">
        <x:v>verdadeiro</x:v>
      </x:c>
      <x:c r="B1849" s="18" t="str">
        <x:v>-koĩ | 1</x:v>
      </x:c>
      <x:c r="C1849" s="19" t="n">
        <x:f>IF(B1849="",0,(LEN(B1849)-LEN(SUBSTITUTE(B1849," | ","")))/3+1)</x:f>
        <x:v>2</x:v>
      </x:c>
      <x:c r="D1849" t="str">
        <x:v>v</x:v>
      </x:c>
      <x:c r="E1849" t="str">
        <x:v>https://www.webonary.org/marubo/gbce05f9a-ff95-4327-ac9d-f3ea690c38e7/</x:v>
      </x:c>
      <x:c r="F1849" t="str">
        <x:v>gf2122063-0d99-4401-9a9d-d15a20e015f4</x:v>
      </x:c>
      <x:c r="G1849" s="20" t="n">
        <x:v>46003.93502480324</x:v>
      </x:c>
    </x:row>
    <x:row r="1850">
      <x:c r="A1850" s="18" t="str">
        <x:v>verde</x:v>
      </x:c>
      <x:c r="B1850" s="18" t="str">
        <x:v>shaneka</x:v>
      </x:c>
      <x:c r="C1850" s="19" t="n">
        <x:f>IF(B1850="",0,(LEN(B1850)-LEN(SUBSTITUTE(B1850," | ","")))/3+1)</x:f>
        <x:v>1</x:v>
      </x:c>
      <x:c r="D1850" t="str">
        <x:v>v</x:v>
      </x:c>
      <x:c r="E1850" t="str">
        <x:v>https://www.webonary.org/marubo/g3fa1f007-18c3-484e-bf74-61d865397f41/</x:v>
      </x:c>
      <x:c r="F1850" t="str">
        <x:v>g980e539f-069c-4011-9c5c-7a97d8d46e42</x:v>
      </x:c>
      <x:c r="G1850" s="20" t="n">
        <x:v>46003.93502480324</x:v>
      </x:c>
    </x:row>
    <x:row r="1851">
      <x:c r="A1851" s="18" t="str">
        <x:v>verme</x:v>
      </x:c>
      <x:c r="B1851" s="18" t="str">
        <x:v>noĩ</x:v>
      </x:c>
      <x:c r="C1851" s="19" t="n">
        <x:f>IF(B1851="",0,(LEN(B1851)-LEN(SUBSTITUTE(B1851," | ","")))/3+1)</x:f>
        <x:v>1</x:v>
      </x:c>
      <x:c r="D1851" t="str">
        <x:v>v</x:v>
      </x:c>
      <x:c r="E1851" t="str">
        <x:v>https://www.webonary.org/marubo/g1aa03572-d849-4ff5-8663-7f3ad7b6e5aa/</x:v>
      </x:c>
      <x:c r="F1851" t="str">
        <x:v>g0c8bb60a-aabf-4340-8a45-b3dcb348ec64</x:v>
      </x:c>
      <x:c r="G1851" s="20" t="n">
        <x:v>46003.93502480324</x:v>
      </x:c>
    </x:row>
    <x:row r="1852">
      <x:c r="A1852" s="18" t="str">
        <x:v>verme que acha nas fezes</x:v>
      </x:c>
      <x:c r="B1852" s="18" t="str">
        <x:v>txẽshẽ́</x:v>
      </x:c>
      <x:c r="C1852" s="19" t="n">
        <x:f>IF(B1852="",0,(LEN(B1852)-LEN(SUBSTITUTE(B1852," | ","")))/3+1)</x:f>
        <x:v>1</x:v>
      </x:c>
      <x:c r="D1852" t="str">
        <x:v>v</x:v>
      </x:c>
      <x:c r="E1852" t="str">
        <x:v>https://www.webonary.org/marubo/g2e656b32-4ec3-4267-a6e7-149a6b837b9c/</x:v>
      </x:c>
      <x:c r="F1852" t="str">
        <x:v>g00427b8f-5124-41c3-9da7-bee80dd3393e</x:v>
      </x:c>
      <x:c r="G1852" s="20" t="n">
        <x:v>46003.93502480324</x:v>
      </x:c>
    </x:row>
    <x:row r="1853">
      <x:c r="A1853" s="18" t="str">
        <x:v>vermelho</x:v>
      </x:c>
      <x:c r="B1853" s="18" t="str">
        <x:v>õchĩka</x:v>
      </x:c>
      <x:c r="C1853" s="19" t="n">
        <x:f>IF(B1853="",0,(LEN(B1853)-LEN(SUBSTITUTE(B1853," | ","")))/3+1)</x:f>
        <x:v>1</x:v>
      </x:c>
      <x:c r="D1853" t="str">
        <x:v>v</x:v>
      </x:c>
      <x:c r="E1853" t="str">
        <x:v>https://www.webonary.org/marubo/g9a2beca8-48a3-457f-8e87-c2a3a29594a1/</x:v>
      </x:c>
      <x:c r="F1853" t="str">
        <x:v>ge708b909-6dc3-4306-be5f-1cab6d13f07b</x:v>
      </x:c>
      <x:c r="G1853" s="20" t="n">
        <x:v>46003.93502480324</x:v>
      </x:c>
    </x:row>
    <x:row r="1854">
      <x:c r="A1854" s="18" t="str">
        <x:v>vértebra</x:v>
      </x:c>
      <x:c r="B1854" s="18" t="str">
        <x:v>teróshko</x:v>
      </x:c>
      <x:c r="C1854" s="19" t="n">
        <x:f>IF(B1854="",0,(LEN(B1854)-LEN(SUBSTITUTE(B1854," | ","")))/3+1)</x:f>
        <x:v>1</x:v>
      </x:c>
      <x:c r="D1854" t="str">
        <x:v>v</x:v>
      </x:c>
      <x:c r="E1854" t="str">
        <x:v>https://www.webonary.org/marubo/g40f69955-711b-49c8-8151-c8371fd24ce5/</x:v>
      </x:c>
      <x:c r="F1854" t="str">
        <x:v>g00c6277b-95cf-4d52-addc-9201938707a8</x:v>
      </x:c>
      <x:c r="G1854" s="20" t="n">
        <x:v>46003.93502480324</x:v>
      </x:c>
    </x:row>
    <x:row r="1855">
      <x:c r="A1855" s="18" t="str">
        <x:v>vestir</x:v>
      </x:c>
      <x:c r="B1855" s="18" t="str">
        <x:v>sawea</x:v>
      </x:c>
      <x:c r="C1855" s="19" t="n">
        <x:f>IF(B1855="",0,(LEN(B1855)-LEN(SUBSTITUTE(B1855," | ","")))/3+1)</x:f>
        <x:v>1</x:v>
      </x:c>
      <x:c r="D1855" t="str">
        <x:v>v</x:v>
      </x:c>
      <x:c r="E1855" t="str">
        <x:v>https://www.webonary.org/marubo/ge757f2cd-35cb-456c-8213-3d699a72dbc0/</x:v>
      </x:c>
      <x:c r="F1855" t="str">
        <x:v>gb5b9a980-96e1-43b1-b68e-3f3b769b0390</x:v>
      </x:c>
      <x:c r="G1855" s="20" t="n">
        <x:v>46003.93502480324</x:v>
      </x:c>
    </x:row>
    <x:row r="1856">
      <x:c r="A1856" s="18" t="str">
        <x:v>vidro</x:v>
      </x:c>
      <x:c r="B1856" s="18" t="str">
        <x:v>otó</x:v>
      </x:c>
      <x:c r="C1856" s="19" t="n">
        <x:f>IF(B1856="",0,(LEN(B1856)-LEN(SUBSTITUTE(B1856," | ","")))/3+1)</x:f>
        <x:v>1</x:v>
      </x:c>
      <x:c r="D1856" t="str">
        <x:v>v</x:v>
      </x:c>
      <x:c r="E1856" t="str">
        <x:v>https://www.webonary.org/marubo/g62076cee-24d9-45e6-9474-5a893dd12475/</x:v>
      </x:c>
      <x:c r="F1856" t="str">
        <x:v>gda75bce9-0643-49ae-ab1d-fe12962976cb</x:v>
      </x:c>
      <x:c r="G1856" s="20" t="n">
        <x:v>46003.93503197917</x:v>
      </x:c>
    </x:row>
    <x:row r="1857">
      <x:c r="A1857" s="18" t="str">
        <x:v>vier (plural)</x:v>
      </x:c>
      <x:c r="B1857" s="18" t="str">
        <x:v>vea | 1</x:v>
      </x:c>
      <x:c r="C1857" s="19" t="n">
        <x:f>IF(B1857="",0,(LEN(B1857)-LEN(SUBSTITUTE(B1857," | ","")))/3+1)</x:f>
        <x:v>2</x:v>
      </x:c>
      <x:c r="D1857" t="str">
        <x:v>v</x:v>
      </x:c>
      <x:c r="E1857" t="str">
        <x:v>https://www.webonary.org/marubo/g72b1bd2a-c5fb-4f0e-840e-64a8f0dac6cf/</x:v>
      </x:c>
      <x:c r="F1857" t="str">
        <x:v>gdd3ec002-4c92-4979-a96d-6abf57d450af</x:v>
      </x:c>
      <x:c r="G1857" s="20" t="n">
        <x:v>46003.93503197917</x:v>
      </x:c>
    </x:row>
    <x:row r="1858">
      <x:c r="A1858" s="18" t="str">
        <x:v>vigas cruzadas</x:v>
      </x:c>
      <x:c r="B1858" s="18" t="str">
        <x:v>nasekti</x:v>
      </x:c>
      <x:c r="C1858" s="19" t="n">
        <x:f>IF(B1858="",0,(LEN(B1858)-LEN(SUBSTITUTE(B1858," | ","")))/3+1)</x:f>
        <x:v>1</x:v>
      </x:c>
      <x:c r="D1858" t="str">
        <x:v>v</x:v>
      </x:c>
      <x:c r="E1858" t="str">
        <x:v>https://www.webonary.org/marubo/gb6c93714-8250-4816-bc0e-40042fe671d4/</x:v>
      </x:c>
      <x:c r="F1858" t="str">
        <x:v>g98d5e25d-bee3-4afa-9535-3ccb3d19a7ec</x:v>
      </x:c>
      <x:c r="G1858" s="20" t="n">
        <x:v>46003.93503197917</x:v>
      </x:c>
    </x:row>
    <x:row r="1859">
      <x:c r="A1859" s="18" t="str">
        <x:v>vigiar</x:v>
      </x:c>
      <x:c r="B1859" s="18" t="str">
        <x:v>verõ aká</x:v>
      </x:c>
      <x:c r="C1859" s="19" t="n">
        <x:f>IF(B1859="",0,(LEN(B1859)-LEN(SUBSTITUTE(B1859," | ","")))/3+1)</x:f>
        <x:v>1</x:v>
      </x:c>
      <x:c r="D1859" t="str">
        <x:v>v</x:v>
      </x:c>
      <x:c r="E1859" t="str">
        <x:v>https://www.webonary.org/marubo/g5ab783cf-daf1-4de9-aaf7-6362b659f4b7/</x:v>
      </x:c>
      <x:c r="F1859" t="str">
        <x:v>g9f4cafea-6059-49fa-b95c-53564dfdeeaa</x:v>
      </x:c>
      <x:c r="G1859" s="20" t="n">
        <x:v>46003.93503197917</x:v>
      </x:c>
    </x:row>
    <x:row r="1860">
      <x:c r="A1860" s="18" t="str">
        <x:v>vingar</x:v>
      </x:c>
      <x:c r="B1860" s="18" t="str">
        <x:v>kopia</x:v>
      </x:c>
      <x:c r="C1860" s="19" t="n">
        <x:f>IF(B1860="",0,(LEN(B1860)-LEN(SUBSTITUTE(B1860," | ","")))/3+1)</x:f>
        <x:v>1</x:v>
      </x:c>
      <x:c r="D1860" t="str">
        <x:v>v</x:v>
      </x:c>
      <x:c r="E1860" t="str">
        <x:v>https://www.webonary.org/marubo/g5b64a918-4c0b-43c2-b8da-71e6b7546d91/</x:v>
      </x:c>
      <x:c r="F1860" t="str">
        <x:v>g1d4e5e98-3f4d-4995-b63c-894fd5d3dc5e</x:v>
      </x:c>
      <x:c r="G1860" s="20" t="n">
        <x:v>46003.93503197917</x:v>
      </x:c>
    </x:row>
    <x:row r="1861">
      <x:c r="A1861" s="18" t="str">
        <x:v>vir</x:v>
      </x:c>
      <x:c r="B1861" s="18" t="str">
        <x:v>oá</x:v>
      </x:c>
      <x:c r="C1861" s="19" t="n">
        <x:f>IF(B1861="",0,(LEN(B1861)-LEN(SUBSTITUTE(B1861," | ","")))/3+1)</x:f>
        <x:v>1</x:v>
      </x:c>
      <x:c r="D1861" t="str">
        <x:v>v</x:v>
      </x:c>
      <x:c r="E1861" t="str">
        <x:v>https://www.webonary.org/marubo/g9ed0a3b7-63f1-4540-97e4-11373c81c253/</x:v>
      </x:c>
      <x:c r="F1861" t="str">
        <x:v>g3a154476-d235-4119-a7be-b39bba578052</x:v>
      </x:c>
      <x:c r="G1861" s="20" t="n">
        <x:v>46003.93503197917</x:v>
      </x:c>
    </x:row>
    <x:row r="1862">
      <x:c r="A1862" s="18" t="str">
        <x:v>virar</x:v>
      </x:c>
      <x:c r="B1862" s="18" t="str">
        <x:v>veso</x:v>
      </x:c>
      <x:c r="C1862" s="19" t="n">
        <x:f>IF(B1862="",0,(LEN(B1862)-LEN(SUBSTITUTE(B1862," | ","")))/3+1)</x:f>
        <x:v>1</x:v>
      </x:c>
      <x:c r="D1862" t="str">
        <x:v>v</x:v>
      </x:c>
      <x:c r="E1862" t="str">
        <x:v>https://www.webonary.org/marubo/g91586383-cbd6-443d-a8d0-0cd7b15ef8da/</x:v>
      </x:c>
      <x:c r="F1862" t="str">
        <x:v>g181fc3bf-2238-4a2a-ae5c-5ed3327db97c</x:v>
      </x:c>
      <x:c r="G1862" s="20" t="n">
        <x:v>46003.93503197917</x:v>
      </x:c>
    </x:row>
    <x:row r="1863">
      <x:c r="A1863" s="18" t="str">
        <x:v>virilha</x:v>
      </x:c>
      <x:c r="B1863" s="18" t="str">
        <x:v>shavi</x:v>
      </x:c>
      <x:c r="C1863" s="19" t="n">
        <x:f>IF(B1863="",0,(LEN(B1863)-LEN(SUBSTITUTE(B1863," | ","")))/3+1)</x:f>
        <x:v>1</x:v>
      </x:c>
      <x:c r="D1863" t="str">
        <x:v>v</x:v>
      </x:c>
      <x:c r="E1863" t="str">
        <x:v>https://www.webonary.org/marubo/ge28874cf-95fe-4d55-95f9-845e37c584fe/</x:v>
      </x:c>
      <x:c r="F1863" t="str">
        <x:v>g19b2fcd1-d586-4226-af8f-4e9c3e79458c</x:v>
      </x:c>
      <x:c r="G1863" s="20" t="n">
        <x:v>46003.93503197917</x:v>
      </x:c>
    </x:row>
    <x:row r="1864">
      <x:c r="A1864" s="18" t="str">
        <x:v>visitar</x:v>
      </x:c>
      <x:c r="B1864" s="18" t="str">
        <x:v>pokéa</x:v>
      </x:c>
      <x:c r="C1864" s="19" t="n">
        <x:f>IF(B1864="",0,(LEN(B1864)-LEN(SUBSTITUTE(B1864," | ","")))/3+1)</x:f>
        <x:v>1</x:v>
      </x:c>
      <x:c r="D1864" t="str">
        <x:v>v</x:v>
      </x:c>
      <x:c r="E1864" t="str">
        <x:v>https://www.webonary.org/marubo/gb61de545-588a-4f0f-9ef3-126cc50ac53d/</x:v>
      </x:c>
      <x:c r="F1864" t="str">
        <x:v>ga8c0262a-891d-4f0b-8f0e-f916af22e94b</x:v>
      </x:c>
      <x:c r="G1864" s="20" t="n">
        <x:v>46003.93503197917</x:v>
      </x:c>
    </x:row>
    <x:row r="1865">
      <x:c r="A1865" s="18" t="str">
        <x:v>vitoria régia</x:v>
      </x:c>
      <x:c r="B1865" s="18" t="str">
        <x:v>vẽshá rome</x:v>
      </x:c>
      <x:c r="C1865" s="19" t="n">
        <x:f>IF(B1865="",0,(LEN(B1865)-LEN(SUBSTITUTE(B1865," | ","")))/3+1)</x:f>
        <x:v>1</x:v>
      </x:c>
      <x:c r="D1865" t="str">
        <x:v>v</x:v>
      </x:c>
      <x:c r="E1865" t="str">
        <x:v>https://www.webonary.org/marubo/ge9dd6477-eada-4975-a82f-902fbf44da95/</x:v>
      </x:c>
      <x:c r="F1865" t="str">
        <x:v>g201ee781-b69a-4890-92dc-40435f65fe6e</x:v>
      </x:c>
      <x:c r="G1865" s="20" t="n">
        <x:v>46003.93503197917</x:v>
      </x:c>
    </x:row>
    <x:row r="1866">
      <x:c r="A1866" s="18" t="str">
        <x:v>viver</x:v>
      </x:c>
      <x:c r="B1866" s="18" t="str">
        <x:v>niá</x:v>
      </x:c>
      <x:c r="C1866" s="19" t="n">
        <x:f>IF(B1866="",0,(LEN(B1866)-LEN(SUBSTITUTE(B1866," | ","")))/3+1)</x:f>
        <x:v>1</x:v>
      </x:c>
      <x:c r="D1866" t="str">
        <x:v>v</x:v>
      </x:c>
      <x:c r="E1866" t="str">
        <x:v>https://www.webonary.org/marubo/gc5b5a557-74e2-4b10-bac0-4063a59392d9/</x:v>
      </x:c>
      <x:c r="F1866" t="str">
        <x:v>ga168001d-46fa-4c67-a898-8ffa1d0fa0c2</x:v>
      </x:c>
      <x:c r="G1866" s="20" t="n">
        <x:v>46003.93503197917</x:v>
      </x:c>
    </x:row>
    <x:row r="1867">
      <x:c r="A1867" s="18" t="str">
        <x:v>voces</x:v>
      </x:c>
      <x:c r="B1867" s="18" t="str">
        <x:v>mato | 2</x:v>
      </x:c>
      <x:c r="C1867" s="19" t="n">
        <x:f>IF(B1867="",0,(LEN(B1867)-LEN(SUBSTITUTE(B1867," | ","")))/3+1)</x:f>
        <x:v>2</x:v>
      </x:c>
      <x:c r="D1867" t="str">
        <x:v>v</x:v>
      </x:c>
      <x:c r="E1867" t="str">
        <x:v>https://www.webonary.org/marubo/g651aed6d-7cfd-4544-b458-0d35e1c179c1/</x:v>
      </x:c>
      <x:c r="F1867" t="str">
        <x:v>g8bf2e565-adad-4211-8e7b-bda43cfbb38f</x:v>
      </x:c>
      <x:c r="G1867" s="20" t="n">
        <x:v>46003.93503197917</x:v>
      </x:c>
    </x:row>
    <x:row r="1868">
      <x:c r="A1868" s="18" t="str">
        <x:v>vocês</x:v>
      </x:c>
      <x:c r="B1868" s="18" t="str">
        <x:v>mã=</x:v>
      </x:c>
      <x:c r="C1868" s="19" t="n">
        <x:f>IF(B1868="",0,(LEN(B1868)-LEN(SUBSTITUTE(B1868," | ","")))/3+1)</x:f>
        <x:v>1</x:v>
      </x:c>
      <x:c r="D1868" t="str">
        <x:v>v</x:v>
      </x:c>
      <x:c r="E1868" t="str">
        <x:v>https://www.webonary.org/marubo/g08f35234-1483-4442-a1f6-efde74301a68/</x:v>
      </x:c>
      <x:c r="F1868" t="str">
        <x:v>gfe63a46c-605f-414c-b4e5-f3a4342c6468</x:v>
      </x:c>
      <x:c r="G1868" s="20" t="n">
        <x:v>46003.93503197917</x:v>
      </x:c>
    </x:row>
    <x:row r="1869">
      <x:c r="A1869" s="18" t="str">
        <x:v>volante</x:v>
      </x:c>
      <x:c r="B1869" s="18" t="str">
        <x:v>sĩkia</x:v>
      </x:c>
      <x:c r="C1869" s="19" t="n">
        <x:f>IF(B1869="",0,(LEN(B1869)-LEN(SUBSTITUTE(B1869," | ","")))/3+1)</x:f>
        <x:v>1</x:v>
      </x:c>
      <x:c r="D1869" t="str">
        <x:v>v</x:v>
      </x:c>
      <x:c r="E1869" t="str">
        <x:v>https://www.webonary.org/marubo/g28b765a3-538b-4445-bc28-4623721f9b07/</x:v>
      </x:c>
      <x:c r="F1869" t="str">
        <x:v>g87bf2076-b58a-4c44-a422-df83f01aad1a</x:v>
      </x:c>
      <x:c r="G1869" s="20" t="n">
        <x:v>46003.93503197917</x:v>
      </x:c>
    </x:row>
    <x:row r="1870">
      <x:c r="A1870" s="18" t="str">
        <x:v>voltar sem caça</x:v>
      </x:c>
      <x:c r="B1870" s="18" t="str">
        <x:v>yopa | 1</x:v>
      </x:c>
      <x:c r="C1870" s="19" t="n">
        <x:f>IF(B1870="",0,(LEN(B1870)-LEN(SUBSTITUTE(B1870," | ","")))/3+1)</x:f>
        <x:v>2</x:v>
      </x:c>
      <x:c r="D1870" t="str">
        <x:v>v</x:v>
      </x:c>
      <x:c r="E1870" t="str">
        <x:v>https://www.webonary.org/marubo/g6b3c5d35-33de-4d3d-990a-bb1301125674/</x:v>
      </x:c>
      <x:c r="F1870" t="str">
        <x:v>gbe1bb5d3-3d30-4793-b03d-dedeae8ae65c</x:v>
      </x:c>
      <x:c r="G1870" s="20" t="n">
        <x:v>46003.93503197917</x:v>
      </x:c>
    </x:row>
    <x:row r="1871">
      <x:c r="A1871" s="18" t="str">
        <x:v>vomitar</x:v>
      </x:c>
      <x:c r="B1871" s="18" t="str">
        <x:v>anã ikí</x:v>
      </x:c>
      <x:c r="C1871" s="19" t="n">
        <x:f>IF(B1871="",0,(LEN(B1871)-LEN(SUBSTITUTE(B1871," | ","")))/3+1)</x:f>
        <x:v>1</x:v>
      </x:c>
      <x:c r="D1871" t="str">
        <x:v>v</x:v>
      </x:c>
      <x:c r="E1871" t="str">
        <x:v>https://www.webonary.org/marubo/gb574a29d-e24c-47f0-a6cf-4e0ac17ad3e0/</x:v>
      </x:c>
      <x:c r="F1871" t="str">
        <x:v>g50295552-ab93-4ec7-b942-71284e2e6f14</x:v>
      </x:c>
      <x:c r="G1871" s="20" t="n">
        <x:v>46003.93503197917</x:v>
      </x:c>
    </x:row>
    <x:row r="1872">
      <x:c r="A1872" s="18" t="str">
        <x:v>waca</x:v>
      </x:c>
      <x:c r="B1872" s="18" t="str">
        <x:v>poi kama</x:v>
      </x:c>
      <x:c r="C1872" s="19" t="n">
        <x:f>IF(B1872="",0,(LEN(B1872)-LEN(SUBSTITUTE(B1872," | ","")))/3+1)</x:f>
        <x:v>1</x:v>
      </x:c>
      <x:c r="D1872" t="str">
        <x:v>w</x:v>
      </x:c>
      <x:c r="E1872" t="str">
        <x:v>https://www.webonary.org/marubo/g55875d58-bb5d-49d5-a04d-dd3b2a0d30c1/</x:v>
      </x:c>
      <x:c r="F1872" t="str">
        <x:v>ga33d7284-d06e-437a-bd4a-079049e3f001</x:v>
      </x:c>
      <x:c r="G1872" s="20" t="n">
        <x:v>46003.93503197917</x:v>
      </x:c>
    </x:row>
    <x:row r="1873">
      <x:c r="A1873" s="18" t="str">
        <x:v>wrinkled</x:v>
      </x:c>
      <x:c r="B1873" s="18" t="str">
        <x:v>veníshka</x:v>
      </x:c>
      <x:c r="C1873" s="19" t="n">
        <x:f>IF(B1873="",0,(LEN(B1873)-LEN(SUBSTITUTE(B1873," | ","")))/3+1)</x:f>
        <x:v>1</x:v>
      </x:c>
      <x:c r="D1873" t="str">
        <x:v>w</x:v>
      </x:c>
      <x:c r="E1873" t="str">
        <x:v>https://www.webonary.org/marubo/ge275f31b-7bb3-49fa-8ceb-b313fe8c606f/</x:v>
      </x:c>
      <x:c r="F1873" t="str">
        <x:v>g5bbc678e-2cbf-4e44-a9bc-0c865eb35732</x:v>
      </x:c>
      <x:c r="G1873" s="20" t="n">
        <x:v>46003.93503197917</x:v>
      </x:c>
    </x:row>
    <x:row r="1874">
      <x:c r="A1874" s="18" t="str">
        <x:v>zombar</x:v>
      </x:c>
      <x:c r="B1874" s="18" t="str">
        <x:v>yova</x:v>
      </x:c>
      <x:c r="C1874" s="19" t="n">
        <x:f>IF(B1874="",0,(LEN(B1874)-LEN(SUBSTITUTE(B1874," | ","")))/3+1)</x:f>
        <x:v>1</x:v>
      </x:c>
      <x:c r="D1874" t="str">
        <x:v>z</x:v>
      </x:c>
      <x:c r="E1874" t="str">
        <x:v>https://www.webonary.org/marubo/g53f41771-03f1-4751-9b22-c39516372c4e/</x:v>
      </x:c>
      <x:c r="F1874" t="str">
        <x:v>g89df8e6a-721c-4d85-9c1b-08a8b794640b</x:v>
      </x:c>
      <x:c r="G1874" s="20" t="n">
        <x:v>46003.93503197917</x:v>
      </x:c>
    </x:row>
    <x:row r="1875">
      <x:c r="A1875" s="18" t="str">
        <x:v>zuador</x:v>
      </x:c>
      <x:c r="B1875" s="18" t="str">
        <x:v>nitimtanatá</x:v>
      </x:c>
      <x:c r="C1875" s="19" t="n">
        <x:f>IF(B1875="",0,(LEN(B1875)-LEN(SUBSTITUTE(B1875," | ","")))/3+1)</x:f>
        <x:v>1</x:v>
      </x:c>
      <x:c r="D1875" t="str">
        <x:v>z</x:v>
      </x:c>
      <x:c r="E1875" t="str">
        <x:v>https://www.webonary.org/marubo/g6ff1718a-6a7b-4510-975b-0d1ce1fbb1f5/</x:v>
      </x:c>
      <x:c r="F1875" t="str">
        <x:v>ge42333f9-c74d-4450-b2c2-2ade87dc75ca</x:v>
      </x:c>
      <x:c r="G1875" s="20" t="n">
        <x:v>46003.93503197917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aa354d1766247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8" hidden="0" customWidth="1"/>
    <x:col min="3" max="3" width="10" hidden="0" customWidth="1"/>
    <x:col min="4" max="4" width="40" hidden="0" customWidth="1"/>
    <x:col min="5" max="5" width="40" hidden="0" customWidth="1"/>
    <x:col min="6" max="6" width="52" hidden="0" customWidth="1"/>
    <x:col min="7" max="7" width="21" hidden="0" customWidth="1"/>
  </x:cols>
  <x:sheetData>
    <x:row r="1" ht="30" customHeight="1">
      <x:c r="A1" s="3" t="str">
        <x:v>Relações normalizadas de tradução</x:v>
      </x:c>
      <x:c r="B1" s="3" t="str">
        <x:v>Relações normalizadas de tradução</x:v>
      </x:c>
      <x:c r="C1" s="3" t="str">
        <x:v>Relações normalizadas de tradução</x:v>
      </x:c>
      <x:c r="D1" s="3" t="str">
        <x:v>Relações normalizadas de tradução</x:v>
      </x:c>
      <x:c r="E1" s="3" t="str">
        <x:v>Relações normalizadas de tradução</x:v>
      </x:c>
      <x:c r="F1" s="3" t="str">
        <x:v>Relações normalizadas de tradução</x:v>
      </x:c>
      <x:c r="G1" s="3" t="str">
        <x:v>Relações normalizadas de tradução</x:v>
      </x:c>
    </x:row>
    <x:row r="2" ht="32" customHeight="1">
      <x:c r="A2" s="7" t="str">
        <x:v>Uma linha para cada relação português–marubo. Esta aba é a mais indicada para importação em banco de dados, análise ou desenvolvimento.</x:v>
      </x:c>
      <x:c r="B2" s="7" t="str">
        <x:v>Uma linha para cada relação português–marubo. Esta aba é a mais indicada para importação em banco de dados, análise ou desenvolvimento.</x:v>
      </x:c>
      <x:c r="C2" s="7" t="str">
        <x:v>Uma linha para cada relação português–marubo. Esta aba é a mais indicada para importação em banco de dados, análise ou desenvolvimento.</x:v>
      </x:c>
      <x:c r="D2" s="7" t="str">
        <x:v>Uma linha para cada relação português–marubo. Esta aba é a mais indicada para importação em banco de dados, análise ou desenvolvimento.</x:v>
      </x:c>
      <x:c r="E2" s="7" t="str">
        <x:v>Uma linha para cada relação português–marubo. Esta aba é a mais indicada para importação em banco de dados, análise ou desenvolvimento.</x:v>
      </x:c>
      <x:c r="F2" s="7" t="str">
        <x:v>Uma linha para cada relação português–marubo. Esta aba é a mais indicada para importação em banco de dados, análise ou desenvolvimento.</x:v>
      </x:c>
      <x:c r="G2" s="7" t="str">
        <x:v>Uma linha para cada relação português–marubo. Esta aba é a mais indicada para importação em banco de dados, análise ou desenvolvimento.</x:v>
      </x:c>
    </x:row>
    <x:row r="4">
      <x:c r="A4" s="11" t="str">
        <x:v>Total de relações</x:v>
      </x:c>
      <x:c r="B4" s="17" t="n">
        <x:f>ROWS(A7:A2441)</x:f>
        <x:v>2435</x:v>
      </x:c>
    </x:row>
    <x:row r="6">
      <x:c r="A6" t="str">
        <x:v>Português</x:v>
      </x:c>
      <x:c r="B6" t="str">
        <x:v>Marubo</x:v>
      </x:c>
      <x:c r="C6" t="str">
        <x:v>Inicial</x:v>
      </x:c>
      <x:c r="D6" t="str">
        <x:v>ID do índice reverso</x:v>
      </x:c>
      <x:c r="E6" t="str">
        <x:v>ID do verbete marubo</x:v>
      </x:c>
      <x:c r="F6" t="str">
        <x:v>URL da fonte</x:v>
      </x:c>
      <x:c r="G6" t="str">
        <x:v>Atualizado em</x:v>
      </x:c>
    </x:row>
    <x:row r="7">
      <x:c r="A7" t="str">
        <x:v>(pour) derramar líquido</x:v>
      </x:c>
      <x:c r="B7" t="str">
        <x:v>choo aká</x:v>
      </x:c>
      <x:c r="C7" t="str">
        <x:v>(</x:v>
      </x:c>
      <x:c r="D7" t="str">
        <x:v>g62b24578-2c1a-436f-8f38-0352e3cda26b</x:v>
      </x:c>
      <x:c r="E7" t="str">
        <x:v>g3f09f9c4-e062-45a3-bfb9-ef00eba317c3</x:v>
      </x:c>
      <x:c r="F7" t="str">
        <x:v>https://www.webonary.org/marubo/g3f09f9c4-e062-45a3-bfb9-ef00eba317c3/</x:v>
      </x:c>
      <x:c r="G7" s="20" t="n">
        <x:v>46003.934735</x:v>
      </x:c>
    </x:row>
    <x:row r="8">
      <x:c r="A8" t="str">
        <x:v>??</x:v>
      </x:c>
      <x:c r="B8" t="str">
        <x:v>-se</x:v>
      </x:c>
      <x:c r="C8" t="str">
        <x:v>?</x:v>
      </x:c>
      <x:c r="D8" t="str">
        <x:v>gbbef532b-58c2-46a5-88dc-cf0a1f7633f2</x:v>
      </x:c>
      <x:c r="E8" t="str">
        <x:v>ge6240d50-439d-487c-bb04-653604ec1caf</x:v>
      </x:c>
      <x:c r="F8" t="str">
        <x:v>https://www.webonary.org/marubo/ge6240d50-439d-487c-bb04-653604ec1caf/</x:v>
      </x:c>
      <x:c r="G8" s="20" t="n">
        <x:v>46003.934735</x:v>
      </x:c>
    </x:row>
    <x:row r="9">
      <x:c r="A9" t="str">
        <x:v>???</x:v>
      </x:c>
      <x:c r="B9" t="str">
        <x:v>-pachta</x:v>
      </x:c>
      <x:c r="C9" t="str">
        <x:v>?</x:v>
      </x:c>
      <x:c r="D9" t="str">
        <x:v>gc33d2417-eae9-42dc-925f-84fe7d41474c</x:v>
      </x:c>
      <x:c r="E9" t="str">
        <x:v>gfe1389e9-3ab4-4e23-a4a8-ce9a50f97541</x:v>
      </x:c>
      <x:c r="F9" t="str">
        <x:v>https://www.webonary.org/marubo/gfe1389e9-3ab4-4e23-a4a8-ce9a50f97541/</x:v>
      </x:c>
      <x:c r="G9" s="20" t="n">
        <x:v>46003.934735</x:v>
      </x:c>
    </x:row>
    <x:row r="10">
      <x:c r="A10" t="str">
        <x:v>????</x:v>
      </x:c>
      <x:c r="B10" t="str">
        <x:v>-mase</x:v>
      </x:c>
      <x:c r="C10" t="str">
        <x:v>?</x:v>
      </x:c>
      <x:c r="D10" t="str">
        <x:v>g1bb28a15-4307-4450-8937-d25a76d108e5</x:v>
      </x:c>
      <x:c r="E10" t="str">
        <x:v>gf5a5c05b-f198-41b2-8638-33518a7211d9</x:v>
      </x:c>
      <x:c r="F10" t="str">
        <x:v>https://www.webonary.org/marubo/gf5a5c05b-f198-41b2-8638-33518a7211d9/</x:v>
      </x:c>
      <x:c r="G10" s="20" t="n">
        <x:v>46003.934735</x:v>
      </x:c>
    </x:row>
    <x:row r="11">
      <x:c r="A11" t="str">
        <x:v>?????</x:v>
      </x:c>
      <x:c r="B11" t="str">
        <x:v>-kaĩko</x:v>
      </x:c>
      <x:c r="C11" t="str">
        <x:v>?</x:v>
      </x:c>
      <x:c r="D11" t="str">
        <x:v>g0559cb2f-d334-466a-bf45-254d27325394</x:v>
      </x:c>
      <x:c r="E11" t="str">
        <x:v>g9ad57617-4e67-4f46-84cf-fed322760ad7</x:v>
      </x:c>
      <x:c r="F11" t="str">
        <x:v>https://www.webonary.org/marubo/g9ad57617-4e67-4f46-84cf-fed322760ad7/</x:v>
      </x:c>
      <x:c r="G11" s="20" t="n">
        <x:v>46003.934735</x:v>
      </x:c>
    </x:row>
    <x:row r="12">
      <x:c r="A12" t="str">
        <x:v>1PL</x:v>
      </x:c>
      <x:c r="B12" t="str">
        <x:v>noke</x:v>
      </x:c>
      <x:c r="C12" t="str">
        <x:v>1</x:v>
      </x:c>
      <x:c r="D12" t="str">
        <x:v>g88f980fc-ea53-4b05-93a0-ab6c5fde3e64</x:v>
      </x:c>
      <x:c r="E12" t="str">
        <x:v>g9216b6d0-40dc-47e1-82e1-8c7b47e312ab</x:v>
      </x:c>
      <x:c r="F12" t="str">
        <x:v>https://www.webonary.org/marubo/g9216b6d0-40dc-47e1-82e1-8c7b47e312ab/</x:v>
      </x:c>
      <x:c r="G12" s="20" t="n">
        <x:v>46003.934735</x:v>
      </x:c>
    </x:row>
    <x:row r="13">
      <x:c r="A13" t="str">
        <x:v>1PL</x:v>
      </x:c>
      <x:c r="B13" t="str">
        <x:v>nõ=</x:v>
      </x:c>
      <x:c r="C13" t="str">
        <x:v>1</x:v>
      </x:c>
      <x:c r="D13" t="str">
        <x:v>g88f980fc-ea53-4b05-93a0-ab6c5fde3e64</x:v>
      </x:c>
      <x:c r="E13" t="str">
        <x:v>g29209b04-6279-415b-a4b3-f9d669da4a2c</x:v>
      </x:c>
      <x:c r="F13" t="str">
        <x:v>https://www.webonary.org/marubo/g29209b04-6279-415b-a4b3-f9d669da4a2c/</x:v>
      </x:c>
      <x:c r="G13" s="20" t="n">
        <x:v>46003.934735</x:v>
      </x:c>
    </x:row>
    <x:row r="14">
      <x:c r="A14" t="str">
        <x:v>1SG</x:v>
      </x:c>
      <x:c r="B14" t="str">
        <x:v>eã</x:v>
      </x:c>
      <x:c r="C14" t="str">
        <x:v>1</x:v>
      </x:c>
      <x:c r="D14" t="str">
        <x:v>gb028d46c-270b-4eac-b462-69d75e2b17a5</x:v>
      </x:c>
      <x:c r="E14" t="str">
        <x:v>gab8de27f-2589-4c8f-9c06-f52a0bc5303d</x:v>
      </x:c>
      <x:c r="F14" t="str">
        <x:v>https://www.webonary.org/marubo/gab8de27f-2589-4c8f-9c06-f52a0bc5303d/</x:v>
      </x:c>
      <x:c r="G14" s="20" t="n">
        <x:v>46003.934735</x:v>
      </x:c>
    </x:row>
    <x:row r="15">
      <x:c r="A15" t="str">
        <x:v>1SG</x:v>
      </x:c>
      <x:c r="B15" t="str">
        <x:v>ea</x:v>
      </x:c>
      <x:c r="C15" t="str">
        <x:v>1</x:v>
      </x:c>
      <x:c r="D15" t="str">
        <x:v>gb028d46c-270b-4eac-b462-69d75e2b17a5</x:v>
      </x:c>
      <x:c r="E15" t="str">
        <x:v>g00a9b446-fa7e-4ba1-99f2-98619484acec</x:v>
      </x:c>
      <x:c r="F15" t="str">
        <x:v>https://www.webonary.org/marubo/g00a9b446-fa7e-4ba1-99f2-98619484acec/</x:v>
      </x:c>
      <x:c r="G15" s="20" t="n">
        <x:v>46003.934735</x:v>
      </x:c>
    </x:row>
    <x:row r="16">
      <x:c r="A16" t="str">
        <x:v>1SG</x:v>
      </x:c>
      <x:c r="B16" t="str">
        <x:v>ẽ=</x:v>
      </x:c>
      <x:c r="C16" t="str">
        <x:v>1</x:v>
      </x:c>
      <x:c r="D16" t="str">
        <x:v>gb028d46c-270b-4eac-b462-69d75e2b17a5</x:v>
      </x:c>
      <x:c r="E16" t="str">
        <x:v>ga2542c7f-b889-4d34-9010-d8cc059ef5bb</x:v>
      </x:c>
      <x:c r="F16" t="str">
        <x:v>https://www.webonary.org/marubo/ga2542c7f-b889-4d34-9010-d8cc059ef5bb/</x:v>
      </x:c>
      <x:c r="G16" s="20" t="n">
        <x:v>46003.934735</x:v>
      </x:c>
    </x:row>
    <x:row r="17">
      <x:c r="A17" t="str">
        <x:v>2PL</x:v>
      </x:c>
      <x:c r="B17" t="str">
        <x:v>-ma</x:v>
      </x:c>
      <x:c r="C17" t="str">
        <x:v>2</x:v>
      </x:c>
      <x:c r="D17" t="str">
        <x:v>g82bdadb8-99b3-4763-b013-7512bdb24346</x:v>
      </x:c>
      <x:c r="E17" t="str">
        <x:v>g3f4eb053-e16c-4e79-a5c8-53a8c965bfd8</x:v>
      </x:c>
      <x:c r="F17" t="str">
        <x:v>https://www.webonary.org/marubo/g3f4eb053-e16c-4e79-a5c8-53a8c965bfd8/</x:v>
      </x:c>
      <x:c r="G17" s="20" t="n">
        <x:v>46003.934735</x:v>
      </x:c>
    </x:row>
    <x:row r="18">
      <x:c r="A18" t="str">
        <x:v>2PL</x:v>
      </x:c>
      <x:c r="B18" t="str">
        <x:v>2</x:v>
      </x:c>
      <x:c r="C18" t="str">
        <x:v>2</x:v>
      </x:c>
      <x:c r="D18" t="str">
        <x:v>g82bdadb8-99b3-4763-b013-7512bdb24346</x:v>
      </x:c>
      <x:c r="E18" t="str">
        <x:v>g3f4eb053-e16c-4e79-a5c8-53a8c965bfd8</x:v>
      </x:c>
      <x:c r="F18" t="str">
        <x:v>https://www.webonary.org/marubo/g3f4eb053-e16c-4e79-a5c8-53a8c965bfd8/</x:v>
      </x:c>
      <x:c r="G18" s="20" t="n">
        <x:v>46003.934735</x:v>
      </x:c>
    </x:row>
    <x:row r="19">
      <x:c r="A19" t="str">
        <x:v>2SG</x:v>
      </x:c>
      <x:c r="B19" t="str">
        <x:v>mia</x:v>
      </x:c>
      <x:c r="C19" t="str">
        <x:v>2</x:v>
      </x:c>
      <x:c r="D19" t="str">
        <x:v>g0d29b60d-c59e-47cc-a150-7333bee9eb2b</x:v>
      </x:c>
      <x:c r="E19" t="str">
        <x:v>g4445881a-cbea-4f2f-9beb-98ae3b898a8d</x:v>
      </x:c>
      <x:c r="F19" t="str">
        <x:v>https://www.webonary.org/marubo/g4445881a-cbea-4f2f-9beb-98ae3b898a8d/</x:v>
      </x:c>
      <x:c r="G19" s="20" t="n">
        <x:v>46003.934735</x:v>
      </x:c>
    </x:row>
    <x:row r="20">
      <x:c r="A20" t="str">
        <x:v>2SG</x:v>
      </x:c>
      <x:c r="B20" t="str">
        <x:v>mĩ</x:v>
      </x:c>
      <x:c r="C20" t="str">
        <x:v>2</x:v>
      </x:c>
      <x:c r="D20" t="str">
        <x:v>g0d29b60d-c59e-47cc-a150-7333bee9eb2b</x:v>
      </x:c>
      <x:c r="E20" t="str">
        <x:v>g524c78f3-c61f-41a1-8877-6002964f6845</x:v>
      </x:c>
      <x:c r="F20" t="str">
        <x:v>https://www.webonary.org/marubo/g524c78f3-c61f-41a1-8877-6002964f6845/</x:v>
      </x:c>
      <x:c r="G20" s="20" t="n">
        <x:v>46003.934735</x:v>
      </x:c>
    </x:row>
    <x:row r="21">
      <x:c r="A21" t="str">
        <x:v>3PL</x:v>
      </x:c>
      <x:c r="B21" t="str">
        <x:v>-vo</x:v>
      </x:c>
      <x:c r="C21" t="str">
        <x:v>3</x:v>
      </x:c>
      <x:c r="D21" t="str">
        <x:v>g63f5e733-7bd5-4b51-923c-80b17791dd35</x:v>
      </x:c>
      <x:c r="E21" t="str">
        <x:v>g0ece1854-1898-4eed-8035-a974643ff94b</x:v>
      </x:c>
      <x:c r="F21" t="str">
        <x:v>https://www.webonary.org/marubo/g0ece1854-1898-4eed-8035-a974643ff94b/</x:v>
      </x:c>
      <x:c r="G21" s="20" t="n">
        <x:v>46003.934735</x:v>
      </x:c>
    </x:row>
    <x:row r="22">
      <x:c r="A22" t="str">
        <x:v>3PL</x:v>
      </x:c>
      <x:c r="B22" t="str">
        <x:v>atõ</x:v>
      </x:c>
      <x:c r="C22" t="str">
        <x:v>3</x:v>
      </x:c>
      <x:c r="D22" t="str">
        <x:v>g63f5e733-7bd5-4b51-923c-80b17791dd35</x:v>
      </x:c>
      <x:c r="E22" t="str">
        <x:v>ge188d47d-5a4b-4890-949f-ba80a86f2d1a</x:v>
      </x:c>
      <x:c r="F22" t="str">
        <x:v>https://www.webonary.org/marubo/ge188d47d-5a4b-4890-949f-ba80a86f2d1a/</x:v>
      </x:c>
      <x:c r="G22" s="20" t="n">
        <x:v>46003.934735</x:v>
      </x:c>
    </x:row>
    <x:row r="23">
      <x:c r="A23" t="str">
        <x:v>3PL</x:v>
      </x:c>
      <x:c r="B23" t="str">
        <x:v>ato</x:v>
      </x:c>
      <x:c r="C23" t="str">
        <x:v>3</x:v>
      </x:c>
      <x:c r="D23" t="str">
        <x:v>g63f5e733-7bd5-4b51-923c-80b17791dd35</x:v>
      </x:c>
      <x:c r="E23" t="str">
        <x:v>g856a0125-80f2-41d1-ba1c-82e89b997ead</x:v>
      </x:c>
      <x:c r="F23" t="str">
        <x:v>https://www.webonary.org/marubo/g856a0125-80f2-41d1-ba1c-82e89b997ead/</x:v>
      </x:c>
      <x:c r="G23" s="20" t="n">
        <x:v>46003.934735</x:v>
      </x:c>
    </x:row>
    <x:row r="24">
      <x:c r="A24" t="str">
        <x:v>3PL</x:v>
      </x:c>
      <x:c r="B24" t="str">
        <x:v>2</x:v>
      </x:c>
      <x:c r="C24" t="str">
        <x:v>3</x:v>
      </x:c>
      <x:c r="D24" t="str">
        <x:v>g63f5e733-7bd5-4b51-923c-80b17791dd35</x:v>
      </x:c>
      <x:c r="E24" t="str">
        <x:v>g856a0125-80f2-41d1-ba1c-82e89b997ead</x:v>
      </x:c>
      <x:c r="F24" t="str">
        <x:v>https://www.webonary.org/marubo/g856a0125-80f2-41d1-ba1c-82e89b997ead/</x:v>
      </x:c>
      <x:c r="G24" s="20" t="n">
        <x:v>46003.934735</x:v>
      </x:c>
    </x:row>
    <x:row r="25">
      <x:c r="A25" t="str">
        <x:v>3SG</x:v>
      </x:c>
      <x:c r="B25" t="str">
        <x:v>ãwẽ</x:v>
      </x:c>
      <x:c r="C25" t="str">
        <x:v>3</x:v>
      </x:c>
      <x:c r="D25" t="str">
        <x:v>g26e5d2dd-a4e9-41ea-b9c1-24e587cbaf78</x:v>
      </x:c>
      <x:c r="E25" t="str">
        <x:v>g0934dc9c-c8f2-4e04-a071-14c5cafd3f0c</x:v>
      </x:c>
      <x:c r="F25" t="str">
        <x:v>https://www.webonary.org/marubo/g0934dc9c-c8f2-4e04-a071-14c5cafd3f0c/</x:v>
      </x:c>
      <x:c r="G25" s="20" t="n">
        <x:v>46003.934735</x:v>
      </x:c>
    </x:row>
    <x:row r="26">
      <x:c r="A26" t="str">
        <x:v>3SG</x:v>
      </x:c>
      <x:c r="B26" t="str">
        <x:v>aãtõ</x:v>
      </x:c>
      <x:c r="C26" t="str">
        <x:v>3</x:v>
      </x:c>
      <x:c r="D26" t="str">
        <x:v>g26e5d2dd-a4e9-41ea-b9c1-24e587cbaf78</x:v>
      </x:c>
      <x:c r="E26" t="str">
        <x:v>g79862b21-7806-479f-9d07-c8447c27fcc3</x:v>
      </x:c>
      <x:c r="F26" t="str">
        <x:v>https://www.webonary.org/marubo/g79862b21-7806-479f-9d07-c8447c27fcc3/</x:v>
      </x:c>
      <x:c r="G26" s="20" t="n">
        <x:v>46003.934735</x:v>
      </x:c>
    </x:row>
    <x:row r="27">
      <x:c r="A27" t="str">
        <x:v>3SG</x:v>
      </x:c>
      <x:c r="B27" t="str">
        <x:v>ã=</x:v>
      </x:c>
      <x:c r="C27" t="str">
        <x:v>3</x:v>
      </x:c>
      <x:c r="D27" t="str">
        <x:v>g26e5d2dd-a4e9-41ea-b9c1-24e587cbaf78</x:v>
      </x:c>
      <x:c r="E27" t="str">
        <x:v>gf822a6aa-a5e2-4f30-ac4b-e64ae14a57ab</x:v>
      </x:c>
      <x:c r="F27" t="str">
        <x:v>https://www.webonary.org/marubo/gf822a6aa-a5e2-4f30-ac4b-e64ae14a57ab/</x:v>
      </x:c>
      <x:c r="G27" s="20" t="n">
        <x:v>46003.934735</x:v>
      </x:c>
    </x:row>
    <x:row r="28">
      <x:c r="A28" t="str">
        <x:v>3SG</x:v>
      </x:c>
      <x:c r="B28" t="str">
        <x:v>aa</x:v>
      </x:c>
      <x:c r="C28" t="str">
        <x:v>3</x:v>
      </x:c>
      <x:c r="D28" t="str">
        <x:v>g26e5d2dd-a4e9-41ea-b9c1-24e587cbaf78</x:v>
      </x:c>
      <x:c r="E28" t="str">
        <x:v>g0db42322-4d86-45ad-bf43-1f341d36b35c</x:v>
      </x:c>
      <x:c r="F28" t="str">
        <x:v>https://www.webonary.org/marubo/g0db42322-4d86-45ad-bf43-1f341d36b35c/</x:v>
      </x:c>
      <x:c r="G28" s="20" t="n">
        <x:v>46003.934735</x:v>
      </x:c>
    </x:row>
    <x:row r="29">
      <x:c r="A29" t="str">
        <x:v>3SG.DIST</x:v>
      </x:c>
      <x:c r="B29" t="str">
        <x:v>waa</x:v>
      </x:c>
      <x:c r="C29" t="str">
        <x:v>3</x:v>
      </x:c>
      <x:c r="D29" t="str">
        <x:v>g17ba9ae4-d6d9-427c-9aa3-fcb0b112015c</x:v>
      </x:c>
      <x:c r="E29" t="str">
        <x:v>g9f1504bf-813c-4eb1-a935-2974a0871900</x:v>
      </x:c>
      <x:c r="F29" t="str">
        <x:v>https://www.webonary.org/marubo/g9f1504bf-813c-4eb1-a935-2974a0871900/</x:v>
      </x:c>
      <x:c r="G29" s="20" t="n">
        <x:v>46003.934735</x:v>
      </x:c>
    </x:row>
    <x:row r="30">
      <x:c r="A30" t="str">
        <x:v>3SG.PROX</x:v>
      </x:c>
      <x:c r="B30" t="str">
        <x:v>naa</x:v>
      </x:c>
      <x:c r="C30" t="str">
        <x:v>3</x:v>
      </x:c>
      <x:c r="D30" t="str">
        <x:v>g93950f5e-f7aa-4809-90b6-3b0e5c6eba50</x:v>
      </x:c>
      <x:c r="E30" t="str">
        <x:v>ge1427bf0-d906-4ef7-aa30-ad4d7d7e619d</x:v>
      </x:c>
      <x:c r="F30" t="str">
        <x:v>https://www.webonary.org/marubo/ge1427bf0-d906-4ef7-aa30-ad4d7d7e619d/</x:v>
      </x:c>
      <x:c r="G30" s="20" t="n">
        <x:v>46003.934735</x:v>
      </x:c>
    </x:row>
    <x:row r="31">
      <x:c r="A31" t="str">
        <x:v>3SG.PROX</x:v>
      </x:c>
      <x:c r="B31" t="str">
        <x:v>1</x:v>
      </x:c>
      <x:c r="C31" t="str">
        <x:v>3</x:v>
      </x:c>
      <x:c r="D31" t="str">
        <x:v>g93950f5e-f7aa-4809-90b6-3b0e5c6eba50</x:v>
      </x:c>
      <x:c r="E31" t="str">
        <x:v>ge1427bf0-d906-4ef7-aa30-ad4d7d7e619d</x:v>
      </x:c>
      <x:c r="F31" t="str">
        <x:v>https://www.webonary.org/marubo/ge1427bf0-d906-4ef7-aa30-ad4d7d7e619d/</x:v>
      </x:c>
      <x:c r="G31" s="20" t="n">
        <x:v>46003.934735</x:v>
      </x:c>
    </x:row>
    <x:row r="32">
      <x:c r="A32" t="str">
        <x:v>a parte de cima de animal que inclui as costelas</x:v>
      </x:c>
      <x:c r="B32" t="str">
        <x:v>kastẽ</x:v>
      </x:c>
      <x:c r="C32" t="str">
        <x:v>a</x:v>
      </x:c>
      <x:c r="D32" t="str">
        <x:v>g59cb28aa-3e8f-4986-abc5-eb9c05bc8e3e</x:v>
      </x:c>
      <x:c r="E32" t="str">
        <x:v>gcbe5e118-86a6-43d9-a668-4946fc9d321e</x:v>
      </x:c>
      <x:c r="F32" t="str">
        <x:v>https://www.webonary.org/marubo/gcbe5e118-86a6-43d9-a668-4946fc9d321e/</x:v>
      </x:c>
      <x:c r="G32" s="20" t="n">
        <x:v>46003.934735</x:v>
      </x:c>
    </x:row>
    <x:row r="33">
      <x:c r="A33" t="str">
        <x:v>a ripa pregada na beira de canoa</x:v>
      </x:c>
      <x:c r="B33" t="str">
        <x:v>ketãti</x:v>
      </x:c>
      <x:c r="C33" t="str">
        <x:v>a</x:v>
      </x:c>
      <x:c r="D33" t="str">
        <x:v>g99149ec6-a69c-4ce5-b29a-3e026781e272</x:v>
      </x:c>
      <x:c r="E33" t="str">
        <x:v>gbc66a7e1-aced-4667-a679-1c0fdd31c4b2</x:v>
      </x:c>
      <x:c r="F33" t="str">
        <x:v>https://www.webonary.org/marubo/gbc66a7e1-aced-4667-a679-1c0fdd31c4b2/</x:v>
      </x:c>
      <x:c r="G33" s="20" t="n">
        <x:v>46003.934735</x:v>
      </x:c>
    </x:row>
    <x:row r="34">
      <x:c r="A34" t="str">
        <x:v>abacaba</x:v>
      </x:c>
      <x:c r="B34" t="str">
        <x:v>kevõ isã</x:v>
      </x:c>
      <x:c r="C34" t="str">
        <x:v>a</x:v>
      </x:c>
      <x:c r="D34" t="str">
        <x:v>gd734367f-a0f4-4cbd-b23c-ad643aa2392c</x:v>
      </x:c>
      <x:c r="E34" t="str">
        <x:v>g80916409-e238-4a30-b4ab-bf6e1bc30fa1</x:v>
      </x:c>
      <x:c r="F34" t="str">
        <x:v>https://www.webonary.org/marubo/g80916409-e238-4a30-b4ab-bf6e1bc30fa1/</x:v>
      </x:c>
      <x:c r="G34" s="20" t="n">
        <x:v>46003.934735</x:v>
      </x:c>
    </x:row>
    <x:row r="35">
      <x:c r="A35" t="str">
        <x:v>abacaxi</x:v>
      </x:c>
      <x:c r="B35" t="str">
        <x:v>kãká</x:v>
      </x:c>
      <x:c r="C35" t="str">
        <x:v>a</x:v>
      </x:c>
      <x:c r="D35" t="str">
        <x:v>g9b17b579-e247-46c4-9adb-749ca0ea6b52</x:v>
      </x:c>
      <x:c r="E35" t="str">
        <x:v>gda20145f-d282-42ff-99ff-c4e228057892</x:v>
      </x:c>
      <x:c r="F35" t="str">
        <x:v>https://www.webonary.org/marubo/gda20145f-d282-42ff-99ff-c4e228057892/</x:v>
      </x:c>
      <x:c r="G35" s="20" t="n">
        <x:v>46003.934735</x:v>
      </x:c>
    </x:row>
    <x:row r="36">
      <x:c r="A36" t="str">
        <x:v>abandonar</x:v>
      </x:c>
      <x:c r="B36" t="str">
        <x:v>enéa</x:v>
      </x:c>
      <x:c r="C36" t="str">
        <x:v>a</x:v>
      </x:c>
      <x:c r="D36" t="str">
        <x:v>g9c3e45a8-55fa-449a-8165-4ee37355c60b</x:v>
      </x:c>
      <x:c r="E36" t="str">
        <x:v>g8cd93321-fc12-4649-af6c-54fc54d1dc3f</x:v>
      </x:c>
      <x:c r="F36" t="str">
        <x:v>https://www.webonary.org/marubo/g8cd93321-fc12-4649-af6c-54fc54d1dc3f/</x:v>
      </x:c>
      <x:c r="G36" s="20" t="n">
        <x:v>46003.934735</x:v>
      </x:c>
    </x:row>
    <x:row r="37">
      <x:c r="A37" t="str">
        <x:v>abano</x:v>
      </x:c>
      <x:c r="B37" t="str">
        <x:v>wekoti</x:v>
      </x:c>
      <x:c r="C37" t="str">
        <x:v>a</x:v>
      </x:c>
      <x:c r="D37" t="str">
        <x:v>g93b2a780-820e-4c13-bb06-fcb96ea11c0d</x:v>
      </x:c>
      <x:c r="E37" t="str">
        <x:v>g0d386ab8-5bab-4094-8c19-880608fbfeb5</x:v>
      </x:c>
      <x:c r="F37" t="str">
        <x:v>https://www.webonary.org/marubo/g0d386ab8-5bab-4094-8c19-880608fbfeb5/</x:v>
      </x:c>
      <x:c r="G37" s="20" t="n">
        <x:v>46003.934735</x:v>
      </x:c>
    </x:row>
    <x:row r="38">
      <x:c r="A38" t="str">
        <x:v>abater</x:v>
      </x:c>
      <x:c r="B38" t="str">
        <x:v>sawé aká</x:v>
      </x:c>
      <x:c r="C38" t="str">
        <x:v>a</x:v>
      </x:c>
      <x:c r="D38" t="str">
        <x:v>gf744a001-cc79-44d6-bab0-668a33eac670</x:v>
      </x:c>
      <x:c r="E38" t="str">
        <x:v>g5b640b8d-8a9c-497a-b432-b8ca01f1842a</x:v>
      </x:c>
      <x:c r="F38" t="str">
        <x:v>https://www.webonary.org/marubo/g5b640b8d-8a9c-497a-b432-b8ca01f1842a/</x:v>
      </x:c>
      <x:c r="G38" s="20" t="n">
        <x:v>46003.934735</x:v>
      </x:c>
    </x:row>
    <x:row r="39">
      <x:c r="A39" t="str">
        <x:v>abelha</x:v>
      </x:c>
      <x:c r="B39" t="str">
        <x:v>samõ</x:v>
      </x:c>
      <x:c r="C39" t="str">
        <x:v>a</x:v>
      </x:c>
      <x:c r="D39" t="str">
        <x:v>g3577a474-dd3f-4e5a-8bf1-0edb22a8b9ca</x:v>
      </x:c>
      <x:c r="E39" t="str">
        <x:v>gde1ed921-5619-4327-bfe4-6f88db2e0560</x:v>
      </x:c>
      <x:c r="F39" t="str">
        <x:v>https://www.webonary.org/marubo/gde1ed921-5619-4327-bfe4-6f88db2e0560/</x:v>
      </x:c>
      <x:c r="G39" s="20" t="n">
        <x:v>46003.934735</x:v>
      </x:c>
    </x:row>
    <x:row r="40">
      <x:c r="A40" t="str">
        <x:v>abelha</x:v>
      </x:c>
      <x:c r="B40" t="str">
        <x:v>vona</x:v>
      </x:c>
      <x:c r="C40" t="str">
        <x:v>a</x:v>
      </x:c>
      <x:c r="D40" t="str">
        <x:v>g3577a474-dd3f-4e5a-8bf1-0edb22a8b9ca</x:v>
      </x:c>
      <x:c r="E40" t="str">
        <x:v>gc0748ca9-487b-425c-882d-574158a18e8d</x:v>
      </x:c>
      <x:c r="F40" t="str">
        <x:v>https://www.webonary.org/marubo/gc0748ca9-487b-425c-882d-574158a18e8d/</x:v>
      </x:c>
      <x:c r="G40" s="20" t="n">
        <x:v>46003.934735</x:v>
      </x:c>
    </x:row>
    <x:row r="41">
      <x:c r="A41" t="str">
        <x:v>abelha</x:v>
      </x:c>
      <x:c r="B41" t="str">
        <x:v>vakõ</x:v>
      </x:c>
      <x:c r="C41" t="str">
        <x:v>a</x:v>
      </x:c>
      <x:c r="D41" t="str">
        <x:v>g3577a474-dd3f-4e5a-8bf1-0edb22a8b9ca</x:v>
      </x:c>
      <x:c r="E41" t="str">
        <x:v>g780c9a46-b001-4dcd-b298-c11ba97ca00b</x:v>
      </x:c>
      <x:c r="F41" t="str">
        <x:v>https://www.webonary.org/marubo/g780c9a46-b001-4dcd-b298-c11ba97ca00b/</x:v>
      </x:c>
      <x:c r="G41" s="20" t="n">
        <x:v>46003.934735</x:v>
      </x:c>
    </x:row>
    <x:row r="42">
      <x:c r="A42" t="str">
        <x:v>abelha</x:v>
      </x:c>
      <x:c r="B42" t="str">
        <x:v>1</x:v>
      </x:c>
      <x:c r="C42" t="str">
        <x:v>a</x:v>
      </x:c>
      <x:c r="D42" t="str">
        <x:v>g3577a474-dd3f-4e5a-8bf1-0edb22a8b9ca</x:v>
      </x:c>
      <x:c r="E42" t="str">
        <x:v>g780c9a46-b001-4dcd-b298-c11ba97ca00b</x:v>
      </x:c>
      <x:c r="F42" t="str">
        <x:v>https://www.webonary.org/marubo/g780c9a46-b001-4dcd-b298-c11ba97ca00b/</x:v>
      </x:c>
      <x:c r="G42" s="20" t="n">
        <x:v>46003.934735</x:v>
      </x:c>
    </x:row>
    <x:row r="43">
      <x:c r="A43" t="str">
        <x:v>abiu</x:v>
      </x:c>
      <x:c r="B43" t="str">
        <x:v>iwi õchĩ</x:v>
      </x:c>
      <x:c r="C43" t="str">
        <x:v>a</x:v>
      </x:c>
      <x:c r="D43" t="str">
        <x:v>g566cf781-4208-42e4-8feb-df37bfac4605</x:v>
      </x:c>
      <x:c r="E43" t="str">
        <x:v>gcb31e2af-f47e-4ebf-80e6-0ac0394047e1</x:v>
      </x:c>
      <x:c r="F43" t="str">
        <x:v>https://www.webonary.org/marubo/gcb31e2af-f47e-4ebf-80e6-0ac0394047e1/</x:v>
      </x:c>
      <x:c r="G43" s="20" t="n">
        <x:v>46003.934735</x:v>
      </x:c>
    </x:row>
    <x:row r="44">
      <x:c r="A44" t="str">
        <x:v>abobora</x:v>
      </x:c>
      <x:c r="B44" t="str">
        <x:v>warã</x:v>
      </x:c>
      <x:c r="C44" t="str">
        <x:v>a</x:v>
      </x:c>
      <x:c r="D44" t="str">
        <x:v>g3d261695-815f-4fd5-9a26-628a5cc21a5f</x:v>
      </x:c>
      <x:c r="E44" t="str">
        <x:v>g2a1a254d-d215-49c1-a159-f1249ab4e75e</x:v>
      </x:c>
      <x:c r="F44" t="str">
        <x:v>https://www.webonary.org/marubo/g2a1a254d-d215-49c1-a159-f1249ab4e75e/</x:v>
      </x:c>
      <x:c r="G44" s="20" t="n">
        <x:v>46003.934735</x:v>
      </x:c>
    </x:row>
    <x:row r="45">
      <x:c r="A45" t="str">
        <x:v>aborrecer</x:v>
      </x:c>
      <x:c r="B45" t="str">
        <x:v>ãtsã</x:v>
      </x:c>
      <x:c r="C45" t="str">
        <x:v>a</x:v>
      </x:c>
      <x:c r="D45" t="str">
        <x:v>g6920e9af-6161-4718-8ceb-fcb39ad1d749</x:v>
      </x:c>
      <x:c r="E45" t="str">
        <x:v>g5f3f2639-61d9-411f-8533-2153b196ae1b</x:v>
      </x:c>
      <x:c r="F45" t="str">
        <x:v>https://www.webonary.org/marubo/g5f3f2639-61d9-411f-8533-2153b196ae1b/</x:v>
      </x:c>
      <x:c r="G45" s="20" t="n">
        <x:v>46003.934735</x:v>
      </x:c>
    </x:row>
    <x:row r="46">
      <x:c r="A46" t="str">
        <x:v>aborrecido</x:v>
      </x:c>
      <x:c r="B46" t="str">
        <x:v>ãtsãka</x:v>
      </x:c>
      <x:c r="C46" t="str">
        <x:v>a</x:v>
      </x:c>
      <x:c r="D46" t="str">
        <x:v>g09ae0629-81f6-4f8e-ac41-01945875d029</x:v>
      </x:c>
      <x:c r="E46" t="str">
        <x:v>g8830782e-91e4-44d2-93e0-edec31603fe3</x:v>
      </x:c>
      <x:c r="F46" t="str">
        <x:v>https://www.webonary.org/marubo/g8830782e-91e4-44d2-93e0-edec31603fe3/</x:v>
      </x:c>
      <x:c r="G46" s="20" t="n">
        <x:v>46003.934735</x:v>
      </x:c>
    </x:row>
    <x:row r="47">
      <x:c r="A47" t="str">
        <x:v>abracadeira usado na parte superior do braco</x:v>
      </x:c>
      <x:c r="B47" t="str">
        <x:v>poneshti</x:v>
      </x:c>
      <x:c r="C47" t="str">
        <x:v>a</x:v>
      </x:c>
      <x:c r="D47" t="str">
        <x:v>g68a73ca5-1f30-450e-b2e6-10fa231bf5d2</x:v>
      </x:c>
      <x:c r="E47" t="str">
        <x:v>gadbabd81-4101-4ac8-9ea7-93c567edf572</x:v>
      </x:c>
      <x:c r="F47" t="str">
        <x:v>https://www.webonary.org/marubo/gadbabd81-4101-4ac8-9ea7-93c567edf572/</x:v>
      </x:c>
      <x:c r="G47" s="20" t="n">
        <x:v>46003.934735</x:v>
      </x:c>
    </x:row>
    <x:row r="48">
      <x:c r="A48" t="str">
        <x:v>abraçar em volta do pescoço</x:v>
      </x:c>
      <x:c r="B48" t="str">
        <x:v>vosek aká</x:v>
      </x:c>
      <x:c r="C48" t="str">
        <x:v>a</x:v>
      </x:c>
      <x:c r="D48" t="str">
        <x:v>g22a54aef-1802-4b5b-a7da-6142d2f4bddb</x:v>
      </x:c>
      <x:c r="E48" t="str">
        <x:v>gb7fd7be8-f6a1-4e60-a88d-7300ab92625e</x:v>
      </x:c>
      <x:c r="F48" t="str">
        <x:v>https://www.webonary.org/marubo/gb7fd7be8-f6a1-4e60-a88d-7300ab92625e/</x:v>
      </x:c>
      <x:c r="G48" s="20" t="n">
        <x:v>46003.934735</x:v>
      </x:c>
    </x:row>
    <x:row r="49">
      <x:c r="A49" t="str">
        <x:v>abrir</x:v>
      </x:c>
      <x:c r="B49" t="str">
        <x:v>vepẽa</x:v>
      </x:c>
      <x:c r="C49" t="str">
        <x:v>a</x:v>
      </x:c>
      <x:c r="D49" t="str">
        <x:v>g20322e07-299a-4154-91d2-e0c57c336d28</x:v>
      </x:c>
      <x:c r="E49" t="str">
        <x:v>g25229103-d8ab-4ec8-99c0-74c04c8cd5fb</x:v>
      </x:c>
      <x:c r="F49" t="str">
        <x:v>https://www.webonary.org/marubo/g25229103-d8ab-4ec8-99c0-74c04c8cd5fb/</x:v>
      </x:c>
      <x:c r="G49" s="20" t="n">
        <x:v>46003.934735</x:v>
      </x:c>
    </x:row>
    <x:row r="50">
      <x:c r="A50" t="str">
        <x:v>abrir</x:v>
      </x:c>
      <x:c r="B50" t="str">
        <x:v>kepẽa</x:v>
      </x:c>
      <x:c r="C50" t="str">
        <x:v>a</x:v>
      </x:c>
      <x:c r="D50" t="str">
        <x:v>g20322e07-299a-4154-91d2-e0c57c336d28</x:v>
      </x:c>
      <x:c r="E50" t="str">
        <x:v>g0aff260e-5575-4d97-a018-9b6ae346e284</x:v>
      </x:c>
      <x:c r="F50" t="str">
        <x:v>https://www.webonary.org/marubo/g0aff260e-5575-4d97-a018-9b6ae346e284/</x:v>
      </x:c>
      <x:c r="G50" s="20" t="n">
        <x:v>46003.934735</x:v>
      </x:c>
    </x:row>
    <x:row r="51">
      <x:c r="A51" t="str">
        <x:v>abrir</x:v>
      </x:c>
      <x:c r="B51" t="str">
        <x:v>achpá aká</x:v>
      </x:c>
      <x:c r="C51" t="str">
        <x:v>a</x:v>
      </x:c>
      <x:c r="D51" t="str">
        <x:v>g20322e07-299a-4154-91d2-e0c57c336d28</x:v>
      </x:c>
      <x:c r="E51" t="str">
        <x:v>g1316cdff-5e31-47f5-a657-30f18dd8afc3</x:v>
      </x:c>
      <x:c r="F51" t="str">
        <x:v>https://www.webonary.org/marubo/g1316cdff-5e31-47f5-a657-30f18dd8afc3/</x:v>
      </x:c>
      <x:c r="G51" s="20" t="n">
        <x:v>46003.934735</x:v>
      </x:c>
    </x:row>
    <x:row r="52">
      <x:c r="A52" t="str">
        <x:v>abrir buraco</x:v>
      </x:c>
      <x:c r="B52" t="str">
        <x:v>toãpá</x:v>
      </x:c>
      <x:c r="C52" t="str">
        <x:v>a</x:v>
      </x:c>
      <x:c r="D52" t="str">
        <x:v>gee6d5545-6e03-4a45-88b5-34c239da6bd4</x:v>
      </x:c>
      <x:c r="E52" t="str">
        <x:v>g76f0bc7a-e6bc-48e5-bd64-cc839a331c6a</x:v>
      </x:c>
      <x:c r="F52" t="str">
        <x:v>https://www.webonary.org/marubo/g76f0bc7a-e6bc-48e5-bd64-cc839a331c6a/</x:v>
      </x:c>
      <x:c r="G52" s="20" t="n">
        <x:v>46003.934735</x:v>
      </x:c>
    </x:row>
    <x:row r="53">
      <x:c r="A53" t="str">
        <x:v>acabar com</x:v>
      </x:c>
      <x:c r="B53" t="str">
        <x:v>keyoa</x:v>
      </x:c>
      <x:c r="C53" t="str">
        <x:v>a</x:v>
      </x:c>
      <x:c r="D53" t="str">
        <x:v>g8d803b3e-5258-452d-81d8-33963a741767</x:v>
      </x:c>
      <x:c r="E53" t="str">
        <x:v>gbe3525e0-7da3-44df-845b-6e5b2b979c6a</x:v>
      </x:c>
      <x:c r="F53" t="str">
        <x:v>https://www.webonary.org/marubo/gbe3525e0-7da3-44df-845b-6e5b2b979c6a/</x:v>
      </x:c>
      <x:c r="G53" s="20" t="n">
        <x:v>46003.934735</x:v>
      </x:c>
    </x:row>
    <x:row r="54">
      <x:c r="A54" t="str">
        <x:v>acabou</x:v>
      </x:c>
      <x:c r="B54" t="str">
        <x:v>atíse</x:v>
      </x:c>
      <x:c r="C54" t="str">
        <x:v>a</x:v>
      </x:c>
      <x:c r="D54" t="str">
        <x:v>g529b3dd8-3c64-454a-b923-e6468c743f1c</x:v>
      </x:c>
      <x:c r="E54" t="str">
        <x:v>g56f3536c-69ef-4a99-b00e-ca7ab66167b7</x:v>
      </x:c>
      <x:c r="F54" t="str">
        <x:v>https://www.webonary.org/marubo/g56f3536c-69ef-4a99-b00e-ca7ab66167b7/</x:v>
      </x:c>
      <x:c r="G54" s="20" t="n">
        <x:v>46003.934735</x:v>
      </x:c>
    </x:row>
    <x:row r="55">
      <x:c r="A55" t="str">
        <x:v>açai</x:v>
      </x:c>
      <x:c r="B55" t="str">
        <x:v>panã</x:v>
      </x:c>
      <x:c r="C55" t="str">
        <x:v>a</x:v>
      </x:c>
      <x:c r="D55" t="str">
        <x:v>g05d4a760-5a4d-448d-90e0-59528b91d315</x:v>
      </x:c>
      <x:c r="E55" t="str">
        <x:v>gccefed29-5bd9-415c-b4cc-520f8e426201</x:v>
      </x:c>
      <x:c r="F55" t="str">
        <x:v>https://www.webonary.org/marubo/gccefed29-5bd9-415c-b4cc-520f8e426201/</x:v>
      </x:c>
      <x:c r="G55" s="20" t="n">
        <x:v>46003.934735</x:v>
      </x:c>
    </x:row>
    <x:row r="56">
      <x:c r="A56" t="str">
        <x:v>acender</x:v>
      </x:c>
      <x:c r="B56" t="str">
        <x:v>keti méa</x:v>
      </x:c>
      <x:c r="C56" t="str">
        <x:v>a</x:v>
      </x:c>
      <x:c r="D56" t="str">
        <x:v>g49279bf4-46c4-4e7e-af2f-95a3e3d8895a</x:v>
      </x:c>
      <x:c r="E56" t="str">
        <x:v>gc93ea135-b65e-4efe-afb5-47fbcfc7b8b9</x:v>
      </x:c>
      <x:c r="F56" t="str">
        <x:v>https://www.webonary.org/marubo/gc93ea135-b65e-4efe-afb5-47fbcfc7b8b9/</x:v>
      </x:c>
      <x:c r="G56" s="20" t="n">
        <x:v>46003.934735</x:v>
      </x:c>
    </x:row>
    <x:row r="57">
      <x:c r="A57" t="str">
        <x:v>acender</x:v>
      </x:c>
      <x:c r="B57" t="str">
        <x:v>ketĩa</x:v>
      </x:c>
      <x:c r="C57" t="str">
        <x:v>a</x:v>
      </x:c>
      <x:c r="D57" t="str">
        <x:v>g49279bf4-46c4-4e7e-af2f-95a3e3d8895a</x:v>
      </x:c>
      <x:c r="E57" t="str">
        <x:v>g3eb3c0dd-6b63-44f8-b457-0637ccd990de</x:v>
      </x:c>
      <x:c r="F57" t="str">
        <x:v>https://www.webonary.org/marubo/g3eb3c0dd-6b63-44f8-b457-0637ccd990de/</x:v>
      </x:c>
      <x:c r="G57" s="20" t="n">
        <x:v>46003.934735</x:v>
      </x:c>
    </x:row>
    <x:row r="58">
      <x:c r="A58" t="str">
        <x:v>acertar</x:v>
      </x:c>
      <x:c r="B58" t="str">
        <x:v>meki</x:v>
      </x:c>
      <x:c r="C58" t="str">
        <x:v>a</x:v>
      </x:c>
      <x:c r="D58" t="str">
        <x:v>gd9e6e279-8d02-4d16-8870-3f0fa9f8e768</x:v>
      </x:c>
      <x:c r="E58" t="str">
        <x:v>gb87ce36f-d2bf-455f-94f0-5674e102fced</x:v>
      </x:c>
      <x:c r="F58" t="str">
        <x:v>https://www.webonary.org/marubo/gb87ce36f-d2bf-455f-94f0-5674e102fced/</x:v>
      </x:c>
      <x:c r="G58" s="20" t="n">
        <x:v>46003.934735</x:v>
      </x:c>
    </x:row>
    <x:row r="59">
      <x:c r="A59" t="str">
        <x:v>achar</x:v>
      </x:c>
      <x:c r="B59" t="str">
        <x:v>mera</x:v>
      </x:c>
      <x:c r="C59" t="str">
        <x:v>a</x:v>
      </x:c>
      <x:c r="D59" t="str">
        <x:v>g2c787e92-9402-43a7-8359-025093f33602</x:v>
      </x:c>
      <x:c r="E59" t="str">
        <x:v>g4e47a175-8ed2-479b-9ad5-5973ec684be1</x:v>
      </x:c>
      <x:c r="F59" t="str">
        <x:v>https://www.webonary.org/marubo/g4e47a175-8ed2-479b-9ad5-5973ec684be1/</x:v>
      </x:c>
      <x:c r="G59" s="20" t="n">
        <x:v>46003.934735</x:v>
      </x:c>
    </x:row>
    <x:row r="60">
      <x:c r="A60" t="str">
        <x:v>achar alguem</x:v>
      </x:c>
      <x:c r="B60" t="str">
        <x:v>ii</x:v>
      </x:c>
      <x:c r="C60" t="str">
        <x:v>a</x:v>
      </x:c>
      <x:c r="D60" t="str">
        <x:v>gd86573a7-805a-4c03-bcd8-54bb33a4b700</x:v>
      </x:c>
      <x:c r="E60" t="str">
        <x:v>gd8a34083-eb47-4579-a007-fa5b9cefb0fc</x:v>
      </x:c>
      <x:c r="F60" t="str">
        <x:v>https://www.webonary.org/marubo/gd8a34083-eb47-4579-a007-fa5b9cefb0fc/</x:v>
      </x:c>
      <x:c r="G60" s="20" t="n">
        <x:v>46003.934735</x:v>
      </x:c>
    </x:row>
    <x:row r="61">
      <x:c r="A61" t="str">
        <x:v>aconselhar</x:v>
      </x:c>
      <x:c r="B61" t="str">
        <x:v>esea</x:v>
      </x:c>
      <x:c r="C61" t="str">
        <x:v>a</x:v>
      </x:c>
      <x:c r="D61" t="str">
        <x:v>gb72f31d7-0c08-4eb2-9d31-9bb661c7756b</x:v>
      </x:c>
      <x:c r="E61" t="str">
        <x:v>gb5ea9024-b554-45c2-94a4-849b10c3623a</x:v>
      </x:c>
      <x:c r="F61" t="str">
        <x:v>https://www.webonary.org/marubo/gb5ea9024-b554-45c2-94a4-849b10c3623a/</x:v>
      </x:c>
      <x:c r="G61" s="20" t="n">
        <x:v>46003.934735</x:v>
      </x:c>
    </x:row>
    <x:row r="62">
      <x:c r="A62" t="str">
        <x:v>acordar</x:v>
      </x:c>
      <x:c r="B62" t="str">
        <x:v>vesoa</x:v>
      </x:c>
      <x:c r="C62" t="str">
        <x:v>a</x:v>
      </x:c>
      <x:c r="D62" t="str">
        <x:v>g60f95c17-4734-4a57-996f-de7c3dbaadb6</x:v>
      </x:c>
      <x:c r="E62" t="str">
        <x:v>g0d62fa1d-7bb4-4a06-8d9a-ec6c67ea75e7</x:v>
      </x:c>
      <x:c r="F62" t="str">
        <x:v>https://www.webonary.org/marubo/g0d62fa1d-7bb4-4a06-8d9a-ec6c67ea75e7/</x:v>
      </x:c>
      <x:c r="G62" s="20" t="n">
        <x:v>46003.934735</x:v>
      </x:c>
    </x:row>
    <x:row r="63">
      <x:c r="A63" t="str">
        <x:v>acostumado</x:v>
      </x:c>
      <x:c r="B63" t="str">
        <x:v>kawáya</x:v>
      </x:c>
      <x:c r="C63" t="str">
        <x:v>a</x:v>
      </x:c>
      <x:c r="D63" t="str">
        <x:v>g76b9b29e-884f-4624-bb30-0b5a510ef4c7</x:v>
      </x:c>
      <x:c r="E63" t="str">
        <x:v>g00d450ea-1203-47e0-941f-35e73f9788e9</x:v>
      </x:c>
      <x:c r="F63" t="str">
        <x:v>https://www.webonary.org/marubo/g00d450ea-1203-47e0-941f-35e73f9788e9/</x:v>
      </x:c>
      <x:c r="G63" s="20" t="n">
        <x:v>46003.934735</x:v>
      </x:c>
    </x:row>
    <x:row r="64">
      <x:c r="A64" t="str">
        <x:v>acostumar</x:v>
      </x:c>
      <x:c r="B64" t="str">
        <x:v>kãwá</x:v>
      </x:c>
      <x:c r="C64" t="str">
        <x:v>a</x:v>
      </x:c>
      <x:c r="D64" t="str">
        <x:v>g4e23991f-acec-47e7-840e-5864ee8d9baf</x:v>
      </x:c>
      <x:c r="E64" t="str">
        <x:v>g10dc38b7-1d5c-4430-aa46-4b5cfa0f68ef</x:v>
      </x:c>
      <x:c r="F64" t="str">
        <x:v>https://www.webonary.org/marubo/g10dc38b7-1d5c-4430-aa46-4b5cfa0f68ef/</x:v>
      </x:c>
      <x:c r="G64" s="20" t="n">
        <x:v>46003.934735</x:v>
      </x:c>
    </x:row>
    <x:row r="65">
      <x:c r="A65" t="str">
        <x:v>adivinhar</x:v>
      </x:c>
      <x:c r="B65" t="str">
        <x:v>onã</x:v>
      </x:c>
      <x:c r="C65" t="str">
        <x:v>a</x:v>
      </x:c>
      <x:c r="D65" t="str">
        <x:v>gd39fa65a-73f8-4bf3-92b4-1b689cebbb43</x:v>
      </x:c>
      <x:c r="E65" t="str">
        <x:v>g18a38b99-a7a5-4778-8bf6-61d157f2673b</x:v>
      </x:c>
      <x:c r="F65" t="str">
        <x:v>https://www.webonary.org/marubo/g18a38b99-a7a5-4778-8bf6-61d157f2673b/</x:v>
      </x:c>
      <x:c r="G65" s="20" t="n">
        <x:v>46003.934735</x:v>
      </x:c>
    </x:row>
    <x:row r="66">
      <x:c r="A66" t="str">
        <x:v>adivinhar</x:v>
      </x:c>
      <x:c r="B66" t="str">
        <x:v>1</x:v>
      </x:c>
      <x:c r="C66" t="str">
        <x:v>a</x:v>
      </x:c>
      <x:c r="D66" t="str">
        <x:v>gd39fa65a-73f8-4bf3-92b4-1b689cebbb43</x:v>
      </x:c>
      <x:c r="E66" t="str">
        <x:v>g18a38b99-a7a5-4778-8bf6-61d157f2673b</x:v>
      </x:c>
      <x:c r="F66" t="str">
        <x:v>https://www.webonary.org/marubo/g18a38b99-a7a5-4778-8bf6-61d157f2673b/</x:v>
      </x:c>
      <x:c r="G66" s="20" t="n">
        <x:v>46003.934735</x:v>
      </x:c>
    </x:row>
    <x:row r="67">
      <x:c r="A67" t="str">
        <x:v>ADJZ</x:v>
      </x:c>
      <x:c r="B67" t="str">
        <x:v>-ka</x:v>
      </x:c>
      <x:c r="C67" t="str">
        <x:v>a</x:v>
      </x:c>
      <x:c r="D67" t="str">
        <x:v>g8343a0cf-0ba0-4723-b315-83a18d344835</x:v>
      </x:c>
      <x:c r="E67" t="str">
        <x:v>gba7d2d6a-59fb-40e8-82e4-1914952c671c</x:v>
      </x:c>
      <x:c r="F67" t="str">
        <x:v>https://www.webonary.org/marubo/gba7d2d6a-59fb-40e8-82e4-1914952c671c/</x:v>
      </x:c>
      <x:c r="G67" s="20" t="n">
        <x:v>46003.934735</x:v>
      </x:c>
    </x:row>
    <x:row r="68">
      <x:c r="A68" t="str">
        <x:v>ADJZ</x:v>
      </x:c>
      <x:c r="B68" t="str">
        <x:v>1</x:v>
      </x:c>
      <x:c r="C68" t="str">
        <x:v>a</x:v>
      </x:c>
      <x:c r="D68" t="str">
        <x:v>g8343a0cf-0ba0-4723-b315-83a18d344835</x:v>
      </x:c>
      <x:c r="E68" t="str">
        <x:v>gba7d2d6a-59fb-40e8-82e4-1914952c671c</x:v>
      </x:c>
      <x:c r="F68" t="str">
        <x:v>https://www.webonary.org/marubo/gba7d2d6a-59fb-40e8-82e4-1914952c671c/</x:v>
      </x:c>
      <x:c r="G68" s="20" t="n">
        <x:v>46003.934735</x:v>
      </x:c>
    </x:row>
    <x:row r="69">
      <x:c r="A69" t="str">
        <x:v>adorar</x:v>
      </x:c>
      <x:c r="B69" t="str">
        <x:v>ravia</x:v>
      </x:c>
      <x:c r="C69" t="str">
        <x:v>a</x:v>
      </x:c>
      <x:c r="D69" t="str">
        <x:v>gd43aa06d-e473-4d8e-a180-839be20835ef</x:v>
      </x:c>
      <x:c r="E69" t="str">
        <x:v>gcf790f64-0b39-4792-acef-d4c8e04b1bff</x:v>
      </x:c>
      <x:c r="F69" t="str">
        <x:v>https://www.webonary.org/marubo/gcf790f64-0b39-4792-acef-d4c8e04b1bff/</x:v>
      </x:c>
      <x:c r="G69" s="20" t="n">
        <x:v>46003.934735</x:v>
      </x:c>
    </x:row>
    <x:row r="70">
      <x:c r="A70" t="str">
        <x:v>adquirir</x:v>
      </x:c>
      <x:c r="B70" t="str">
        <x:v>ivoa</x:v>
      </x:c>
      <x:c r="C70" t="str">
        <x:v>a</x:v>
      </x:c>
      <x:c r="D70" t="str">
        <x:v>g279c6124-0afb-44b4-af3f-f7f7b1ba19c4</x:v>
      </x:c>
      <x:c r="E70" t="str">
        <x:v>g8a0f0eca-64c9-4423-ab51-c0a3bcf990f0</x:v>
      </x:c>
      <x:c r="F70" t="str">
        <x:v>https://www.webonary.org/marubo/g8a0f0eca-64c9-4423-ab51-c0a3bcf990f0/</x:v>
      </x:c>
      <x:c r="G70" s="20" t="n">
        <x:v>46003.934735</x:v>
      </x:c>
    </x:row>
    <x:row r="71">
      <x:c r="A71" t="str">
        <x:v>ADV</x:v>
      </x:c>
      <x:c r="B71" t="str">
        <x:v>-sho</x:v>
      </x:c>
      <x:c r="C71" t="str">
        <x:v>a</x:v>
      </x:c>
      <x:c r="D71" t="str">
        <x:v>g71f77230-6d52-4bb9-9e2b-1e187ff04fc7</x:v>
      </x:c>
      <x:c r="E71" t="str">
        <x:v>ged84c477-2f10-44cc-99be-0a72ee3e8d7e</x:v>
      </x:c>
      <x:c r="F71" t="str">
        <x:v>https://www.webonary.org/marubo/ged84c477-2f10-44cc-99be-0a72ee3e8d7e/</x:v>
      </x:c>
      <x:c r="G71" s="20" t="n">
        <x:v>46003.934735</x:v>
      </x:c>
    </x:row>
    <x:row r="72">
      <x:c r="A72" t="str">
        <x:v>ADV</x:v>
      </x:c>
      <x:c r="B72" t="str">
        <x:v>3</x:v>
      </x:c>
      <x:c r="C72" t="str">
        <x:v>a</x:v>
      </x:c>
      <x:c r="D72" t="str">
        <x:v>g71f77230-6d52-4bb9-9e2b-1e187ff04fc7</x:v>
      </x:c>
      <x:c r="E72" t="str">
        <x:v>ged84c477-2f10-44cc-99be-0a72ee3e8d7e</x:v>
      </x:c>
      <x:c r="F72" t="str">
        <x:v>https://www.webonary.org/marubo/ged84c477-2f10-44cc-99be-0a72ee3e8d7e/</x:v>
      </x:c>
      <x:c r="G72" s="20" t="n">
        <x:v>46003.934735</x:v>
      </x:c>
    </x:row>
    <x:row r="73">
      <x:c r="A73" t="str">
        <x:v>afastar</x:v>
      </x:c>
      <x:c r="B73" t="str">
        <x:v>txichkéa</x:v>
      </x:c>
      <x:c r="C73" t="str">
        <x:v>a</x:v>
      </x:c>
      <x:c r="D73" t="str">
        <x:v>gbb1ff152-d940-4ce3-8c60-ed81cd280eff</x:v>
      </x:c>
      <x:c r="E73" t="str">
        <x:v>gd68a77e2-081b-4cce-b764-11904d21c187</x:v>
      </x:c>
      <x:c r="F73" t="str">
        <x:v>https://www.webonary.org/marubo/gd68a77e2-081b-4cce-b764-11904d21c187/</x:v>
      </x:c>
      <x:c r="G73" s="20" t="n">
        <x:v>46003.934735</x:v>
      </x:c>
    </x:row>
    <x:row r="74">
      <x:c r="A74" t="str">
        <x:v>afiado</x:v>
      </x:c>
      <x:c r="B74" t="str">
        <x:v>kewãka</x:v>
      </x:c>
      <x:c r="C74" t="str">
        <x:v>a</x:v>
      </x:c>
      <x:c r="D74" t="str">
        <x:v>gc5fc0eba-d8d0-4896-87ec-49d6f7f43d20</x:v>
      </x:c>
      <x:c r="E74" t="str">
        <x:v>g4fc0a267-53ad-4f44-9403-d862ace034ac</x:v>
      </x:c>
      <x:c r="F74" t="str">
        <x:v>https://www.webonary.org/marubo/g4fc0a267-53ad-4f44-9403-d862ace034ac/</x:v>
      </x:c>
      <x:c r="G74" s="20" t="n">
        <x:v>46003.934735</x:v>
      </x:c>
    </x:row>
    <x:row r="75">
      <x:c r="A75" t="str">
        <x:v>agachar</x:v>
      </x:c>
      <x:c r="B75" t="str">
        <x:v>tsirasme iná</x:v>
      </x:c>
      <x:c r="C75" t="str">
        <x:v>a</x:v>
      </x:c>
      <x:c r="D75" t="str">
        <x:v>g6e5866e3-dfe3-4b0a-9c63-3981f17aeb33</x:v>
      </x:c>
      <x:c r="E75" t="str">
        <x:v>g90748e54-1a0e-422e-8fb4-d6cc4b19fe67</x:v>
      </x:c>
      <x:c r="F75" t="str">
        <x:v>https://www.webonary.org/marubo/g90748e54-1a0e-422e-8fb4-d6cc4b19fe67/</x:v>
      </x:c>
      <x:c r="G75" s="20" t="n">
        <x:v>46003.934735</x:v>
      </x:c>
    </x:row>
    <x:row r="76">
      <x:c r="A76" t="str">
        <x:v>agachar</x:v>
      </x:c>
      <x:c r="B76" t="str">
        <x:v>tsirase mea</x:v>
      </x:c>
      <x:c r="C76" t="str">
        <x:v>a</x:v>
      </x:c>
      <x:c r="D76" t="str">
        <x:v>g6e5866e3-dfe3-4b0a-9c63-3981f17aeb33</x:v>
      </x:c>
      <x:c r="E76" t="str">
        <x:v>g9f7f7752-bf02-4485-87d6-1c5116adab9e</x:v>
      </x:c>
      <x:c r="F76" t="str">
        <x:v>https://www.webonary.org/marubo/g9f7f7752-bf02-4485-87d6-1c5116adab9e/</x:v>
      </x:c>
      <x:c r="G76" s="20" t="n">
        <x:v>46003.934735</x:v>
      </x:c>
    </x:row>
    <x:row r="77">
      <x:c r="A77" t="str">
        <x:v>agachar</x:v>
      </x:c>
      <x:c r="B77" t="str">
        <x:v>rãtí ipá</x:v>
      </x:c>
      <x:c r="C77" t="str">
        <x:v>a</x:v>
      </x:c>
      <x:c r="D77" t="str">
        <x:v>g6e5866e3-dfe3-4b0a-9c63-3981f17aeb33</x:v>
      </x:c>
      <x:c r="E77" t="str">
        <x:v>g4f6b8591-acd3-4362-a74a-ba3f69e8a854</x:v>
      </x:c>
      <x:c r="F77" t="str">
        <x:v>https://www.webonary.org/marubo/g4f6b8591-acd3-4362-a74a-ba3f69e8a854/</x:v>
      </x:c>
      <x:c r="G77" s="20" t="n">
        <x:v>46003.934735</x:v>
      </x:c>
    </x:row>
    <x:row r="78">
      <x:c r="A78" t="str">
        <x:v>agasalho</x:v>
      </x:c>
      <x:c r="B78" t="str">
        <x:v>matsi õpo</x:v>
      </x:c>
      <x:c r="C78" t="str">
        <x:v>a</x:v>
      </x:c>
      <x:c r="D78" t="str">
        <x:v>g4205b56d-756f-4971-a035-52f8440317fe</x:v>
      </x:c>
      <x:c r="E78" t="str">
        <x:v>g1b9146a5-3437-4dc5-8531-4174c060cd26</x:v>
      </x:c>
      <x:c r="F78" t="str">
        <x:v>https://www.webonary.org/marubo/g1b9146a5-3437-4dc5-8531-4174c060cd26/</x:v>
      </x:c>
      <x:c r="G78" s="20" t="n">
        <x:v>46003.934735</x:v>
      </x:c>
    </x:row>
    <x:row r="79">
      <x:c r="A79" t="str">
        <x:v>agora</x:v>
      </x:c>
      <x:c r="B79" t="str">
        <x:v>rama</x:v>
      </x:c>
      <x:c r="C79" t="str">
        <x:v>a</x:v>
      </x:c>
      <x:c r="D79" t="str">
        <x:v>g180ccc1e-c5e1-4bee-9d5a-ecbbc2ca3839</x:v>
      </x:c>
      <x:c r="E79" t="str">
        <x:v>g67d05de2-000b-46b8-8b80-b608f45d4efc</x:v>
      </x:c>
      <x:c r="F79" t="str">
        <x:v>https://www.webonary.org/marubo/g67d05de2-000b-46b8-8b80-b608f45d4efc/</x:v>
      </x:c>
      <x:c r="G79" s="20" t="n">
        <x:v>46003.93474337963</x:v>
      </x:c>
    </x:row>
    <x:row r="80">
      <x:c r="A80" t="str">
        <x:v>agrupado</x:v>
      </x:c>
      <x:c r="B80" t="str">
        <x:v>võtoka</x:v>
      </x:c>
      <x:c r="C80" t="str">
        <x:v>a</x:v>
      </x:c>
      <x:c r="D80" t="str">
        <x:v>gdb7f36d4-1e0e-4bad-bca0-c51df897d009</x:v>
      </x:c>
      <x:c r="E80" t="str">
        <x:v>g06c5379e-c095-4cd7-ba52-7cc4ee1bf4dc</x:v>
      </x:c>
      <x:c r="F80" t="str">
        <x:v>https://www.webonary.org/marubo/g06c5379e-c095-4cd7-ba52-7cc4ee1bf4dc/</x:v>
      </x:c>
      <x:c r="G80" s="20" t="n">
        <x:v>46003.93474337963</x:v>
      </x:c>
    </x:row>
    <x:row r="81">
      <x:c r="A81" t="str">
        <x:v>agua</x:v>
      </x:c>
      <x:c r="B81" t="str">
        <x:v>wakapasha</x:v>
      </x:c>
      <x:c r="C81" t="str">
        <x:v>a</x:v>
      </x:c>
      <x:c r="D81" t="str">
        <x:v>gb46cb34f-1749-4a55-9200-0795521ab8a7</x:v>
      </x:c>
      <x:c r="E81" t="str">
        <x:v>gbe528c0d-a45c-4771-b3d6-81fe4f7543bb</x:v>
      </x:c>
      <x:c r="F81" t="str">
        <x:v>https://www.webonary.org/marubo/gbe528c0d-a45c-4771-b3d6-81fe4f7543bb/</x:v>
      </x:c>
      <x:c r="G81" s="20" t="n">
        <x:v>46003.93474337963</x:v>
      </x:c>
    </x:row>
    <x:row r="82">
      <x:c r="A82" t="str">
        <x:v>água oleósa</x:v>
      </x:c>
      <x:c r="B82" t="str">
        <x:v>veséska</x:v>
      </x:c>
      <x:c r="C82" t="str">
        <x:v>a</x:v>
      </x:c>
      <x:c r="D82" t="str">
        <x:v>ga9e357cd-1b65-4eb4-aaba-830a97fc4310</x:v>
      </x:c>
      <x:c r="E82" t="str">
        <x:v>gc73e0cb3-d9ea-4b24-8cbf-1a0c51c5e6c7</x:v>
      </x:c>
      <x:c r="F82" t="str">
        <x:v>https://www.webonary.org/marubo/gc73e0cb3-d9ea-4b24-8cbf-1a0c51c5e6c7/</x:v>
      </x:c>
      <x:c r="G82" s="20" t="n">
        <x:v>46003.93474337963</x:v>
      </x:c>
    </x:row>
    <x:row r="83">
      <x:c r="A83" t="str">
        <x:v>aguado</x:v>
      </x:c>
      <x:c r="B83" t="str">
        <x:v>toshapáka</x:v>
      </x:c>
      <x:c r="C83" t="str">
        <x:v>a</x:v>
      </x:c>
      <x:c r="D83" t="str">
        <x:v>gefa7be82-f4ce-4b73-bbb9-13b34cfbfdf2</x:v>
      </x:c>
      <x:c r="E83" t="str">
        <x:v>g6a9cbf16-0aaf-4640-8974-e267465f010b</x:v>
      </x:c>
      <x:c r="F83" t="str">
        <x:v>https://www.webonary.org/marubo/g6a9cbf16-0aaf-4640-8974-e267465f010b/</x:v>
      </x:c>
      <x:c r="G83" s="20" t="n">
        <x:v>46003.93474337963</x:v>
      </x:c>
    </x:row>
    <x:row r="84">
      <x:c r="A84" t="str">
        <x:v>agulha</x:v>
      </x:c>
      <x:c r="B84" t="str">
        <x:v>sheo</x:v>
      </x:c>
      <x:c r="C84" t="str">
        <x:v>a</x:v>
      </x:c>
      <x:c r="D84" t="str">
        <x:v>ge1ef2322-a254-4ab2-9a1c-3e064123a054</x:v>
      </x:c>
      <x:c r="E84" t="str">
        <x:v>ga0d19455-88d1-49bf-8ffa-0f5622310dc0</x:v>
      </x:c>
      <x:c r="F84" t="str">
        <x:v>https://www.webonary.org/marubo/ga0d19455-88d1-49bf-8ffa-0f5622310dc0/</x:v>
      </x:c>
      <x:c r="G84" s="20" t="n">
        <x:v>46003.93474337963</x:v>
      </x:c>
    </x:row>
    <x:row r="85">
      <x:c r="A85" t="str">
        <x:v>aí</x:v>
      </x:c>
      <x:c r="B85" t="str">
        <x:v>ano</x:v>
      </x:c>
      <x:c r="C85" t="str">
        <x:v>a</x:v>
      </x:c>
      <x:c r="D85" t="str">
        <x:v>g6439d39d-7ccf-4a24-88f6-d592cea56bcd</x:v>
      </x:c>
      <x:c r="E85" t="str">
        <x:v>g5a0586a3-2a6c-48f9-ba18-ce1a006de727</x:v>
      </x:c>
      <x:c r="F85" t="str">
        <x:v>https://www.webonary.org/marubo/g5a0586a3-2a6c-48f9-ba18-ce1a006de727/</x:v>
      </x:c>
      <x:c r="G85" s="20" t="n">
        <x:v>46003.93474337963</x:v>
      </x:c>
    </x:row>
    <x:row r="86">
      <x:c r="A86" t="str">
        <x:v>aí</x:v>
      </x:c>
      <x:c r="B86" t="str">
        <x:v>2</x:v>
      </x:c>
      <x:c r="C86" t="str">
        <x:v>a</x:v>
      </x:c>
      <x:c r="D86" t="str">
        <x:v>g6439d39d-7ccf-4a24-88f6-d592cea56bcd</x:v>
      </x:c>
      <x:c r="E86" t="str">
        <x:v>g5a0586a3-2a6c-48f9-ba18-ce1a006de727</x:v>
      </x:c>
      <x:c r="F86" t="str">
        <x:v>https://www.webonary.org/marubo/g5a0586a3-2a6c-48f9-ba18-ce1a006de727/</x:v>
      </x:c>
      <x:c r="G86" s="20" t="n">
        <x:v>46003.93474337963</x:v>
      </x:c>
    </x:row>
    <x:row r="87">
      <x:c r="A87" t="str">
        <x:v>ajudar</x:v>
      </x:c>
      <x:c r="B87" t="str">
        <x:v>take aká</x:v>
      </x:c>
      <x:c r="C87" t="str">
        <x:v>a</x:v>
      </x:c>
      <x:c r="D87" t="str">
        <x:v>g532d2d7b-ee66-4f5c-b0ee-ef343bc0acff</x:v>
      </x:c>
      <x:c r="E87" t="str">
        <x:v>g9b130c84-7dd9-4b8a-98c4-757ec911ed3b</x:v>
      </x:c>
      <x:c r="F87" t="str">
        <x:v>https://www.webonary.org/marubo/g9b130c84-7dd9-4b8a-98c4-757ec911ed3b/</x:v>
      </x:c>
      <x:c r="G87" s="20" t="n">
        <x:v>46003.93474337963</x:v>
      </x:c>
    </x:row>
    <x:row r="88">
      <x:c r="A88" t="str">
        <x:v>alça</x:v>
      </x:c>
      <x:c r="B88" t="str">
        <x:v>pako</x:v>
      </x:c>
      <x:c r="C88" t="str">
        <x:v>a</x:v>
      </x:c>
      <x:c r="D88" t="str">
        <x:v>gf2d9fd52-7664-4c77-9c1a-805b16b58717</x:v>
      </x:c>
      <x:c r="E88" t="str">
        <x:v>g6b50f789-b2b6-48d6-9f97-5e8adaab9e9f</x:v>
      </x:c>
      <x:c r="F88" t="str">
        <x:v>https://www.webonary.org/marubo/g6b50f789-b2b6-48d6-9f97-5e8adaab9e9f/</x:v>
      </x:c>
      <x:c r="G88" s="20" t="n">
        <x:v>46003.93474337963</x:v>
      </x:c>
    </x:row>
    <x:row r="89">
      <x:c r="A89" t="str">
        <x:v>aldeia</x:v>
      </x:c>
      <x:c r="B89" t="str">
        <x:v>shavá</x:v>
      </x:c>
      <x:c r="C89" t="str">
        <x:v>a</x:v>
      </x:c>
      <x:c r="D89" t="str">
        <x:v>g615de5e2-e2f0-4cba-a049-028307451932</x:v>
      </x:c>
      <x:c r="E89" t="str">
        <x:v>gffd3c4c9-bf8d-4794-b4aa-db58785d05b6</x:v>
      </x:c>
      <x:c r="F89" t="str">
        <x:v>https://www.webonary.org/marubo/gffd3c4c9-bf8d-4794-b4aa-db58785d05b6/</x:v>
      </x:c>
      <x:c r="G89" s="20" t="n">
        <x:v>46003.93474337963</x:v>
      </x:c>
    </x:row>
    <x:row r="90">
      <x:c r="A90" t="str">
        <x:v>alegre</x:v>
      </x:c>
      <x:c r="B90" t="str">
        <x:v>mekía</x:v>
      </x:c>
      <x:c r="C90" t="str">
        <x:v>a</x:v>
      </x:c>
      <x:c r="D90" t="str">
        <x:v>g8ecb0d76-787b-4ceb-b54b-88f005d8669c</x:v>
      </x:c>
      <x:c r="E90" t="str">
        <x:v>g0d15c9df-1034-4876-8d9e-4aa8f2875518</x:v>
      </x:c>
      <x:c r="F90" t="str">
        <x:v>https://www.webonary.org/marubo/g0d15c9df-1034-4876-8d9e-4aa8f2875518/</x:v>
      </x:c>
      <x:c r="G90" s="20" t="n">
        <x:v>46003.93474337963</x:v>
      </x:c>
    </x:row>
    <x:row r="91">
      <x:c r="A91" t="str">
        <x:v>aleijado</x:v>
      </x:c>
      <x:c r="B91" t="str">
        <x:v>txãto</x:v>
      </x:c>
      <x:c r="C91" t="str">
        <x:v>a</x:v>
      </x:c>
      <x:c r="D91" t="str">
        <x:v>gd8da990a-295b-481a-a0c6-2530ae817d3c</x:v>
      </x:c>
      <x:c r="E91" t="str">
        <x:v>gbe0df28f-448d-49fb-be8e-6b08a342c243</x:v>
      </x:c>
      <x:c r="F91" t="str">
        <x:v>https://www.webonary.org/marubo/gbe0df28f-448d-49fb-be8e-6b08a342c243/</x:v>
      </x:c>
      <x:c r="G91" s="20" t="n">
        <x:v>46003.93474337963</x:v>
      </x:c>
    </x:row>
    <x:row r="92">
      <x:c r="A92" t="str">
        <x:v>algemar</x:v>
      </x:c>
      <x:c r="B92" t="str">
        <x:v>peshtóa</x:v>
      </x:c>
      <x:c r="C92" t="str">
        <x:v>a</x:v>
      </x:c>
      <x:c r="D92" t="str">
        <x:v>g8cfb96c9-cc73-4bab-98e1-b842fb333781</x:v>
      </x:c>
      <x:c r="E92" t="str">
        <x:v>g43737810-fb51-4e41-b51e-5481b66fd4d8</x:v>
      </x:c>
      <x:c r="F92" t="str">
        <x:v>https://www.webonary.org/marubo/g43737810-fb51-4e41-b51e-5481b66fd4d8/</x:v>
      </x:c>
      <x:c r="G92" s="20" t="n">
        <x:v>46003.93474337963</x:v>
      </x:c>
    </x:row>
    <x:row r="93">
      <x:c r="A93" t="str">
        <x:v>algo que é usado para cobrir</x:v>
      </x:c>
      <x:c r="B93" t="str">
        <x:v>pãteti</x:v>
      </x:c>
      <x:c r="C93" t="str">
        <x:v>a</x:v>
      </x:c>
      <x:c r="D93" t="str">
        <x:v>g8a2dd882-433a-4e1f-924e-175a92f00c75</x:v>
      </x:c>
      <x:c r="E93" t="str">
        <x:v>g121ea82a-07d6-4e0d-8b78-97c3f2fdb7ea</x:v>
      </x:c>
      <x:c r="F93" t="str">
        <x:v>https://www.webonary.org/marubo/g121ea82a-07d6-4e0d-8b78-97c3f2fdb7ea/</x:v>
      </x:c>
      <x:c r="G93" s="20" t="n">
        <x:v>46003.93474337963</x:v>
      </x:c>
    </x:row>
    <x:row r="94">
      <x:c r="A94" t="str">
        <x:v>alguma coisa ruim acontecer</x:v>
      </x:c>
      <x:c r="B94" t="str">
        <x:v>ichnaki pakéa</x:v>
      </x:c>
      <x:c r="C94" t="str">
        <x:v>a</x:v>
      </x:c>
      <x:c r="D94" t="str">
        <x:v>gdc20f2cc-9a42-4fb8-aa5a-46f5b963a08c</x:v>
      </x:c>
      <x:c r="E94" t="str">
        <x:v>ga065e079-87a1-4244-9984-47b51ac42c7a</x:v>
      </x:c>
      <x:c r="F94" t="str">
        <x:v>https://www.webonary.org/marubo/ga065e079-87a1-4244-9984-47b51ac42c7a/</x:v>
      </x:c>
      <x:c r="G94" s="20" t="n">
        <x:v>46003.93474337963</x:v>
      </x:c>
    </x:row>
    <x:row r="95">
      <x:c r="A95" t="str">
        <x:v>ali</x:v>
      </x:c>
      <x:c r="B95" t="str">
        <x:v>ari</x:v>
      </x:c>
      <x:c r="C95" t="str">
        <x:v>a</x:v>
      </x:c>
      <x:c r="D95" t="str">
        <x:v>g75e3cdcf-b58a-4ea6-b417-126e0d6dedaa</x:v>
      </x:c>
      <x:c r="E95" t="str">
        <x:v>g6bbf4d07-361b-47b2-b585-dd5f62d50749</x:v>
      </x:c>
      <x:c r="F95" t="str">
        <x:v>https://www.webonary.org/marubo/g6bbf4d07-361b-47b2-b585-dd5f62d50749/</x:v>
      </x:c>
      <x:c r="G95" s="20" t="n">
        <x:v>46003.93474337963</x:v>
      </x:c>
    </x:row>
    <x:row r="96">
      <x:c r="A96" t="str">
        <x:v>ali</x:v>
      </x:c>
      <x:c r="B96" t="str">
        <x:v>1</x:v>
      </x:c>
      <x:c r="C96" t="str">
        <x:v>a</x:v>
      </x:c>
      <x:c r="D96" t="str">
        <x:v>g75e3cdcf-b58a-4ea6-b417-126e0d6dedaa</x:v>
      </x:c>
      <x:c r="E96" t="str">
        <x:v>g6bbf4d07-361b-47b2-b585-dd5f62d50749</x:v>
      </x:c>
      <x:c r="F96" t="str">
        <x:v>https://www.webonary.org/marubo/g6bbf4d07-361b-47b2-b585-dd5f62d50749/</x:v>
      </x:c>
      <x:c r="G96" s="20" t="n">
        <x:v>46003.93474337963</x:v>
      </x:c>
    </x:row>
    <x:row r="97">
      <x:c r="A97" t="str">
        <x:v>ali</x:v>
      </x:c>
      <x:c r="B97" t="str">
        <x:v>ono</x:v>
      </x:c>
      <x:c r="C97" t="str">
        <x:v>a</x:v>
      </x:c>
      <x:c r="D97" t="str">
        <x:v>g75e3cdcf-b58a-4ea6-b417-126e0d6dedaa</x:v>
      </x:c>
      <x:c r="E97" t="str">
        <x:v>g52245572-0635-46bf-a1a6-25fa8dac23db</x:v>
      </x:c>
      <x:c r="F97" t="str">
        <x:v>https://www.webonary.org/marubo/g52245572-0635-46bf-a1a6-25fa8dac23db/</x:v>
      </x:c>
      <x:c r="G97" s="20" t="n">
        <x:v>46003.93474337963</x:v>
      </x:c>
    </x:row>
    <x:row r="98">
      <x:c r="A98" t="str">
        <x:v>ali</x:v>
      </x:c>
      <x:c r="B98" t="str">
        <x:v>2</x:v>
      </x:c>
      <x:c r="C98" t="str">
        <x:v>a</x:v>
      </x:c>
      <x:c r="D98" t="str">
        <x:v>g75e3cdcf-b58a-4ea6-b417-126e0d6dedaa</x:v>
      </x:c>
      <x:c r="E98" t="str">
        <x:v>g52245572-0635-46bf-a1a6-25fa8dac23db</x:v>
      </x:c>
      <x:c r="F98" t="str">
        <x:v>https://www.webonary.org/marubo/g52245572-0635-46bf-a1a6-25fa8dac23db/</x:v>
      </x:c>
      <x:c r="G98" s="20" t="n">
        <x:v>46003.93474337963</x:v>
      </x:c>
    </x:row>
    <x:row r="99">
      <x:c r="A99" t="str">
        <x:v>alma</x:v>
      </x:c>
      <x:c r="B99" t="str">
        <x:v>vaká</x:v>
      </x:c>
      <x:c r="C99" t="str">
        <x:v>a</x:v>
      </x:c>
      <x:c r="D99" t="str">
        <x:v>g6cd291e3-d9e5-49c5-bd6a-be954fcc579c</x:v>
      </x:c>
      <x:c r="E99" t="str">
        <x:v>g3106b296-9f82-4e63-a850-feb3db3d6296</x:v>
      </x:c>
      <x:c r="F99" t="str">
        <x:v>https://www.webonary.org/marubo/g3106b296-9f82-4e63-a850-feb3db3d6296/</x:v>
      </x:c>
      <x:c r="G99" s="20" t="n">
        <x:v>46003.93474337963</x:v>
      </x:c>
    </x:row>
    <x:row r="100">
      <x:c r="A100" t="str">
        <x:v>alto</x:v>
      </x:c>
      <x:c r="B100" t="str">
        <x:v>keyáka</x:v>
      </x:c>
      <x:c r="C100" t="str">
        <x:v>a</x:v>
      </x:c>
      <x:c r="D100" t="str">
        <x:v>gb3180026-5e96-4284-961e-c0db8693d26c</x:v>
      </x:c>
      <x:c r="E100" t="str">
        <x:v>g0ff87259-6b5a-4962-b0e6-08e8abcd8e7d</x:v>
      </x:c>
      <x:c r="F100" t="str">
        <x:v>https://www.webonary.org/marubo/g0ff87259-6b5a-4962-b0e6-08e8abcd8e7d/</x:v>
      </x:c>
      <x:c r="G100" s="20" t="n">
        <x:v>46003.93474337963</x:v>
      </x:c>
    </x:row>
    <x:row r="101">
      <x:c r="A101" t="str">
        <x:v>amaldiçoar</x:v>
      </x:c>
      <x:c r="B101" t="str">
        <x:v>romẽa</x:v>
      </x:c>
      <x:c r="C101" t="str">
        <x:v>a</x:v>
      </x:c>
      <x:c r="D101" t="str">
        <x:v>g0207b620-284a-4202-875f-d70fa8114d14</x:v>
      </x:c>
      <x:c r="E101" t="str">
        <x:v>g1a08ddb6-ca5f-4436-8d4a-aa2cb5c3469d</x:v>
      </x:c>
      <x:c r="F101" t="str">
        <x:v>https://www.webonary.org/marubo/g1a08ddb6-ca5f-4436-8d4a-aa2cb5c3469d/</x:v>
      </x:c>
      <x:c r="G101" s="20" t="n">
        <x:v>46003.93474337963</x:v>
      </x:c>
    </x:row>
    <x:row r="102">
      <x:c r="A102" t="str">
        <x:v>amanhã</x:v>
      </x:c>
      <x:c r="B102" t="str">
        <x:v>shaváma</x:v>
      </x:c>
      <x:c r="C102" t="str">
        <x:v>a</x:v>
      </x:c>
      <x:c r="D102" t="str">
        <x:v>g3015831f-86fa-4fe3-a2a3-f3fa8d1c0539</x:v>
      </x:c>
      <x:c r="E102" t="str">
        <x:v>g515bdc5a-4305-4d19-8aed-3883f447be58</x:v>
      </x:c>
      <x:c r="F102" t="str">
        <x:v>https://www.webonary.org/marubo/g515bdc5a-4305-4d19-8aed-3883f447be58/</x:v>
      </x:c>
      <x:c r="G102" s="20" t="n">
        <x:v>46003.93474337963</x:v>
      </x:c>
    </x:row>
    <x:row r="103">
      <x:c r="A103" t="str">
        <x:v>amanhecer</x:v>
      </x:c>
      <x:c r="B103" t="str">
        <x:v>shavákarãa</x:v>
      </x:c>
      <x:c r="C103" t="str">
        <x:v>a</x:v>
      </x:c>
      <x:c r="D103" t="str">
        <x:v>g1aff22cb-c6f9-4780-8374-4574d22a8e29</x:v>
      </x:c>
      <x:c r="E103" t="str">
        <x:v>g83f7fbda-395e-4479-9749-c7884f9e0651</x:v>
      </x:c>
      <x:c r="F103" t="str">
        <x:v>https://www.webonary.org/marubo/g83f7fbda-395e-4479-9749-c7884f9e0651/</x:v>
      </x:c>
      <x:c r="G103" s="20" t="n">
        <x:v>46003.93474337963</x:v>
      </x:c>
    </x:row>
    <x:row r="104">
      <x:c r="A104" t="str">
        <x:v>amargo</x:v>
      </x:c>
      <x:c r="B104" t="str">
        <x:v>tsimoka</x:v>
      </x:c>
      <x:c r="C104" t="str">
        <x:v>a</x:v>
      </x:c>
      <x:c r="D104" t="str">
        <x:v>g9b170d0d-8e90-4b0d-88ca-21f631e29d3d</x:v>
      </x:c>
      <x:c r="E104" t="str">
        <x:v>gf0aaa587-ece6-4739-9a11-7dbdd98beeff</x:v>
      </x:c>
      <x:c r="F104" t="str">
        <x:v>https://www.webonary.org/marubo/gf0aaa587-ece6-4739-9a11-7dbdd98beeff/</x:v>
      </x:c>
      <x:c r="G104" s="20" t="n">
        <x:v>46003.93474337963</x:v>
      </x:c>
    </x:row>
    <x:row r="105">
      <x:c r="A105" t="str">
        <x:v>amargo</x:v>
      </x:c>
      <x:c r="B105" t="str">
        <x:v>mokaka</x:v>
      </x:c>
      <x:c r="C105" t="str">
        <x:v>a</x:v>
      </x:c>
      <x:c r="D105" t="str">
        <x:v>g9b170d0d-8e90-4b0d-88ca-21f631e29d3d</x:v>
      </x:c>
      <x:c r="E105" t="str">
        <x:v>g73d9d663-df62-447d-9333-b3b09f984062</x:v>
      </x:c>
      <x:c r="F105" t="str">
        <x:v>https://www.webonary.org/marubo/g73d9d663-df62-447d-9333-b3b09f984062/</x:v>
      </x:c>
      <x:c r="G105" s="20" t="n">
        <x:v>46003.93474337963</x:v>
      </x:c>
    </x:row>
    <x:row r="106">
      <x:c r="A106" t="str">
        <x:v>amarrado</x:v>
      </x:c>
      <x:c r="B106" t="str">
        <x:v>tesketeskea</x:v>
      </x:c>
      <x:c r="C106" t="str">
        <x:v>a</x:v>
      </x:c>
      <x:c r="D106" t="str">
        <x:v>g64421482-7002-415a-b79b-c020960db54b</x:v>
      </x:c>
      <x:c r="E106" t="str">
        <x:v>g630a75e1-a4e6-4bbd-a538-7f3a6d6f0c62</x:v>
      </x:c>
      <x:c r="F106" t="str">
        <x:v>https://www.webonary.org/marubo/g630a75e1-a4e6-4bbd-a538-7f3a6d6f0c62/</x:v>
      </x:c>
      <x:c r="G106" s="20" t="n">
        <x:v>46003.93474337963</x:v>
      </x:c>
    </x:row>
    <x:row r="107">
      <x:c r="A107" t="str">
        <x:v>amarrado por parte de cima</x:v>
      </x:c>
      <x:c r="B107" t="str">
        <x:v>voshéa</x:v>
      </x:c>
      <x:c r="C107" t="str">
        <x:v>a</x:v>
      </x:c>
      <x:c r="D107" t="str">
        <x:v>g381856e7-6d1c-4708-80c2-94e4c2970378</x:v>
      </x:c>
      <x:c r="E107" t="str">
        <x:v>g37f4fbdd-4120-4ffb-b0a7-e4c2c4d2dbf7</x:v>
      </x:c>
      <x:c r="F107" t="str">
        <x:v>https://www.webonary.org/marubo/g37f4fbdd-4120-4ffb-b0a7-e4c2c4d2dbf7/</x:v>
      </x:c>
      <x:c r="G107" s="20" t="n">
        <x:v>46003.93474337963</x:v>
      </x:c>
    </x:row>
    <x:row r="108">
      <x:c r="A108" t="str">
        <x:v>amarrar</x:v>
      </x:c>
      <x:c r="B108" t="str">
        <x:v>nesha</x:v>
      </x:c>
      <x:c r="C108" t="str">
        <x:v>a</x:v>
      </x:c>
      <x:c r="D108" t="str">
        <x:v>g2e59fc2a-1635-458d-8b59-659f3e1b8981</x:v>
      </x:c>
      <x:c r="E108" t="str">
        <x:v>gdad68801-da15-41d8-ad53-d386e0fc647c</x:v>
      </x:c>
      <x:c r="F108" t="str">
        <x:v>https://www.webonary.org/marubo/gdad68801-da15-41d8-ad53-d386e0fc647c/</x:v>
      </x:c>
      <x:c r="G108" s="20" t="n">
        <x:v>46003.93474337963</x:v>
      </x:c>
    </x:row>
    <x:row r="109">
      <x:c r="A109" t="str">
        <x:v>amarrar em voltar</x:v>
      </x:c>
      <x:c r="B109" t="str">
        <x:v>yapóte mea</x:v>
      </x:c>
      <x:c r="C109" t="str">
        <x:v>a</x:v>
      </x:c>
      <x:c r="D109" t="str">
        <x:v>g9c50fd53-7c00-451d-94b7-9053cf48787a</x:v>
      </x:c>
      <x:c r="E109" t="str">
        <x:v>g92a68898-52ed-46db-b473-13167eea3c2b</x:v>
      </x:c>
      <x:c r="F109" t="str">
        <x:v>https://www.webonary.org/marubo/g92a68898-52ed-46db-b473-13167eea3c2b/</x:v>
      </x:c>
      <x:c r="G109" s="20" t="n">
        <x:v>46003.93474337963</x:v>
      </x:c>
    </x:row>
    <x:row r="110">
      <x:c r="A110" t="str">
        <x:v>amarrar em voltar</x:v>
      </x:c>
      <x:c r="B110" t="str">
        <x:v>yapóte aká</x:v>
      </x:c>
      <x:c r="C110" t="str">
        <x:v>a</x:v>
      </x:c>
      <x:c r="D110" t="str">
        <x:v>g9c50fd53-7c00-451d-94b7-9053cf48787a</x:v>
      </x:c>
      <x:c r="E110" t="str">
        <x:v>g5b6e646e-101c-486c-b39c-9cb9970aa17b</x:v>
      </x:c>
      <x:c r="F110" t="str">
        <x:v>https://www.webonary.org/marubo/g5b6e646e-101c-486c-b39c-9cb9970aa17b/</x:v>
      </x:c>
      <x:c r="G110" s="20" t="n">
        <x:v>46003.93474337963</x:v>
      </x:c>
    </x:row>
    <x:row r="111">
      <x:c r="A111" t="str">
        <x:v>amarrar por parte de cima</x:v>
      </x:c>
      <x:c r="B111" t="str">
        <x:v>voshea</x:v>
      </x:c>
      <x:c r="C111" t="str">
        <x:v>a</x:v>
      </x:c>
      <x:c r="D111" t="str">
        <x:v>gd692b50a-c068-4387-8f5a-eb4cd8e9105a</x:v>
      </x:c>
      <x:c r="E111" t="str">
        <x:v>g75149fd0-3a54-44b6-8d92-0ba70ed9966f</x:v>
      </x:c>
      <x:c r="F111" t="str">
        <x:v>https://www.webonary.org/marubo/g75149fd0-3a54-44b6-8d92-0ba70ed9966f/</x:v>
      </x:c>
      <x:c r="G111" s="20" t="n">
        <x:v>46003.93474337963</x:v>
      </x:c>
    </x:row>
    <x:row r="112">
      <x:c r="A112" t="str">
        <x:v>amassado</x:v>
      </x:c>
      <x:c r="B112" t="str">
        <x:v>txomíka</x:v>
      </x:c>
      <x:c r="C112" t="str">
        <x:v>a</x:v>
      </x:c>
      <x:c r="D112" t="str">
        <x:v>g086f9d1b-a595-4762-8cbf-7d2476f1ca66</x:v>
      </x:c>
      <x:c r="E112" t="str">
        <x:v>ge92cd614-d9b6-40ed-b339-80a0eb288b90</x:v>
      </x:c>
      <x:c r="F112" t="str">
        <x:v>https://www.webonary.org/marubo/ge92cd614-d9b6-40ed-b339-80a0eb288b90/</x:v>
      </x:c>
      <x:c r="G112" s="20" t="n">
        <x:v>46003.93474337963</x:v>
      </x:c>
    </x:row>
    <x:row r="113">
      <x:c r="A113" t="str">
        <x:v>amendoim</x:v>
      </x:c>
      <x:c r="B113" t="str">
        <x:v>manĩ</x:v>
      </x:c>
      <x:c r="C113" t="str">
        <x:v>a</x:v>
      </x:c>
      <x:c r="D113" t="str">
        <x:v>ga07c1915-5db5-408a-b149-95c3c5a79193</x:v>
      </x:c>
      <x:c r="E113" t="str">
        <x:v>g582f3af2-540f-4422-b688-467620310785</x:v>
      </x:c>
      <x:c r="F113" t="str">
        <x:v>https://www.webonary.org/marubo/g582f3af2-540f-4422-b688-467620310785/</x:v>
      </x:c>
      <x:c r="G113" s="20" t="n">
        <x:v>46003.93474337963</x:v>
      </x:c>
    </x:row>
    <x:row r="114">
      <x:c r="A114" t="str">
        <x:v>amigo</x:v>
      </x:c>
      <x:c r="B114" t="str">
        <x:v>avé takéa</x:v>
      </x:c>
      <x:c r="C114" t="str">
        <x:v>a</x:v>
      </x:c>
      <x:c r="D114" t="str">
        <x:v>ge79f32a6-ec8b-4668-82b1-df7ebddbcde3</x:v>
      </x:c>
      <x:c r="E114" t="str">
        <x:v>g8f89cb91-b942-4b64-97b3-94dac31ae825</x:v>
      </x:c>
      <x:c r="F114" t="str">
        <x:v>https://www.webonary.org/marubo/g8f89cb91-b942-4b64-97b3-94dac31ae825/</x:v>
      </x:c>
      <x:c r="G114" s="20" t="n">
        <x:v>46003.93474337963</x:v>
      </x:c>
    </x:row>
    <x:row r="115">
      <x:c r="A115" t="str">
        <x:v>amolado</x:v>
      </x:c>
      <x:c r="B115" t="str">
        <x:v>kewãka</x:v>
      </x:c>
      <x:c r="C115" t="str">
        <x:v>a</x:v>
      </x:c>
      <x:c r="D115" t="str">
        <x:v>g3c2e4149-fb7d-44a7-815b-1c75303b48bc</x:v>
      </x:c>
      <x:c r="E115" t="str">
        <x:v>g4fc0a267-53ad-4f44-9403-d862ace034ac</x:v>
      </x:c>
      <x:c r="F115" t="str">
        <x:v>https://www.webonary.org/marubo/g4fc0a267-53ad-4f44-9403-d862ace034ac/</x:v>
      </x:c>
      <x:c r="G115" s="20" t="n">
        <x:v>46003.93474337963</x:v>
      </x:c>
    </x:row>
    <x:row r="116">
      <x:c r="A116" t="str">
        <x:v>amolar</x:v>
      </x:c>
      <x:c r="B116" t="str">
        <x:v>kewã aká</x:v>
      </x:c>
      <x:c r="C116" t="str">
        <x:v>a</x:v>
      </x:c>
      <x:c r="D116" t="str">
        <x:v>gcf9cdeea-e2d9-4cd6-a2d5-2b77c669a44f</x:v>
      </x:c>
      <x:c r="E116" t="str">
        <x:v>g68ee07b5-8064-46ef-840d-45671e729f8d</x:v>
      </x:c>
      <x:c r="F116" t="str">
        <x:v>https://www.webonary.org/marubo/g68ee07b5-8064-46ef-840d-45671e729f8d/</x:v>
      </x:c>
      <x:c r="G116" s="20" t="n">
        <x:v>46003.93474337963</x:v>
      </x:c>
    </x:row>
    <x:row r="117">
      <x:c r="A117" t="str">
        <x:v>amolar ponta</x:v>
      </x:c>
      <x:c r="B117" t="str">
        <x:v>keno aká</x:v>
      </x:c>
      <x:c r="C117" t="str">
        <x:v>a</x:v>
      </x:c>
      <x:c r="D117" t="str">
        <x:v>gf98be176-38d3-46b9-a5eb-c3391511c1e9</x:v>
      </x:c>
      <x:c r="E117" t="str">
        <x:v>g41f03f0d-ae03-4487-bfea-0c52e01d5eb7</x:v>
      </x:c>
      <x:c r="F117" t="str">
        <x:v>https://www.webonary.org/marubo/g41f03f0d-ae03-4487-bfea-0c52e01d5eb7/</x:v>
      </x:c>
      <x:c r="G117" s="20" t="n">
        <x:v>46003.93474337963</x:v>
      </x:c>
    </x:row>
    <x:row r="118">
      <x:c r="A118" t="str">
        <x:v>ANA</x:v>
      </x:c>
      <x:c r="B118" t="str">
        <x:v>a</x:v>
      </x:c>
      <x:c r="C118" t="str">
        <x:v>a</x:v>
      </x:c>
      <x:c r="D118" t="str">
        <x:v>g6662b9be-6a90-4e69-b1a1-b2a4ccf89dd9</x:v>
      </x:c>
      <x:c r="E118" t="str">
        <x:v>g00089ee3-d0f4-4986-acb2-6fde811b875f</x:v>
      </x:c>
      <x:c r="F118" t="str">
        <x:v>https://www.webonary.org/marubo/g00089ee3-d0f4-4986-acb2-6fde811b875f/</x:v>
      </x:c>
      <x:c r="G118" s="20" t="n">
        <x:v>46003.93474337963</x:v>
      </x:c>
    </x:row>
    <x:row r="119">
      <x:c r="A119" t="str">
        <x:v>andar</x:v>
      </x:c>
      <x:c r="B119" t="str">
        <x:v>kawã</x:v>
      </x:c>
      <x:c r="C119" t="str">
        <x:v>a</x:v>
      </x:c>
      <x:c r="D119" t="str">
        <x:v>gd178a0f7-34c7-4963-a56b-699e875bf0df</x:v>
      </x:c>
      <x:c r="E119" t="str">
        <x:v>g53bfa61a-5aae-4cd1-a115-2d6a4a3b9821</x:v>
      </x:c>
      <x:c r="F119" t="str">
        <x:v>https://www.webonary.org/marubo/g53bfa61a-5aae-4cd1-a115-2d6a4a3b9821/</x:v>
      </x:c>
      <x:c r="G119" s="20" t="n">
        <x:v>46003.93474337963</x:v>
      </x:c>
    </x:row>
    <x:row r="120">
      <x:c r="A120" t="str">
        <x:v>andar</x:v>
      </x:c>
      <x:c r="B120" t="str">
        <x:v>atxá</x:v>
      </x:c>
      <x:c r="C120" t="str">
        <x:v>a</x:v>
      </x:c>
      <x:c r="D120" t="str">
        <x:v>gd178a0f7-34c7-4963-a56b-699e875bf0df</x:v>
      </x:c>
      <x:c r="E120" t="str">
        <x:v>g1351c4e1-e0b4-4a15-8516-cbe21515d07b</x:v>
      </x:c>
      <x:c r="F120" t="str">
        <x:v>https://www.webonary.org/marubo/g1351c4e1-e0b4-4a15-8516-cbe21515d07b/</x:v>
      </x:c>
      <x:c r="G120" s="20" t="n">
        <x:v>46003.93474337963</x:v>
      </x:c>
    </x:row>
    <x:row r="121">
      <x:c r="A121" t="str">
        <x:v>andar com</x:v>
      </x:c>
      <x:c r="B121" t="str">
        <x:v>tasánanã</x:v>
      </x:c>
      <x:c r="C121" t="str">
        <x:v>a</x:v>
      </x:c>
      <x:c r="D121" t="str">
        <x:v>gc30ed297-0e0d-4b2f-a65d-2be13cae1408</x:v>
      </x:c>
      <x:c r="E121" t="str">
        <x:v>g63236d2b-fc8a-4b3c-8396-87e23e38d938</x:v>
      </x:c>
      <x:c r="F121" t="str">
        <x:v>https://www.webonary.org/marubo/g63236d2b-fc8a-4b3c-8396-87e23e38d938/</x:v>
      </x:c>
      <x:c r="G121" s="20" t="n">
        <x:v>46003.93474337963</x:v>
      </x:c>
    </x:row>
    <x:row r="122">
      <x:c r="A122" t="str">
        <x:v>andar na ponta dos pés</x:v>
      </x:c>
      <x:c r="B122" t="str">
        <x:v>nachti nia</x:v>
      </x:c>
      <x:c r="C122" t="str">
        <x:v>a</x:v>
      </x:c>
      <x:c r="D122" t="str">
        <x:v>g2c415c8e-a840-40da-9fad-756be1177c19</x:v>
      </x:c>
      <x:c r="E122" t="str">
        <x:v>g0c8a92a6-c115-40a3-93f8-4888101d1156</x:v>
      </x:c>
      <x:c r="F122" t="str">
        <x:v>https://www.webonary.org/marubo/g0c8a92a6-c115-40a3-93f8-4888101d1156/</x:v>
      </x:c>
      <x:c r="G122" s="20" t="n">
        <x:v>46003.93474337963</x:v>
      </x:c>
    </x:row>
    <x:row r="123">
      <x:c r="A123" t="str">
        <x:v>animado</x:v>
      </x:c>
      <x:c r="B123" t="str">
        <x:v>metsáka</x:v>
      </x:c>
      <x:c r="C123" t="str">
        <x:v>a</x:v>
      </x:c>
      <x:c r="D123" t="str">
        <x:v>g13c1278d-e8bb-4c95-bcb7-925ae6835789</x:v>
      </x:c>
      <x:c r="E123" t="str">
        <x:v>g964acda8-df6a-4992-8036-3964aa321b96</x:v>
      </x:c>
      <x:c r="F123" t="str">
        <x:v>https://www.webonary.org/marubo/g964acda8-df6a-4992-8036-3964aa321b96/</x:v>
      </x:c>
      <x:c r="G123" s="20" t="n">
        <x:v>46003.93474337963</x:v>
      </x:c>
    </x:row>
    <x:row r="124">
      <x:c r="A124" t="str">
        <x:v>animal</x:v>
      </x:c>
      <x:c r="B124" t="str">
        <x:v>yoini</x:v>
      </x:c>
      <x:c r="C124" t="str">
        <x:v>a</x:v>
      </x:c>
      <x:c r="D124" t="str">
        <x:v>g3a549be9-d2e6-4404-9948-356c78675b1a</x:v>
      </x:c>
      <x:c r="E124" t="str">
        <x:v>gba0fcd75-dbc6-4ee4-866b-157dcf63fc5f</x:v>
      </x:c>
      <x:c r="F124" t="str">
        <x:v>https://www.webonary.org/marubo/gba0fcd75-dbc6-4ee4-866b-157dcf63fc5f/</x:v>
      </x:c>
      <x:c r="G124" s="20" t="n">
        <x:v>46003.93474337963</x:v>
      </x:c>
    </x:row>
    <x:row r="125">
      <x:c r="A125" t="str">
        <x:v>animal de estimação</x:v>
      </x:c>
      <x:c r="B125" t="str">
        <x:v>iná</x:v>
      </x:c>
      <x:c r="C125" t="str">
        <x:v>a</x:v>
      </x:c>
      <x:c r="D125" t="str">
        <x:v>gee015229-dfd4-40ef-948d-753a67e2e222</x:v>
      </x:c>
      <x:c r="E125" t="str">
        <x:v>gc0c1ff4b-66e1-4927-b59d-68171b1ab50d</x:v>
      </x:c>
      <x:c r="F125" t="str">
        <x:v>https://www.webonary.org/marubo/gc0c1ff4b-66e1-4927-b59d-68171b1ab50d/</x:v>
      </x:c>
      <x:c r="G125" s="20" t="n">
        <x:v>46003.93474337963</x:v>
      </x:c>
    </x:row>
    <x:row r="126">
      <x:c r="A126" t="str">
        <x:v>animal noturno</x:v>
      </x:c>
      <x:c r="B126" t="str">
        <x:v>shemé</x:v>
      </x:c>
      <x:c r="C126" t="str">
        <x:v>a</x:v>
      </x:c>
      <x:c r="D126" t="str">
        <x:v>ge0ba1116-6b31-4d1f-b227-0f9363aeb85a</x:v>
      </x:c>
      <x:c r="E126" t="str">
        <x:v>gfc4f8d9d-1f1c-4e69-bade-5dd143087271</x:v>
      </x:c>
      <x:c r="F126" t="str">
        <x:v>https://www.webonary.org/marubo/gfc4f8d9d-1f1c-4e69-bade-5dd143087271/</x:v>
      </x:c>
      <x:c r="G126" s="20" t="n">
        <x:v>46003.93474337963</x:v>
      </x:c>
    </x:row>
    <x:row r="127">
      <x:c r="A127" t="str">
        <x:v>ano</x:v>
      </x:c>
      <x:c r="B127" t="str">
        <x:v>vari shavá</x:v>
      </x:c>
      <x:c r="C127" t="str">
        <x:v>a</x:v>
      </x:c>
      <x:c r="D127" t="str">
        <x:v>gfb2de268-f7fd-4afa-889e-d39c1340c4f4</x:v>
      </x:c>
      <x:c r="E127" t="str">
        <x:v>g1247ba66-b551-4d9a-98cb-1511d0f075d2</x:v>
      </x:c>
      <x:c r="F127" t="str">
        <x:v>https://www.webonary.org/marubo/g1247ba66-b551-4d9a-98cb-1511d0f075d2/</x:v>
      </x:c>
      <x:c r="G127" s="20" t="n">
        <x:v>46003.93474337963</x:v>
      </x:c>
    </x:row>
    <x:row r="128">
      <x:c r="A128" t="str">
        <x:v>anta</x:v>
      </x:c>
      <x:c r="B128" t="str">
        <x:v>awá</x:v>
      </x:c>
      <x:c r="C128" t="str">
        <x:v>a</x:v>
      </x:c>
      <x:c r="D128" t="str">
        <x:v>g9e6088e3-a9a1-4c86-b207-1777ecce7878</x:v>
      </x:c>
      <x:c r="E128" t="str">
        <x:v>g28e9a28f-7810-4d10-990c-47df0e7d2001</x:v>
      </x:c>
      <x:c r="F128" t="str">
        <x:v>https://www.webonary.org/marubo/g28e9a28f-7810-4d10-990c-47df0e7d2001/</x:v>
      </x:c>
      <x:c r="G128" s="20" t="n">
        <x:v>46003.93474337963</x:v>
      </x:c>
    </x:row>
    <x:row r="129">
      <x:c r="A129" t="str">
        <x:v>anta</x:v>
      </x:c>
      <x:c r="B129" t="str">
        <x:v>1</x:v>
      </x:c>
      <x:c r="C129" t="str">
        <x:v>a</x:v>
      </x:c>
      <x:c r="D129" t="str">
        <x:v>g9e6088e3-a9a1-4c86-b207-1777ecce7878</x:v>
      </x:c>
      <x:c r="E129" t="str">
        <x:v>g28e9a28f-7810-4d10-990c-47df0e7d2001</x:v>
      </x:c>
      <x:c r="F129" t="str">
        <x:v>https://www.webonary.org/marubo/g28e9a28f-7810-4d10-990c-47df0e7d2001/</x:v>
      </x:c>
      <x:c r="G129" s="20" t="n">
        <x:v>46003.93474337963</x:v>
      </x:c>
    </x:row>
    <x:row r="130">
      <x:c r="A130" t="str">
        <x:v>antes</x:v>
      </x:c>
      <x:c r="B130" t="str">
        <x:v>vevo</x:v>
      </x:c>
      <x:c r="C130" t="str">
        <x:v>a</x:v>
      </x:c>
      <x:c r="D130" t="str">
        <x:v>g76830072-de15-4761-8cf9-a22c413a7637</x:v>
      </x:c>
      <x:c r="E130" t="str">
        <x:v>gf1b7c98c-0eed-47c0-a211-0165e9714475</x:v>
      </x:c>
      <x:c r="F130" t="str">
        <x:v>https://www.webonary.org/marubo/gf1b7c98c-0eed-47c0-a211-0165e9714475/</x:v>
      </x:c>
      <x:c r="G130" s="20" t="n">
        <x:v>46003.93474337963</x:v>
      </x:c>
    </x:row>
    <x:row r="131">
      <x:c r="A131" t="str">
        <x:v>ânus</x:v>
      </x:c>
      <x:c r="B131" t="str">
        <x:v>põikí</x:v>
      </x:c>
      <x:c r="C131" t="str">
        <x:v>a</x:v>
      </x:c>
      <x:c r="D131" t="str">
        <x:v>g7a37f516-5e29-4699-aef7-a7aef0fa7074</x:v>
      </x:c>
      <x:c r="E131" t="str">
        <x:v>g26608298-6328-44c2-9eb9-dbc11ccc2a59</x:v>
      </x:c>
      <x:c r="F131" t="str">
        <x:v>https://www.webonary.org/marubo/g26608298-6328-44c2-9eb9-dbc11ccc2a59/</x:v>
      </x:c>
      <x:c r="G131" s="20" t="n">
        <x:v>46003.93474337963</x:v>
      </x:c>
    </x:row>
    <x:row r="132">
      <x:c r="A132" t="str">
        <x:v>ao lado</x:v>
      </x:c>
      <x:c r="B132" t="str">
        <x:v>tavá</x:v>
      </x:c>
      <x:c r="C132" t="str">
        <x:v>a</x:v>
      </x:c>
      <x:c r="D132" t="str">
        <x:v>g4980323f-581e-452e-9507-c6762a0f3948</x:v>
      </x:c>
      <x:c r="E132" t="str">
        <x:v>g2e4d04f8-aa55-4bb8-aa6a-4ff0f7291513</x:v>
      </x:c>
      <x:c r="F132" t="str">
        <x:v>https://www.webonary.org/marubo/g2e4d04f8-aa55-4bb8-aa6a-4ff0f7291513/</x:v>
      </x:c>
      <x:c r="G132" s="20" t="n">
        <x:v>46003.93474337963</x:v>
      </x:c>
    </x:row>
    <x:row r="133">
      <x:c r="A133" t="str">
        <x:v>ao lado</x:v>
      </x:c>
      <x:c r="B133" t="str">
        <x:v>1</x:v>
      </x:c>
      <x:c r="C133" t="str">
        <x:v>a</x:v>
      </x:c>
      <x:c r="D133" t="str">
        <x:v>g4980323f-581e-452e-9507-c6762a0f3948</x:v>
      </x:c>
      <x:c r="E133" t="str">
        <x:v>g2e4d04f8-aa55-4bb8-aa6a-4ff0f7291513</x:v>
      </x:c>
      <x:c r="F133" t="str">
        <x:v>https://www.webonary.org/marubo/g2e4d04f8-aa55-4bb8-aa6a-4ff0f7291513/</x:v>
      </x:c>
      <x:c r="G133" s="20" t="n">
        <x:v>46003.93474337963</x:v>
      </x:c>
    </x:row>
    <x:row r="134">
      <x:c r="A134" t="str">
        <x:v>ao lado</x:v>
      </x:c>
      <x:c r="B134" t="str">
        <x:v>ketsa</x:v>
      </x:c>
      <x:c r="C134" t="str">
        <x:v>a</x:v>
      </x:c>
      <x:c r="D134" t="str">
        <x:v>g4980323f-581e-452e-9507-c6762a0f3948</x:v>
      </x:c>
      <x:c r="E134" t="str">
        <x:v>ge75ba666-32f2-42b9-9377-04259456a362</x:v>
      </x:c>
      <x:c r="F134" t="str">
        <x:v>https://www.webonary.org/marubo/ge75ba666-32f2-42b9-9377-04259456a362/</x:v>
      </x:c>
      <x:c r="G134" s="20" t="n">
        <x:v>46003.93474337963</x:v>
      </x:c>
    </x:row>
    <x:row r="135">
      <x:c r="A135" t="str">
        <x:v>apanhar (fruta)</x:v>
      </x:c>
      <x:c r="B135" t="str">
        <x:v>metséa</x:v>
      </x:c>
      <x:c r="C135" t="str">
        <x:v>a</x:v>
      </x:c>
      <x:c r="D135" t="str">
        <x:v>g783b068e-265c-47e4-9932-70e15792e35a</x:v>
      </x:c>
      <x:c r="E135" t="str">
        <x:v>g2031931b-27c4-4c09-a335-c6b30ee30b0a</x:v>
      </x:c>
      <x:c r="F135" t="str">
        <x:v>https://www.webonary.org/marubo/g2031931b-27c4-4c09-a335-c6b30ee30b0a/</x:v>
      </x:c>
      <x:c r="G135" s="20" t="n">
        <x:v>46003.93474337963</x:v>
      </x:c>
    </x:row>
    <x:row r="136">
      <x:c r="A136" t="str">
        <x:v>aparecer</x:v>
      </x:c>
      <x:c r="B136" t="str">
        <x:v>tachi</x:v>
      </x:c>
      <x:c r="C136" t="str">
        <x:v>a</x:v>
      </x:c>
      <x:c r="D136" t="str">
        <x:v>ga1d25a66-92c9-4e47-80f7-039a118daafd</x:v>
      </x:c>
      <x:c r="E136" t="str">
        <x:v>g86829643-e897-4d90-994b-9b1971a8d21d</x:v>
      </x:c>
      <x:c r="F136" t="str">
        <x:v>https://www.webonary.org/marubo/g86829643-e897-4d90-994b-9b1971a8d21d/</x:v>
      </x:c>
      <x:c r="G136" s="20" t="n">
        <x:v>46003.93474337963</x:v>
      </x:c>
    </x:row>
    <x:row r="137">
      <x:c r="A137" t="str">
        <x:v>aparecer</x:v>
      </x:c>
      <x:c r="B137" t="str">
        <x:v>1</x:v>
      </x:c>
      <x:c r="C137" t="str">
        <x:v>a</x:v>
      </x:c>
      <x:c r="D137" t="str">
        <x:v>ga1d25a66-92c9-4e47-80f7-039a118daafd</x:v>
      </x:c>
      <x:c r="E137" t="str">
        <x:v>g86829643-e897-4d90-994b-9b1971a8d21d</x:v>
      </x:c>
      <x:c r="F137" t="str">
        <x:v>https://www.webonary.org/marubo/g86829643-e897-4d90-994b-9b1971a8d21d/</x:v>
      </x:c>
      <x:c r="G137" s="20" t="n">
        <x:v>46003.93474337963</x:v>
      </x:c>
    </x:row>
    <x:row r="138">
      <x:c r="A138" t="str">
        <x:v>aparecer</x:v>
      </x:c>
      <x:c r="B138" t="str">
        <x:v>varía</x:v>
      </x:c>
      <x:c r="C138" t="str">
        <x:v>a</x:v>
      </x:c>
      <x:c r="D138" t="str">
        <x:v>ga1d25a66-92c9-4e47-80f7-039a118daafd</x:v>
      </x:c>
      <x:c r="E138" t="str">
        <x:v>gb12a4a16-ce4b-494e-94bd-4b218347c6c7</x:v>
      </x:c>
      <x:c r="F138" t="str">
        <x:v>https://www.webonary.org/marubo/gb12a4a16-ce4b-494e-94bd-4b218347c6c7/</x:v>
      </x:c>
      <x:c r="G138" s="20" t="n">
        <x:v>46003.93474337963</x:v>
      </x:c>
    </x:row>
    <x:row r="139">
      <x:c r="A139" t="str">
        <x:v>apertar</x:v>
      </x:c>
      <x:c r="B139" t="str">
        <x:v>tere aká</x:v>
      </x:c>
      <x:c r="C139" t="str">
        <x:v>a</x:v>
      </x:c>
      <x:c r="D139" t="str">
        <x:v>ge8d9e6a9-8027-423e-96e4-57028292e75e</x:v>
      </x:c>
      <x:c r="E139" t="str">
        <x:v>g0a14d40a-7f67-4537-97b6-70fb034f9e2c</x:v>
      </x:c>
      <x:c r="F139" t="str">
        <x:v>https://www.webonary.org/marubo/g0a14d40a-7f67-4537-97b6-70fb034f9e2c/</x:v>
      </x:c>
      <x:c r="G139" s="20" t="n">
        <x:v>46003.93474337963</x:v>
      </x:c>
    </x:row>
    <x:row r="140">
      <x:c r="A140" t="str">
        <x:v>apertar (cinturão</x:v>
      </x:c>
      <x:c r="B140" t="str">
        <x:v>poskea</x:v>
      </x:c>
      <x:c r="C140" t="str">
        <x:v>a</x:v>
      </x:c>
      <x:c r="D140" t="str">
        <x:v>g1ba1fa1b-5420-47ba-a87a-df67b0c00776</x:v>
      </x:c>
      <x:c r="E140" t="str">
        <x:v>g9a5f6dea-213e-4430-8c58-ed729dbd0e28</x:v>
      </x:c>
      <x:c r="F140" t="str">
        <x:v>https://www.webonary.org/marubo/g9a5f6dea-213e-4430-8c58-ed729dbd0e28/</x:v>
      </x:c>
      <x:c r="G140" s="20" t="n">
        <x:v>46003.93474337963</x:v>
      </x:c>
    </x:row>
    <x:row r="141">
      <x:c r="A141" t="str">
        <x:v>apito</x:v>
      </x:c>
      <x:c r="B141" t="str">
        <x:v>txoroti</x:v>
      </x:c>
      <x:c r="C141" t="str">
        <x:v>a</x:v>
      </x:c>
      <x:c r="D141" t="str">
        <x:v>g811c927c-ccef-4c4e-8dc9-e78db48334e6</x:v>
      </x:c>
      <x:c r="E141" t="str">
        <x:v>g1941767a-ef8a-4fa6-ad41-321ab34247cd</x:v>
      </x:c>
      <x:c r="F141" t="str">
        <x:v>https://www.webonary.org/marubo/g1941767a-ef8a-4fa6-ad41-321ab34247cd/</x:v>
      </x:c>
      <x:c r="G141" s="20" t="n">
        <x:v>46003.934751099536</x:v>
      </x:c>
    </x:row>
    <x:row r="142">
      <x:c r="A142" t="str">
        <x:v>aplicação de leite de sapo</x:v>
      </x:c>
      <x:c r="B142" t="str">
        <x:v>kãpo ikí</x:v>
      </x:c>
      <x:c r="C142" t="str">
        <x:v>a</x:v>
      </x:c>
      <x:c r="D142" t="str">
        <x:v>ge12d9279-441c-4c4b-ab50-c60fb19a2230</x:v>
      </x:c>
      <x:c r="E142" t="str">
        <x:v>g4a8da364-9d3c-4fb1-9ae0-0ba19788b0b6</x:v>
      </x:c>
      <x:c r="F142" t="str">
        <x:v>https://www.webonary.org/marubo/g4a8da364-9d3c-4fb1-9ae0-0ba19788b0b6/</x:v>
      </x:c>
      <x:c r="G142" s="20" t="n">
        <x:v>46003.934751099536</x:v>
      </x:c>
    </x:row>
    <x:row r="143">
      <x:c r="A143" t="str">
        <x:v>apodrecer</x:v>
      </x:c>
      <x:c r="B143" t="str">
        <x:v>pisia</x:v>
      </x:c>
      <x:c r="C143" t="str">
        <x:v>a</x:v>
      </x:c>
      <x:c r="D143" t="str">
        <x:v>g4c94b567-d77b-4409-a78e-4df9a35c65ad</x:v>
      </x:c>
      <x:c r="E143" t="str">
        <x:v>g74bea057-c1bd-45a5-8700-6e663acddb73</x:v>
      </x:c>
      <x:c r="F143" t="str">
        <x:v>https://www.webonary.org/marubo/g74bea057-c1bd-45a5-8700-6e663acddb73/</x:v>
      </x:c>
      <x:c r="G143" s="20" t="n">
        <x:v>46003.934751099536</x:v>
      </x:c>
    </x:row>
    <x:row r="144">
      <x:c r="A144" t="str">
        <x:v>apoiado</x:v>
      </x:c>
      <x:c r="B144" t="str">
        <x:v>otéa</x:v>
      </x:c>
      <x:c r="C144" t="str">
        <x:v>a</x:v>
      </x:c>
      <x:c r="D144" t="str">
        <x:v>g4c4ec57e-ca92-416d-bdc1-d1c49f708695</x:v>
      </x:c>
      <x:c r="E144" t="str">
        <x:v>g503cde6c-d178-4e84-9e00-edc7b6436dd7</x:v>
      </x:c>
      <x:c r="F144" t="str">
        <x:v>https://www.webonary.org/marubo/g503cde6c-d178-4e84-9e00-edc7b6436dd7/</x:v>
      </x:c>
      <x:c r="G144" s="20" t="n">
        <x:v>46003.934751099536</x:v>
      </x:c>
    </x:row>
    <x:row r="145">
      <x:c r="A145" t="str">
        <x:v>apóiar</x:v>
      </x:c>
      <x:c r="B145" t="str">
        <x:v>otea</x:v>
      </x:c>
      <x:c r="C145" t="str">
        <x:v>a</x:v>
      </x:c>
      <x:c r="D145" t="str">
        <x:v>gc5329cc2-eaa0-47d1-86a8-8c9eadbaa7a9</x:v>
      </x:c>
      <x:c r="E145" t="str">
        <x:v>g256de6da-0717-47cb-a4ec-95cd5041314d</x:v>
      </x:c>
      <x:c r="F145" t="str">
        <x:v>https://www.webonary.org/marubo/g256de6da-0717-47cb-a4ec-95cd5041314d/</x:v>
      </x:c>
      <x:c r="G145" s="20" t="n">
        <x:v>46003.934751099536</x:v>
      </x:c>
    </x:row>
    <x:row r="146">
      <x:c r="A146" t="str">
        <x:v>apontar</x:v>
      </x:c>
      <x:c r="B146" t="str">
        <x:v>metõa</x:v>
      </x:c>
      <x:c r="C146" t="str">
        <x:v>a</x:v>
      </x:c>
      <x:c r="D146" t="str">
        <x:v>gceb7128c-4c96-42ec-86fb-f7fd94725d02</x:v>
      </x:c>
      <x:c r="E146" t="str">
        <x:v>g9674df3c-d045-4ecd-ae10-90e90d7ce43e</x:v>
      </x:c>
      <x:c r="F146" t="str">
        <x:v>https://www.webonary.org/marubo/g9674df3c-d045-4ecd-ae10-90e90d7ce43e/</x:v>
      </x:c>
      <x:c r="G146" s="20" t="n">
        <x:v>46003.934751099536</x:v>
      </x:c>
    </x:row>
    <x:row r="147">
      <x:c r="A147" t="str">
        <x:v>aprender</x:v>
      </x:c>
      <x:c r="B147" t="str">
        <x:v>yosia</x:v>
      </x:c>
      <x:c r="C147" t="str">
        <x:v>a</x:v>
      </x:c>
      <x:c r="D147" t="str">
        <x:v>g20a89bf0-378d-4f6d-9a04-22e590378cec</x:v>
      </x:c>
      <x:c r="E147" t="str">
        <x:v>g47bb5a56-1055-4ecc-a3d2-b4e725dd634a</x:v>
      </x:c>
      <x:c r="F147" t="str">
        <x:v>https://www.webonary.org/marubo/g47bb5a56-1055-4ecc-a3d2-b4e725dd634a/</x:v>
      </x:c>
      <x:c r="G147" s="20" t="n">
        <x:v>46003.934751099536</x:v>
      </x:c>
    </x:row>
    <x:row r="148">
      <x:c r="A148" t="str">
        <x:v>aquele</x:v>
      </x:c>
      <x:c r="B148" t="str">
        <x:v>waivo</x:v>
      </x:c>
      <x:c r="C148" t="str">
        <x:v>a</x:v>
      </x:c>
      <x:c r="D148" t="str">
        <x:v>g2d181241-1ee4-46df-99a2-6e1b65655f20</x:v>
      </x:c>
      <x:c r="E148" t="str">
        <x:v>g74287771-61b0-43b6-9876-8fc45df37883</x:v>
      </x:c>
      <x:c r="F148" t="str">
        <x:v>https://www.webonary.org/marubo/g74287771-61b0-43b6-9876-8fc45df37883/</x:v>
      </x:c>
      <x:c r="G148" s="20" t="n">
        <x:v>46003.934751099536</x:v>
      </x:c>
    </x:row>
    <x:row r="149">
      <x:c r="A149" t="str">
        <x:v>aquele</x:v>
      </x:c>
      <x:c r="B149" t="str">
        <x:v>-wẽ</x:v>
      </x:c>
      <x:c r="C149" t="str">
        <x:v>a</x:v>
      </x:c>
      <x:c r="D149" t="str">
        <x:v>g2d181241-1ee4-46df-99a2-6e1b65655f20</x:v>
      </x:c>
      <x:c r="E149" t="str">
        <x:v>ga64e2e7b-af58-4ea2-b8ae-3627fd55fe9f</x:v>
      </x:c>
      <x:c r="F149" t="str">
        <x:v>https://www.webonary.org/marubo/ga64e2e7b-af58-4ea2-b8ae-3627fd55fe9f/</x:v>
      </x:c>
      <x:c r="G149" s="20" t="n">
        <x:v>46003.934751099536</x:v>
      </x:c>
    </x:row>
    <x:row r="150">
      <x:c r="A150" t="str">
        <x:v>aquele</x:v>
      </x:c>
      <x:c r="B150" t="str">
        <x:f>"=ivo"</x:f>
        <x:v>=ivo</x:v>
      </x:c>
      <x:c r="C150" t="str">
        <x:v>a</x:v>
      </x:c>
      <x:c r="D150" t="str">
        <x:v>g2d181241-1ee4-46df-99a2-6e1b65655f20</x:v>
      </x:c>
      <x:c r="E150" t="str">
        <x:v>gfef717f2-0b15-469a-b0eb-6d7cc1a70a63</x:v>
      </x:c>
      <x:c r="F150" t="str">
        <x:v>https://www.webonary.org/marubo/gfef717f2-0b15-469a-b0eb-6d7cc1a70a63/</x:v>
      </x:c>
      <x:c r="G150" s="20" t="n">
        <x:v>46003.934751099536</x:v>
      </x:c>
    </x:row>
    <x:row r="151">
      <x:c r="A151" t="str">
        <x:v>aquele</x:v>
      </x:c>
      <x:c r="B151" t="str">
        <x:v>aa ivo</x:v>
      </x:c>
      <x:c r="C151" t="str">
        <x:v>a</x:v>
      </x:c>
      <x:c r="D151" t="str">
        <x:v>g2d181241-1ee4-46df-99a2-6e1b65655f20</x:v>
      </x:c>
      <x:c r="E151" t="str">
        <x:v>gc1887422-84a6-4a0c-ab94-13bd94d4c485</x:v>
      </x:c>
      <x:c r="F151" t="str">
        <x:v>https://www.webonary.org/marubo/gc1887422-84a6-4a0c-ab94-13bd94d4c485/</x:v>
      </x:c>
      <x:c r="G151" s="20" t="n">
        <x:v>46003.934751099536</x:v>
      </x:c>
    </x:row>
    <x:row r="152">
      <x:c r="A152" t="str">
        <x:v>aquele lado</x:v>
      </x:c>
      <x:c r="B152" t="str">
        <x:v>akiri</x:v>
      </x:c>
      <x:c r="C152" t="str">
        <x:v>a</x:v>
      </x:c>
      <x:c r="D152" t="str">
        <x:v>gc2956c7f-7961-4b85-b59a-4f0a79a92b81</x:v>
      </x:c>
      <x:c r="E152" t="str">
        <x:v>g9d36f114-5262-4ec8-8063-a222c4818be0</x:v>
      </x:c>
      <x:c r="F152" t="str">
        <x:v>https://www.webonary.org/marubo/g9d36f114-5262-4ec8-8063-a222c4818be0/</x:v>
      </x:c>
      <x:c r="G152" s="20" t="n">
        <x:v>46003.934751099536</x:v>
      </x:c>
    </x:row>
    <x:row r="153">
      <x:c r="A153" t="str">
        <x:v>aqui</x:v>
      </x:c>
      <x:c r="B153" t="str">
        <x:v>neno</x:v>
      </x:c>
      <x:c r="C153" t="str">
        <x:v>a</x:v>
      </x:c>
      <x:c r="D153" t="str">
        <x:v>g1f01af23-8ad0-4580-af49-af782384aaeb</x:v>
      </x:c>
      <x:c r="E153" t="str">
        <x:v>gc9ad0126-8d32-4278-9e74-e5d5aeb103a5</x:v>
      </x:c>
      <x:c r="F153" t="str">
        <x:v>https://www.webonary.org/marubo/gc9ad0126-8d32-4278-9e74-e5d5aeb103a5/</x:v>
      </x:c>
      <x:c r="G153" s="20" t="n">
        <x:v>46003.934751099536</x:v>
      </x:c>
    </x:row>
    <x:row r="154">
      <x:c r="A154" t="str">
        <x:v>araçari</x:v>
      </x:c>
      <x:c r="B154" t="str">
        <x:v>pisa</x:v>
      </x:c>
      <x:c r="C154" t="str">
        <x:v>a</x:v>
      </x:c>
      <x:c r="D154" t="str">
        <x:v>geeaf7f0d-c653-4fde-8eee-41703ea601c4</x:v>
      </x:c>
      <x:c r="E154" t="str">
        <x:v>gb1241382-e137-492a-9a2b-3f3e6d430f63</x:v>
      </x:c>
      <x:c r="F154" t="str">
        <x:v>https://www.webonary.org/marubo/gb1241382-e137-492a-9a2b-3f3e6d430f63/</x:v>
      </x:c>
      <x:c r="G154" s="20" t="n">
        <x:v>46003.934751099536</x:v>
      </x:c>
    </x:row>
    <x:row r="155">
      <x:c r="A155" t="str">
        <x:v>araçari</x:v>
      </x:c>
      <x:c r="B155" t="str">
        <x:v>1</x:v>
      </x:c>
      <x:c r="C155" t="str">
        <x:v>a</x:v>
      </x:c>
      <x:c r="D155" t="str">
        <x:v>geeaf7f0d-c653-4fde-8eee-41703ea601c4</x:v>
      </x:c>
      <x:c r="E155" t="str">
        <x:v>gb1241382-e137-492a-9a2b-3f3e6d430f63</x:v>
      </x:c>
      <x:c r="F155" t="str">
        <x:v>https://www.webonary.org/marubo/gb1241382-e137-492a-9a2b-3f3e6d430f63/</x:v>
      </x:c>
      <x:c r="G155" s="20" t="n">
        <x:v>46003.934751099536</x:v>
      </x:c>
    </x:row>
    <x:row r="156">
      <x:c r="A156" t="str">
        <x:v>aranha</x:v>
      </x:c>
      <x:c r="B156" t="str">
        <x:v>chinoshoko</x:v>
      </x:c>
      <x:c r="C156" t="str">
        <x:v>a</x:v>
      </x:c>
      <x:c r="D156" t="str">
        <x:v>g85e150d6-55cd-4577-90d0-f03949d27810</x:v>
      </x:c>
      <x:c r="E156" t="str">
        <x:v>gf03c6882-8429-464d-aaf0-52ca1350cfe4</x:v>
      </x:c>
      <x:c r="F156" t="str">
        <x:v>https://www.webonary.org/marubo/gf03c6882-8429-464d-aaf0-52ca1350cfe4/</x:v>
      </x:c>
      <x:c r="G156" s="20" t="n">
        <x:v>46003.934751099536</x:v>
      </x:c>
    </x:row>
    <x:row r="157">
      <x:c r="A157" t="str">
        <x:v>aranha caragueijo</x:v>
      </x:c>
      <x:c r="B157" t="str">
        <x:v>yotá</x:v>
      </x:c>
      <x:c r="C157" t="str">
        <x:v>a</x:v>
      </x:c>
      <x:c r="D157" t="str">
        <x:v>gb741f1de-5a21-46ef-8c35-3e21e7883661</x:v>
      </x:c>
      <x:c r="E157" t="str">
        <x:v>gd747878a-d9e3-4286-bddf-3d6bf4f719e0</x:v>
      </x:c>
      <x:c r="F157" t="str">
        <x:v>https://www.webonary.org/marubo/gd747878a-d9e3-4286-bddf-3d6bf4f719e0/</x:v>
      </x:c>
      <x:c r="G157" s="20" t="n">
        <x:v>46003.934751099536</x:v>
      </x:c>
    </x:row>
    <x:row r="158">
      <x:c r="A158" t="str">
        <x:v>araqua</x:v>
      </x:c>
      <x:c r="B158" t="str">
        <x:v>anakashka</x:v>
      </x:c>
      <x:c r="C158" t="str">
        <x:v>a</x:v>
      </x:c>
      <x:c r="D158" t="str">
        <x:v>g2af27963-b19a-4ef7-8baa-a371532a7bea</x:v>
      </x:c>
      <x:c r="E158" t="str">
        <x:v>gcb07ff94-46d7-432a-93d9-4318614bc578</x:v>
      </x:c>
      <x:c r="F158" t="str">
        <x:v>https://www.webonary.org/marubo/gcb07ff94-46d7-432a-93d9-4318614bc578/</x:v>
      </x:c>
      <x:c r="G158" s="20" t="n">
        <x:v>46003.934751099536</x:v>
      </x:c>
    </x:row>
    <x:row r="159">
      <x:c r="A159" t="str">
        <x:v>araqua</x:v>
      </x:c>
      <x:c r="B159" t="str">
        <x:v>1</x:v>
      </x:c>
      <x:c r="C159" t="str">
        <x:v>a</x:v>
      </x:c>
      <x:c r="D159" t="str">
        <x:v>g2af27963-b19a-4ef7-8baa-a371532a7bea</x:v>
      </x:c>
      <x:c r="E159" t="str">
        <x:v>gcb07ff94-46d7-432a-93d9-4318614bc578</x:v>
      </x:c>
      <x:c r="F159" t="str">
        <x:v>https://www.webonary.org/marubo/gcb07ff94-46d7-432a-93d9-4318614bc578/</x:v>
      </x:c>
      <x:c r="G159" s="20" t="n">
        <x:v>46003.934751099536</x:v>
      </x:c>
    </x:row>
    <x:row r="160">
      <x:c r="A160" t="str">
        <x:v>arara canga</x:v>
      </x:c>
      <x:c r="B160" t="str">
        <x:v>kaĩ</x:v>
      </x:c>
      <x:c r="C160" t="str">
        <x:v>a</x:v>
      </x:c>
      <x:c r="D160" t="str">
        <x:v>gf5e5b7e0-50ea-4bb2-98fc-269e5bbf11c3</x:v>
      </x:c>
      <x:c r="E160" t="str">
        <x:v>g9e4d1120-de63-4ee3-9cc2-f403634447d2</x:v>
      </x:c>
      <x:c r="F160" t="str">
        <x:v>https://www.webonary.org/marubo/g9e4d1120-de63-4ee3-9cc2-f403634447d2/</x:v>
      </x:c>
      <x:c r="G160" s="20" t="n">
        <x:v>46003.934751099536</x:v>
      </x:c>
    </x:row>
    <x:row r="161">
      <x:c r="A161" t="str">
        <x:v>arara canga</x:v>
      </x:c>
      <x:c r="B161" t="str">
        <x:v>1</x:v>
      </x:c>
      <x:c r="C161" t="str">
        <x:v>a</x:v>
      </x:c>
      <x:c r="D161" t="str">
        <x:v>gf5e5b7e0-50ea-4bb2-98fc-269e5bbf11c3</x:v>
      </x:c>
      <x:c r="E161" t="str">
        <x:v>g9e4d1120-de63-4ee3-9cc2-f403634447d2</x:v>
      </x:c>
      <x:c r="F161" t="str">
        <x:v>https://www.webonary.org/marubo/g9e4d1120-de63-4ee3-9cc2-f403634447d2/</x:v>
      </x:c>
      <x:c r="G161" s="20" t="n">
        <x:v>46003.934751099536</x:v>
      </x:c>
    </x:row>
    <x:row r="162">
      <x:c r="A162" t="str">
        <x:v>arara canindé</x:v>
      </x:c>
      <x:c r="B162" t="str">
        <x:v>kachta</x:v>
      </x:c>
      <x:c r="C162" t="str">
        <x:v>a</x:v>
      </x:c>
      <x:c r="D162" t="str">
        <x:v>ga812bb34-c059-49a7-998c-448f20e4dcfa</x:v>
      </x:c>
      <x:c r="E162" t="str">
        <x:v>g59b88b77-b519-42d5-a314-f7bdfd88e76b</x:v>
      </x:c>
      <x:c r="F162" t="str">
        <x:v>https://www.webonary.org/marubo/g59b88b77-b519-42d5-a314-f7bdfd88e76b/</x:v>
      </x:c>
      <x:c r="G162" s="20" t="n">
        <x:v>46003.934751099536</x:v>
      </x:c>
    </x:row>
    <x:row r="163">
      <x:c r="A163" t="str">
        <x:v>arara canindé</x:v>
      </x:c>
      <x:c r="B163" t="str">
        <x:v>1</x:v>
      </x:c>
      <x:c r="C163" t="str">
        <x:v>a</x:v>
      </x:c>
      <x:c r="D163" t="str">
        <x:v>ga812bb34-c059-49a7-998c-448f20e4dcfa</x:v>
      </x:c>
      <x:c r="E163" t="str">
        <x:v>g59b88b77-b519-42d5-a314-f7bdfd88e76b</x:v>
      </x:c>
      <x:c r="F163" t="str">
        <x:v>https://www.webonary.org/marubo/g59b88b77-b519-42d5-a314-f7bdfd88e76b/</x:v>
      </x:c>
      <x:c r="G163" s="20" t="n">
        <x:v>46003.934751099536</x:v>
      </x:c>
    </x:row>
    <x:row r="164">
      <x:c r="A164" t="str">
        <x:v>arara vermelha</x:v>
      </x:c>
      <x:c r="B164" t="str">
        <x:v>shawã</x:v>
      </x:c>
      <x:c r="C164" t="str">
        <x:v>a</x:v>
      </x:c>
      <x:c r="D164" t="str">
        <x:v>ge4c35172-8d0d-4d38-a40f-936947bebb7b</x:v>
      </x:c>
      <x:c r="E164" t="str">
        <x:v>gb6f8b658-6f10-4841-adb1-b10da4b28f45</x:v>
      </x:c>
      <x:c r="F164" t="str">
        <x:v>https://www.webonary.org/marubo/gb6f8b658-6f10-4841-adb1-b10da4b28f45/</x:v>
      </x:c>
      <x:c r="G164" s="20" t="n">
        <x:v>46003.934751099536</x:v>
      </x:c>
    </x:row>
    <x:row r="165">
      <x:c r="A165" t="str">
        <x:v>arara vermelha</x:v>
      </x:c>
      <x:c r="B165" t="str">
        <x:v>1</x:v>
      </x:c>
      <x:c r="C165" t="str">
        <x:v>a</x:v>
      </x:c>
      <x:c r="D165" t="str">
        <x:v>ge4c35172-8d0d-4d38-a40f-936947bebb7b</x:v>
      </x:c>
      <x:c r="E165" t="str">
        <x:v>gb6f8b658-6f10-4841-adb1-b10da4b28f45</x:v>
      </x:c>
      <x:c r="F165" t="str">
        <x:v>https://www.webonary.org/marubo/gb6f8b658-6f10-4841-adb1-b10da4b28f45/</x:v>
      </x:c>
      <x:c r="G165" s="20" t="n">
        <x:v>46003.934751099536</x:v>
      </x:c>
    </x:row>
    <x:row r="166">
      <x:c r="A166" t="str">
        <x:v>arco</x:v>
      </x:c>
      <x:c r="B166" t="str">
        <x:v>kãti</x:v>
      </x:c>
      <x:c r="C166" t="str">
        <x:v>a</x:v>
      </x:c>
      <x:c r="D166" t="str">
        <x:v>g21941475-acda-4e76-b69c-6d762285fa55</x:v>
      </x:c>
      <x:c r="E166" t="str">
        <x:v>g44047582-8388-429b-8a4c-e1fc0ba2be91</x:v>
      </x:c>
      <x:c r="F166" t="str">
        <x:v>https://www.webonary.org/marubo/g44047582-8388-429b-8a4c-e1fc0ba2be91/</x:v>
      </x:c>
      <x:c r="G166" s="20" t="n">
        <x:v>46003.934751099536</x:v>
      </x:c>
    </x:row>
    <x:row r="167">
      <x:c r="A167" t="str">
        <x:v>arco iris</x:v>
      </x:c>
      <x:c r="B167" t="str">
        <x:v>nawãvai</x:v>
      </x:c>
      <x:c r="C167" t="str">
        <x:v>a</x:v>
      </x:c>
      <x:c r="D167" t="str">
        <x:v>g4e4066fc-339f-46b7-a2c7-db302a57f3da</x:v>
      </x:c>
      <x:c r="E167" t="str">
        <x:v>g81e25fd8-0143-43ee-a6d1-4456d77a5614</x:v>
      </x:c>
      <x:c r="F167" t="str">
        <x:v>https://www.webonary.org/marubo/g81e25fd8-0143-43ee-a6d1-4456d77a5614/</x:v>
      </x:c>
      <x:c r="G167" s="20" t="n">
        <x:v>46003.934751099536</x:v>
      </x:c>
    </x:row>
    <x:row r="168">
      <x:c r="A168" t="str">
        <x:v>arco iris</x:v>
      </x:c>
      <x:c r="B168" t="str">
        <x:v>nai vai</x:v>
      </x:c>
      <x:c r="C168" t="str">
        <x:v>a</x:v>
      </x:c>
      <x:c r="D168" t="str">
        <x:v>g4e4066fc-339f-46b7-a2c7-db302a57f3da</x:v>
      </x:c>
      <x:c r="E168" t="str">
        <x:v>gdffdcbf1-ccb0-49dc-be61-e90d2c34ca64</x:v>
      </x:c>
      <x:c r="F168" t="str">
        <x:v>https://www.webonary.org/marubo/gdffdcbf1-ccb0-49dc-be61-e90d2c34ca64/</x:v>
      </x:c>
      <x:c r="G168" s="20" t="n">
        <x:v>46003.934751099536</x:v>
      </x:c>
    </x:row>
    <x:row r="169">
      <x:c r="A169" t="str">
        <x:v>ardente</x:v>
      </x:c>
      <x:c r="B169" t="str">
        <x:v>chiaka</x:v>
      </x:c>
      <x:c r="C169" t="str">
        <x:v>a</x:v>
      </x:c>
      <x:c r="D169" t="str">
        <x:v>g59c2eb21-64fd-4efa-a1f0-19cefc76aad4</x:v>
      </x:c>
      <x:c r="E169" t="str">
        <x:v>ga9ebff32-3b2c-47d0-9f6f-6b70e25e74db</x:v>
      </x:c>
      <x:c r="F169" t="str">
        <x:v>https://www.webonary.org/marubo/ga9ebff32-3b2c-47d0-9f6f-6b70e25e74db/</x:v>
      </x:c>
      <x:c r="G169" s="20" t="n">
        <x:v>46003.934751099536</x:v>
      </x:c>
    </x:row>
    <x:row r="170">
      <x:c r="A170" t="str">
        <x:v>arder</x:v>
      </x:c>
      <x:c r="B170" t="str">
        <x:v>txeshã</x:v>
      </x:c>
      <x:c r="C170" t="str">
        <x:v>a</x:v>
      </x:c>
      <x:c r="D170" t="str">
        <x:v>gcfd24939-e795-4ba8-a011-3e02a2b4cb4a</x:v>
      </x:c>
      <x:c r="E170" t="str">
        <x:v>geac77968-0585-4f1c-acc6-106876387357</x:v>
      </x:c>
      <x:c r="F170" t="str">
        <x:v>https://www.webonary.org/marubo/geac77968-0585-4f1c-acc6-106876387357/</x:v>
      </x:c>
      <x:c r="G170" s="20" t="n">
        <x:v>46003.934751099536</x:v>
      </x:c>
    </x:row>
    <x:row r="171">
      <x:c r="A171" t="str">
        <x:v>arder os olhos</x:v>
      </x:c>
      <x:c r="B171" t="str">
        <x:v>vetxéshe</x:v>
      </x:c>
      <x:c r="C171" t="str">
        <x:v>a</x:v>
      </x:c>
      <x:c r="D171" t="str">
        <x:v>gc1a98549-9096-4164-97e4-c94761084bb4</x:v>
      </x:c>
      <x:c r="E171" t="str">
        <x:v>gcb1f2094-3de9-44a4-a128-b59a46644b3b</x:v>
      </x:c>
      <x:c r="F171" t="str">
        <x:v>https://www.webonary.org/marubo/gcb1f2094-3de9-44a4-a128-b59a46644b3b/</x:v>
      </x:c>
      <x:c r="G171" s="20" t="n">
        <x:v>46003.934751099536</x:v>
      </x:c>
    </x:row>
    <x:row r="172">
      <x:c r="A172" t="str">
        <x:v>areia</x:v>
      </x:c>
      <x:c r="B172" t="str">
        <x:v>machi</x:v>
      </x:c>
      <x:c r="C172" t="str">
        <x:v>a</x:v>
      </x:c>
      <x:c r="D172" t="str">
        <x:v>g9b4333ed-de14-4d2f-9eee-5efd270660cb</x:v>
      </x:c>
      <x:c r="E172" t="str">
        <x:v>g268cb2f3-254d-4ea3-8c6a-b0d11c85ec48</x:v>
      </x:c>
      <x:c r="F172" t="str">
        <x:v>https://www.webonary.org/marubo/g268cb2f3-254d-4ea3-8c6a-b0d11c85ec48/</x:v>
      </x:c>
      <x:c r="G172" s="20" t="n">
        <x:v>46003.934751099536</x:v>
      </x:c>
    </x:row>
    <x:row r="173">
      <x:c r="A173" t="str">
        <x:v>arisco</x:v>
      </x:c>
      <x:c r="B173" t="str">
        <x:v>veroika</x:v>
      </x:c>
      <x:c r="C173" t="str">
        <x:v>a</x:v>
      </x:c>
      <x:c r="D173" t="str">
        <x:v>gd136bf6b-de18-4cc8-b08e-56c257534387</x:v>
      </x:c>
      <x:c r="E173" t="str">
        <x:v>g722618e5-c353-4235-a0cb-7401beb8fae9</x:v>
      </x:c>
      <x:c r="F173" t="str">
        <x:v>https://www.webonary.org/marubo/g722618e5-c353-4235-a0cb-7401beb8fae9/</x:v>
      </x:c>
      <x:c r="G173" s="20" t="n">
        <x:v>46003.934751099536</x:v>
      </x:c>
    </x:row>
    <x:row r="174">
      <x:c r="A174" t="str">
        <x:v>armar</x:v>
      </x:c>
      <x:c r="B174" t="str">
        <x:v>txiwa</x:v>
      </x:c>
      <x:c r="C174" t="str">
        <x:v>a</x:v>
      </x:c>
      <x:c r="D174" t="str">
        <x:v>ge4bfc45c-c4bb-4e2e-a96d-7a61efbc5f1c</x:v>
      </x:c>
      <x:c r="E174" t="str">
        <x:v>g50329b84-cae3-45dc-814a-d7d0bb86ff8e</x:v>
      </x:c>
      <x:c r="F174" t="str">
        <x:v>https://www.webonary.org/marubo/g50329b84-cae3-45dc-814a-d7d0bb86ff8e/</x:v>
      </x:c>
      <x:c r="G174" s="20" t="n">
        <x:v>46003.934751099536</x:v>
      </x:c>
    </x:row>
    <x:row r="175">
      <x:c r="A175" t="str">
        <x:v>armar</x:v>
      </x:c>
      <x:c r="B175" t="str">
        <x:v>1</x:v>
      </x:c>
      <x:c r="C175" t="str">
        <x:v>a</x:v>
      </x:c>
      <x:c r="D175" t="str">
        <x:v>ge4bfc45c-c4bb-4e2e-a96d-7a61efbc5f1c</x:v>
      </x:c>
      <x:c r="E175" t="str">
        <x:v>g50329b84-cae3-45dc-814a-d7d0bb86ff8e</x:v>
      </x:c>
      <x:c r="F175" t="str">
        <x:v>https://www.webonary.org/marubo/g50329b84-cae3-45dc-814a-d7d0bb86ff8e/</x:v>
      </x:c>
      <x:c r="G175" s="20" t="n">
        <x:v>46003.934751099536</x:v>
      </x:c>
    </x:row>
    <x:row r="176">
      <x:c r="A176" t="str">
        <x:v>arraia</x:v>
      </x:c>
      <x:c r="B176" t="str">
        <x:v>iwi</x:v>
      </x:c>
      <x:c r="C176" t="str">
        <x:v>a</x:v>
      </x:c>
      <x:c r="D176" t="str">
        <x:v>g6523d56f-4f14-46be-8eee-73afe339988c</x:v>
      </x:c>
      <x:c r="E176" t="str">
        <x:v>g7d718b18-eb26-40c1-980c-4cdfd29c9a07</x:v>
      </x:c>
      <x:c r="F176" t="str">
        <x:v>https://www.webonary.org/marubo/g7d718b18-eb26-40c1-980c-4cdfd29c9a07/</x:v>
      </x:c>
      <x:c r="G176" s="20" t="n">
        <x:v>46003.934751099536</x:v>
      </x:c>
    </x:row>
    <x:row r="177">
      <x:c r="A177" t="str">
        <x:v>arraia</x:v>
      </x:c>
      <x:c r="B177" t="str">
        <x:v>2</x:v>
      </x:c>
      <x:c r="C177" t="str">
        <x:v>a</x:v>
      </x:c>
      <x:c r="D177" t="str">
        <x:v>g6523d56f-4f14-46be-8eee-73afe339988c</x:v>
      </x:c>
      <x:c r="E177" t="str">
        <x:v>g7d718b18-eb26-40c1-980c-4cdfd29c9a07</x:v>
      </x:c>
      <x:c r="F177" t="str">
        <x:v>https://www.webonary.org/marubo/g7d718b18-eb26-40c1-980c-4cdfd29c9a07/</x:v>
      </x:c>
      <x:c r="G177" s="20" t="n">
        <x:v>46003.934751099536</x:v>
      </x:c>
    </x:row>
    <x:row r="178">
      <x:c r="A178" t="str">
        <x:v>arrancar</x:v>
      </x:c>
      <x:c r="B178" t="str">
        <x:v>mesha</x:v>
      </x:c>
      <x:c r="C178" t="str">
        <x:v>a</x:v>
      </x:c>
      <x:c r="D178" t="str">
        <x:v>gfdf5f6e6-d730-4487-87d6-eaed046e4bc0</x:v>
      </x:c>
      <x:c r="E178" t="str">
        <x:v>g8ee89cd0-9a3e-4eed-b4d2-a7ad3f4d32e2</x:v>
      </x:c>
      <x:c r="F178" t="str">
        <x:v>https://www.webonary.org/marubo/g8ee89cd0-9a3e-4eed-b4d2-a7ad3f4d32e2/</x:v>
      </x:c>
      <x:c r="G178" s="20" t="n">
        <x:v>46003.934751099536</x:v>
      </x:c>
    </x:row>
    <x:row r="179">
      <x:c r="A179" t="str">
        <x:v>arrancar</x:v>
      </x:c>
      <x:c r="B179" t="str">
        <x:v>1</x:v>
      </x:c>
      <x:c r="C179" t="str">
        <x:v>a</x:v>
      </x:c>
      <x:c r="D179" t="str">
        <x:v>gfdf5f6e6-d730-4487-87d6-eaed046e4bc0</x:v>
      </x:c>
      <x:c r="E179" t="str">
        <x:v>g8ee89cd0-9a3e-4eed-b4d2-a7ad3f4d32e2</x:v>
      </x:c>
      <x:c r="F179" t="str">
        <x:v>https://www.webonary.org/marubo/g8ee89cd0-9a3e-4eed-b4d2-a7ad3f4d32e2/</x:v>
      </x:c>
      <x:c r="G179" s="20" t="n">
        <x:v>46003.934751099536</x:v>
      </x:c>
    </x:row>
    <x:row r="180">
      <x:c r="A180" t="str">
        <x:v>arrancar pena da parte trazeira de avé</x:v>
      </x:c>
      <x:c r="B180" t="str">
        <x:v>txémeresh aká</x:v>
      </x:c>
      <x:c r="C180" t="str">
        <x:v>a</x:v>
      </x:c>
      <x:c r="D180" t="str">
        <x:v>gf8975f96-f7fd-4c01-881b-10a140590e2a</x:v>
      </x:c>
      <x:c r="E180" t="str">
        <x:v>g93dfc149-343e-4e25-9d58-27a07e296453</x:v>
      </x:c>
      <x:c r="F180" t="str">
        <x:v>https://www.webonary.org/marubo/g93dfc149-343e-4e25-9d58-27a07e296453/</x:v>
      </x:c>
      <x:c r="G180" s="20" t="n">
        <x:v>46003.934751099536</x:v>
      </x:c>
    </x:row>
    <x:row r="181">
      <x:c r="A181" t="str">
        <x:v>arrastar</x:v>
      </x:c>
      <x:c r="B181" t="str">
        <x:v>ninia</x:v>
      </x:c>
      <x:c r="C181" t="str">
        <x:v>a</x:v>
      </x:c>
      <x:c r="D181" t="str">
        <x:v>g810b7484-8969-4c44-a544-78953aa4efcf</x:v>
      </x:c>
      <x:c r="E181" t="str">
        <x:v>g848b5820-c91b-4e96-8757-33ca68f14c22</x:v>
      </x:c>
      <x:c r="F181" t="str">
        <x:v>https://www.webonary.org/marubo/g848b5820-c91b-4e96-8757-33ca68f14c22/</x:v>
      </x:c>
      <x:c r="G181" s="20" t="n">
        <x:v>46003.934751099536</x:v>
      </x:c>
    </x:row>
    <x:row r="182">
      <x:c r="A182" t="str">
        <x:v>arrepiado</x:v>
      </x:c>
      <x:c r="B182" t="str">
        <x:v>aseka</x:v>
      </x:c>
      <x:c r="C182" t="str">
        <x:v>a</x:v>
      </x:c>
      <x:c r="D182" t="str">
        <x:v>ga4718b02-09e0-465e-8967-5df2dad2c730</x:v>
      </x:c>
      <x:c r="E182" t="str">
        <x:v>g3df01a56-8699-4b63-b3d9-85ab3c89e770</x:v>
      </x:c>
      <x:c r="F182" t="str">
        <x:v>https://www.webonary.org/marubo/g3df01a56-8699-4b63-b3d9-85ab3c89e770/</x:v>
      </x:c>
      <x:c r="G182" s="20" t="n">
        <x:v>46003.934751099536</x:v>
      </x:c>
    </x:row>
    <x:row r="183">
      <x:c r="A183" t="str">
        <x:v>arrombar</x:v>
      </x:c>
      <x:c r="B183" t="str">
        <x:v>txevéa</x:v>
      </x:c>
      <x:c r="C183" t="str">
        <x:v>a</x:v>
      </x:c>
      <x:c r="D183" t="str">
        <x:v>gb3d9252b-535e-449a-a447-bf92e5d4d286</x:v>
      </x:c>
      <x:c r="E183" t="str">
        <x:v>ge79f37c0-2028-4d48-ae78-26eecb03b99d</x:v>
      </x:c>
      <x:c r="F183" t="str">
        <x:v>https://www.webonary.org/marubo/ge79f37c0-2028-4d48-ae78-26eecb03b99d/</x:v>
      </x:c>
      <x:c r="G183" s="20" t="n">
        <x:v>46003.934751099536</x:v>
      </x:c>
    </x:row>
    <x:row r="184">
      <x:c r="A184" t="str">
        <x:v>árvore</x:v>
      </x:c>
      <x:c r="B184" t="str">
        <x:v>iwi</x:v>
      </x:c>
      <x:c r="C184" t="str">
        <x:v>a</x:v>
      </x:c>
      <x:c r="D184" t="str">
        <x:v>g0dc89841-fe56-4488-b640-4b3296c79b55</x:v>
      </x:c>
      <x:c r="E184" t="str">
        <x:v>g4b0785af-d51e-4858-b050-e6ec451b338e</x:v>
      </x:c>
      <x:c r="F184" t="str">
        <x:v>https://www.webonary.org/marubo/g4b0785af-d51e-4858-b050-e6ec451b338e/</x:v>
      </x:c>
      <x:c r="G184" s="20" t="n">
        <x:v>46003.934751099536</x:v>
      </x:c>
    </x:row>
    <x:row r="185">
      <x:c r="A185" t="str">
        <x:v>árvore</x:v>
      </x:c>
      <x:c r="B185" t="str">
        <x:v>1</x:v>
      </x:c>
      <x:c r="C185" t="str">
        <x:v>a</x:v>
      </x:c>
      <x:c r="D185" t="str">
        <x:v>g0dc89841-fe56-4488-b640-4b3296c79b55</x:v>
      </x:c>
      <x:c r="E185" t="str">
        <x:v>g4b0785af-d51e-4858-b050-e6ec451b338e</x:v>
      </x:c>
      <x:c r="F185" t="str">
        <x:v>https://www.webonary.org/marubo/g4b0785af-d51e-4858-b050-e6ec451b338e/</x:v>
      </x:c>
      <x:c r="G185" s="20" t="n">
        <x:v>46003.934751099536</x:v>
      </x:c>
    </x:row>
    <x:row r="186">
      <x:c r="A186" t="str">
        <x:v>árvore (esp.)</x:v>
      </x:c>
      <x:c r="B186" t="str">
        <x:v>tawá</x:v>
      </x:c>
      <x:c r="C186" t="str">
        <x:v>a</x:v>
      </x:c>
      <x:c r="D186" t="str">
        <x:v>gb2873fff-5c22-4878-aeb9-09d93fd80fd9</x:v>
      </x:c>
      <x:c r="E186" t="str">
        <x:v>g3452ea02-2a4f-4028-945a-4a153d68071e</x:v>
      </x:c>
      <x:c r="F186" t="str">
        <x:v>https://www.webonary.org/marubo/g3452ea02-2a4f-4028-945a-4a153d68071e/</x:v>
      </x:c>
      <x:c r="G186" s="20" t="n">
        <x:v>46003.934751099536</x:v>
      </x:c>
    </x:row>
    <x:row r="187">
      <x:c r="A187" t="str">
        <x:v>árvore jacareúba</x:v>
      </x:c>
      <x:c r="B187" t="str">
        <x:v>ino iwi</x:v>
      </x:c>
      <x:c r="C187" t="str">
        <x:v>a</x:v>
      </x:c>
      <x:c r="D187" t="str">
        <x:v>gbe67aabd-98ce-4682-9ef3-c27c3c38ac4c</x:v>
      </x:c>
      <x:c r="E187" t="str">
        <x:v>g822f6441-e7fc-46a4-a260-07f6da48fad5</x:v>
      </x:c>
      <x:c r="F187" t="str">
        <x:v>https://www.webonary.org/marubo/g822f6441-e7fc-46a4-a260-07f6da48fad5/</x:v>
      </x:c>
      <x:c r="G187" s="20" t="n">
        <x:v>46003.934751099536</x:v>
      </x:c>
    </x:row>
    <x:row r="188">
      <x:c r="A188" t="str">
        <x:v>ASP.</x:v>
      </x:c>
      <x:c r="B188" t="str">
        <x:v>-kõ</x:v>
      </x:c>
      <x:c r="C188" t="str">
        <x:v>a</x:v>
      </x:c>
      <x:c r="D188" t="str">
        <x:v>gd29ae308-5956-43d2-8537-40af4e86e5c7</x:v>
      </x:c>
      <x:c r="E188" t="str">
        <x:v>g58f4d4e6-653d-4946-89f0-36ef0544cc29</x:v>
      </x:c>
      <x:c r="F188" t="str">
        <x:v>https://www.webonary.org/marubo/g58f4d4e6-653d-4946-89f0-36ef0544cc29/</x:v>
      </x:c>
      <x:c r="G188" s="20" t="n">
        <x:v>46003.934751099536</x:v>
      </x:c>
    </x:row>
    <x:row r="189">
      <x:c r="A189" t="str">
        <x:v>áspero</x:v>
      </x:c>
      <x:c r="B189" t="str">
        <x:v>masháshka</x:v>
      </x:c>
      <x:c r="C189" t="str">
        <x:v>a</x:v>
      </x:c>
      <x:c r="D189" t="str">
        <x:v>g1ef79453-0c0c-4a94-afb0-87804b868136</x:v>
      </x:c>
      <x:c r="E189" t="str">
        <x:v>g92586da2-323b-49a0-b48e-e04a4ff0ac1b</x:v>
      </x:c>
      <x:c r="F189" t="str">
        <x:v>https://www.webonary.org/marubo/g92586da2-323b-49a0-b48e-e04a4ff0ac1b/</x:v>
      </x:c>
      <x:c r="G189" s="20" t="n">
        <x:v>46003.934751099536</x:v>
      </x:c>
    </x:row>
    <x:row r="190">
      <x:c r="A190" t="str">
        <x:v>aspirar pela boca</x:v>
      </x:c>
      <x:c r="B190" t="str">
        <x:v>ãsh aká</x:v>
      </x:c>
      <x:c r="C190" t="str">
        <x:v>a</x:v>
      </x:c>
      <x:c r="D190" t="str">
        <x:v>gef3148a4-ac3d-4e0c-9512-ba31f7559976</x:v>
      </x:c>
      <x:c r="E190" t="str">
        <x:v>g24dc8a5b-772b-4e05-a2d6-140a4300c478</x:v>
      </x:c>
      <x:c r="F190" t="str">
        <x:v>https://www.webonary.org/marubo/g24dc8a5b-772b-4e05-a2d6-140a4300c478/</x:v>
      </x:c>
      <x:c r="G190" s="20" t="n">
        <x:v>46003.934751099536</x:v>
      </x:c>
    </x:row>
    <x:row r="191">
      <x:c r="A191" t="str">
        <x:v>ASS</x:v>
      </x:c>
      <x:c r="B191" t="str">
        <x:v>-pa</x:v>
      </x:c>
      <x:c r="C191" t="str">
        <x:v>a</x:v>
      </x:c>
      <x:c r="D191" t="str">
        <x:v>g6d473312-1c2f-46e1-8eae-5f74cc47e42e</x:v>
      </x:c>
      <x:c r="E191" t="str">
        <x:v>gbca18614-234d-4c0a-b06f-f4e0d409bcd9</x:v>
      </x:c>
      <x:c r="F191" t="str">
        <x:v>https://www.webonary.org/marubo/gbca18614-234d-4c0a-b06f-f4e0d409bcd9/</x:v>
      </x:c>
      <x:c r="G191" s="20" t="n">
        <x:v>46003.934751099536</x:v>
      </x:c>
    </x:row>
    <x:row r="192">
      <x:c r="A192" t="str">
        <x:v>ASS</x:v>
      </x:c>
      <x:c r="B192" t="str">
        <x:v>2</x:v>
      </x:c>
      <x:c r="C192" t="str">
        <x:v>a</x:v>
      </x:c>
      <x:c r="D192" t="str">
        <x:v>g6d473312-1c2f-46e1-8eae-5f74cc47e42e</x:v>
      </x:c>
      <x:c r="E192" t="str">
        <x:v>gbca18614-234d-4c0a-b06f-f4e0d409bcd9</x:v>
      </x:c>
      <x:c r="F192" t="str">
        <x:v>https://www.webonary.org/marubo/gbca18614-234d-4c0a-b06f-f4e0d409bcd9/</x:v>
      </x:c>
      <x:c r="G192" s="20" t="n">
        <x:v>46003.934751099536</x:v>
      </x:c>
    </x:row>
    <x:row r="193">
      <x:c r="A193" t="str">
        <x:v>assado</x:v>
      </x:c>
      <x:c r="B193" t="str">
        <x:v>txiika</x:v>
      </x:c>
      <x:c r="C193" t="str">
        <x:v>a</x:v>
      </x:c>
      <x:c r="D193" t="str">
        <x:v>ga0e54589-34d3-4e08-b2ba-c62718b3715a</x:v>
      </x:c>
      <x:c r="E193" t="str">
        <x:v>g50f63f79-e6b8-46ed-b956-02f72261529e</x:v>
      </x:c>
      <x:c r="F193" t="str">
        <x:v>https://www.webonary.org/marubo/g50f63f79-e6b8-46ed-b956-02f72261529e/</x:v>
      </x:c>
      <x:c r="G193" s="20" t="n">
        <x:v>46003.934751099536</x:v>
      </x:c>
    </x:row>
    <x:row r="194">
      <x:c r="A194" t="str">
        <x:v>assar milho na brasa</x:v>
      </x:c>
      <x:c r="B194" t="str">
        <x:v>oia</x:v>
      </x:c>
      <x:c r="C194" t="str">
        <x:v>a</x:v>
      </x:c>
      <x:c r="D194" t="str">
        <x:v>g6a126df8-bfd8-4ed1-81a1-67d21fdf6658</x:v>
      </x:c>
      <x:c r="E194" t="str">
        <x:v>g78f69b18-b6e6-4afa-99f7-7ef91351d6d5</x:v>
      </x:c>
      <x:c r="F194" t="str">
        <x:v>https://www.webonary.org/marubo/g78f69b18-b6e6-4afa-99f7-7ef91351d6d5/</x:v>
      </x:c>
      <x:c r="G194" s="20" t="n">
        <x:v>46003.934751099536</x:v>
      </x:c>
    </x:row>
    <x:row r="195">
      <x:c r="A195" t="str">
        <x:v>assim</x:v>
      </x:c>
      <x:c r="B195" t="str">
        <x:v>aská</x:v>
      </x:c>
      <x:c r="C195" t="str">
        <x:v>a</x:v>
      </x:c>
      <x:c r="D195" t="str">
        <x:v>ga9f21390-3c85-49b5-8527-b65306d72b64</x:v>
      </x:c>
      <x:c r="E195" t="str">
        <x:v>g0e8dcae2-2ce2-4cec-8bbd-185ea211d244</x:v>
      </x:c>
      <x:c r="F195" t="str">
        <x:v>https://www.webonary.org/marubo/g0e8dcae2-2ce2-4cec-8bbd-185ea211d244/</x:v>
      </x:c>
      <x:c r="G195" s="20" t="n">
        <x:v>46003.934751099536</x:v>
      </x:c>
    </x:row>
    <x:row r="196">
      <x:c r="A196" t="str">
        <x:v>assim</x:v>
      </x:c>
      <x:c r="B196" t="str">
        <x:v>neská</x:v>
      </x:c>
      <x:c r="C196" t="str">
        <x:v>a</x:v>
      </x:c>
      <x:c r="D196" t="str">
        <x:v>ga9f21390-3c85-49b5-8527-b65306d72b64</x:v>
      </x:c>
      <x:c r="E196" t="str">
        <x:v>gc747b9fd-8b74-43aa-b1b2-dbccb36b1d78</x:v>
      </x:c>
      <x:c r="F196" t="str">
        <x:v>https://www.webonary.org/marubo/gc747b9fd-8b74-43aa-b1b2-dbccb36b1d78/</x:v>
      </x:c>
      <x:c r="G196" s="20" t="n">
        <x:v>46003.934751099536</x:v>
      </x:c>
    </x:row>
    <x:row r="197">
      <x:c r="A197" t="str">
        <x:v>assobiar</x:v>
      </x:c>
      <x:c r="B197" t="str">
        <x:v>shẽĩ ikí</x:v>
      </x:c>
      <x:c r="C197" t="str">
        <x:v>a</x:v>
      </x:c>
      <x:c r="D197" t="str">
        <x:v>g1c2bcfe9-c5e0-42f7-9faa-bdf0be2276e3</x:v>
      </x:c>
      <x:c r="E197" t="str">
        <x:v>gf089427a-a60d-42b4-ae69-633b9a9f1595</x:v>
      </x:c>
      <x:c r="F197" t="str">
        <x:v>https://www.webonary.org/marubo/gf089427a-a60d-42b4-ae69-633b9a9f1595/</x:v>
      </x:c>
      <x:c r="G197" s="20" t="n">
        <x:v>46003.934751099536</x:v>
      </x:c>
    </x:row>
    <x:row r="198">
      <x:c r="A198" t="str">
        <x:v>assombrar</x:v>
      </x:c>
      <x:c r="B198" t="str">
        <x:v>pãtéa</x:v>
      </x:c>
      <x:c r="C198" t="str">
        <x:v>a</x:v>
      </x:c>
      <x:c r="D198" t="str">
        <x:v>g92a15ed8-a3f2-4060-b8c0-cde099f0f600</x:v>
      </x:c>
      <x:c r="E198" t="str">
        <x:v>gca8d65b6-c1c9-4b1d-83b6-9f717e34b5e5</x:v>
      </x:c>
      <x:c r="F198" t="str">
        <x:v>https://www.webonary.org/marubo/gca8d65b6-c1c9-4b1d-83b6-9f717e34b5e5/</x:v>
      </x:c>
      <x:c r="G198" s="20" t="n">
        <x:v>46003.934751099536</x:v>
      </x:c>
    </x:row>
    <x:row r="199">
      <x:c r="A199" t="str">
        <x:v>assovia</x:v>
      </x:c>
      <x:c r="B199" t="str">
        <x:v>shei</x:v>
      </x:c>
      <x:c r="C199" t="str">
        <x:v>a</x:v>
      </x:c>
      <x:c r="D199" t="str">
        <x:v>g0379807d-0291-46a4-8767-843be7e388df</x:v>
      </x:c>
      <x:c r="E199" t="str">
        <x:v>gdf44974a-b26b-406f-b037-2c7e3056aba9</x:v>
      </x:c>
      <x:c r="F199" t="str">
        <x:v>https://www.webonary.org/marubo/gdf44974a-b26b-406f-b037-2c7e3056aba9/</x:v>
      </x:c>
      <x:c r="G199" s="20" t="n">
        <x:v>46003.934751099536</x:v>
      </x:c>
    </x:row>
    <x:row r="200">
      <x:c r="A200" t="str">
        <x:v>assoviar</x:v>
      </x:c>
      <x:c r="B200" t="str">
        <x:v>shẽi</x:v>
      </x:c>
      <x:c r="C200" t="str">
        <x:v>a</x:v>
      </x:c>
      <x:c r="D200" t="str">
        <x:v>gfd3e7eda-81be-4ad4-b6ff-89548792bb8d</x:v>
      </x:c>
      <x:c r="E200" t="str">
        <x:v>g387094f0-a5b1-48fb-bb26-9f0355d21cb9</x:v>
      </x:c>
      <x:c r="F200" t="str">
        <x:v>https://www.webonary.org/marubo/g387094f0-a5b1-48fb-bb26-9f0355d21cb9/</x:v>
      </x:c>
      <x:c r="G200" s="20" t="n">
        <x:v>46003.934751099536</x:v>
      </x:c>
    </x:row>
    <x:row r="201">
      <x:c r="A201" t="str">
        <x:v>assustar</x:v>
      </x:c>
      <x:c r="B201" t="str">
        <x:v>ratéa</x:v>
      </x:c>
      <x:c r="C201" t="str">
        <x:v>a</x:v>
      </x:c>
      <x:c r="D201" t="str">
        <x:v>g5b6e878e-a168-4e21-a798-5432103f334a</x:v>
      </x:c>
      <x:c r="E201" t="str">
        <x:v>g6a3b4e80-4e89-463d-b5ea-b9deba3892a9</x:v>
      </x:c>
      <x:c r="F201" t="str">
        <x:v>https://www.webonary.org/marubo/g6a3b4e80-4e89-463d-b5ea-b9deba3892a9/</x:v>
      </x:c>
      <x:c r="G201" s="20" t="n">
        <x:v>46003.934751099536</x:v>
      </x:c>
    </x:row>
    <x:row r="202">
      <x:c r="A202" t="str">
        <x:v>assustar</x:v>
      </x:c>
      <x:c r="B202" t="str">
        <x:v>rakete aká</x:v>
      </x:c>
      <x:c r="C202" t="str">
        <x:v>a</x:v>
      </x:c>
      <x:c r="D202" t="str">
        <x:v>g5b6e878e-a168-4e21-a798-5432103f334a</x:v>
      </x:c>
      <x:c r="E202" t="str">
        <x:v>gd95d6779-7796-4910-a550-8d86e3415e46</x:v>
      </x:c>
      <x:c r="F202" t="str">
        <x:v>https://www.webonary.org/marubo/gd95d6779-7796-4910-a550-8d86e3415e46/</x:v>
      </x:c>
      <x:c r="G202" s="20" t="n">
        <x:v>46003.934751099536</x:v>
      </x:c>
    </x:row>
    <x:row r="203">
      <x:c r="A203" t="str">
        <x:v>assustar</x:v>
      </x:c>
      <x:c r="B203" t="str">
        <x:v>mechpakewã</x:v>
      </x:c>
      <x:c r="C203" t="str">
        <x:v>a</x:v>
      </x:c>
      <x:c r="D203" t="str">
        <x:v>g5b6e878e-a168-4e21-a798-5432103f334a</x:v>
      </x:c>
      <x:c r="E203" t="str">
        <x:v>g65d307e7-84ab-46b4-93ce-4ffbd8175522</x:v>
      </x:c>
      <x:c r="F203" t="str">
        <x:v>https://www.webonary.org/marubo/g65d307e7-84ab-46b4-93ce-4ffbd8175522/</x:v>
      </x:c>
      <x:c r="G203" s="20" t="n">
        <x:v>46003.934751099536</x:v>
      </x:c>
    </x:row>
    <x:row r="204">
      <x:c r="A204" t="str">
        <x:v>atigir</x:v>
      </x:c>
      <x:c r="B204" t="str">
        <x:v>atxía</x:v>
      </x:c>
      <x:c r="C204" t="str">
        <x:v>a</x:v>
      </x:c>
      <x:c r="D204" t="str">
        <x:v>ge194acf8-ab4d-45d3-8547-52e2bb23f278</x:v>
      </x:c>
      <x:c r="E204" t="str">
        <x:v>g515ef14c-0922-4aed-9223-6d1b1da7f8c9</x:v>
      </x:c>
      <x:c r="F204" t="str">
        <x:v>https://www.webonary.org/marubo/g515ef14c-0922-4aed-9223-6d1b1da7f8c9/</x:v>
      </x:c>
      <x:c r="G204" s="20" t="n">
        <x:v>46003.934751099536</x:v>
      </x:c>
    </x:row>
    <x:row r="205">
      <x:c r="A205" t="str">
        <x:v>atingir</x:v>
      </x:c>
      <x:c r="B205" t="str">
        <x:v>tsaka</x:v>
      </x:c>
      <x:c r="C205" t="str">
        <x:v>a</x:v>
      </x:c>
      <x:c r="D205" t="str">
        <x:v>g944c720d-66c1-4188-8010-71db636ea967</x:v>
      </x:c>
      <x:c r="E205" t="str">
        <x:v>gdff9e94d-3bf1-4cb4-957a-32d951aeb247</x:v>
      </x:c>
      <x:c r="F205" t="str">
        <x:v>https://www.webonary.org/marubo/gdff9e94d-3bf1-4cb4-957a-32d951aeb247/</x:v>
      </x:c>
      <x:c r="G205" s="20" t="n">
        <x:v>46003.934751099536</x:v>
      </x:c>
    </x:row>
    <x:row r="206">
      <x:c r="A206" t="str">
        <x:v>atirar</x:v>
      </x:c>
      <x:c r="B206" t="str">
        <x:v>teka</x:v>
      </x:c>
      <x:c r="C206" t="str">
        <x:v>a</x:v>
      </x:c>
      <x:c r="D206" t="str">
        <x:v>g42ec9105-ac8d-4a0a-a9dc-75d9c4de852b</x:v>
      </x:c>
      <x:c r="E206" t="str">
        <x:v>gcd0ca2d2-09fc-44e8-98fb-462bf6daacab</x:v>
      </x:c>
      <x:c r="F206" t="str">
        <x:v>https://www.webonary.org/marubo/gcd0ca2d2-09fc-44e8-98fb-462bf6daacab/</x:v>
      </x:c>
      <x:c r="G206" s="20" t="n">
        <x:v>46003.934751099536</x:v>
      </x:c>
    </x:row>
    <x:row r="207">
      <x:c r="A207" t="str">
        <x:v>atirar</x:v>
      </x:c>
      <x:c r="B207" t="str">
        <x:v>1</x:v>
      </x:c>
      <x:c r="C207" t="str">
        <x:v>a</x:v>
      </x:c>
      <x:c r="D207" t="str">
        <x:v>g42ec9105-ac8d-4a0a-a9dc-75d9c4de852b</x:v>
      </x:c>
      <x:c r="E207" t="str">
        <x:v>gcd0ca2d2-09fc-44e8-98fb-462bf6daacab</x:v>
      </x:c>
      <x:c r="F207" t="str">
        <x:v>https://www.webonary.org/marubo/gcd0ca2d2-09fc-44e8-98fb-462bf6daacab/</x:v>
      </x:c>
      <x:c r="G207" s="20" t="n">
        <x:v>46003.934751099536</x:v>
      </x:c>
    </x:row>
    <x:row r="208">
      <x:c r="A208" t="str">
        <x:v>atrás</x:v>
      </x:c>
      <x:c r="B208" t="str">
        <x:v>txipo</x:v>
      </x:c>
      <x:c r="C208" t="str">
        <x:v>a</x:v>
      </x:c>
      <x:c r="D208" t="str">
        <x:v>g8ef05da8-72a3-4a90-b4d4-6b36c5ba17ed</x:v>
      </x:c>
      <x:c r="E208" t="str">
        <x:v>g9331d009-a4a9-48b9-b0dd-7cced1c9602e</x:v>
      </x:c>
      <x:c r="F208" t="str">
        <x:v>https://www.webonary.org/marubo/g9331d009-a4a9-48b9-b0dd-7cced1c9602e/</x:v>
      </x:c>
      <x:c r="G208" s="20" t="n">
        <x:v>46003.934751099536</x:v>
      </x:c>
    </x:row>
    <x:row r="209">
      <x:c r="A209" t="str">
        <x:v>atrás do joelho</x:v>
      </x:c>
      <x:c r="B209" t="str">
        <x:v>raspíti</x:v>
      </x:c>
      <x:c r="C209" t="str">
        <x:v>a</x:v>
      </x:c>
      <x:c r="D209" t="str">
        <x:v>g2788c310-1d66-4eac-89d6-8da55735b46b</x:v>
      </x:c>
      <x:c r="E209" t="str">
        <x:v>ged83943d-4559-4137-84c5-b09a354fe221</x:v>
      </x:c>
      <x:c r="F209" t="str">
        <x:v>https://www.webonary.org/marubo/ged83943d-4559-4137-84c5-b09a354fe221/</x:v>
      </x:c>
      <x:c r="G209" s="20" t="n">
        <x:v>46003.93475862269</x:v>
      </x:c>
    </x:row>
    <x:row r="210">
      <x:c r="A210" t="str">
        <x:v>atravessar</x:v>
      </x:c>
      <x:c r="B210" t="str">
        <x:v>pokea</x:v>
      </x:c>
      <x:c r="C210" t="str">
        <x:v>a</x:v>
      </x:c>
      <x:c r="D210" t="str">
        <x:v>g53fa2b24-b01d-4961-a082-611b8c5c51b0</x:v>
      </x:c>
      <x:c r="E210" t="str">
        <x:v>g91b55762-9fdf-4dd3-9dfe-4dcc847a7f42</x:v>
      </x:c>
      <x:c r="F210" t="str">
        <x:v>https://www.webonary.org/marubo/g91b55762-9fdf-4dd3-9dfe-4dcc847a7f42/</x:v>
      </x:c>
      <x:c r="G210" s="20" t="n">
        <x:v>46003.93475862269</x:v>
      </x:c>
    </x:row>
    <x:row r="211">
      <x:c r="A211" t="str">
        <x:v>AUX.1</x:v>
      </x:c>
      <x:c r="B211" t="str">
        <x:v>ikí</x:v>
      </x:c>
      <x:c r="C211" t="str">
        <x:v>a</x:v>
      </x:c>
      <x:c r="D211" t="str">
        <x:v>g4b532112-a439-4876-90dd-e2ca67110b7f</x:v>
      </x:c>
      <x:c r="E211" t="str">
        <x:v>gf2679fdd-462c-454f-b18e-0cba369052c7</x:v>
      </x:c>
      <x:c r="F211" t="str">
        <x:v>https://www.webonary.org/marubo/gf2679fdd-462c-454f-b18e-0cba369052c7/</x:v>
      </x:c>
      <x:c r="G211" s="20" t="n">
        <x:v>46003.93475862269</x:v>
      </x:c>
    </x:row>
    <x:row r="212">
      <x:c r="A212" t="str">
        <x:v>AUX.1</x:v>
      </x:c>
      <x:c r="B212" t="str">
        <x:v>1</x:v>
      </x:c>
      <x:c r="C212" t="str">
        <x:v>a</x:v>
      </x:c>
      <x:c r="D212" t="str">
        <x:v>g4b532112-a439-4876-90dd-e2ca67110b7f</x:v>
      </x:c>
      <x:c r="E212" t="str">
        <x:v>gf2679fdd-462c-454f-b18e-0cba369052c7</x:v>
      </x:c>
      <x:c r="F212" t="str">
        <x:v>https://www.webonary.org/marubo/gf2679fdd-462c-454f-b18e-0cba369052c7/</x:v>
      </x:c>
      <x:c r="G212" s="20" t="n">
        <x:v>46003.93475862269</x:v>
      </x:c>
    </x:row>
    <x:row r="213">
      <x:c r="A213" t="str">
        <x:v>avião</x:v>
      </x:c>
      <x:c r="B213" t="str">
        <x:v>keyá rãtxa</x:v>
      </x:c>
      <x:c r="C213" t="str">
        <x:v>a</x:v>
      </x:c>
      <x:c r="D213" t="str">
        <x:v>gc404ac54-2d7a-448a-92c4-b6470e253905</x:v>
      </x:c>
      <x:c r="E213" t="str">
        <x:v>gf40fc3d3-82ba-4cba-93b9-c247874ae2e7</x:v>
      </x:c>
      <x:c r="F213" t="str">
        <x:v>https://www.webonary.org/marubo/gf40fc3d3-82ba-4cba-93b9-c247874ae2e7/</x:v>
      </x:c>
      <x:c r="G213" s="20" t="n">
        <x:v>46003.93475862269</x:v>
      </x:c>
    </x:row>
    <x:row r="214">
      <x:c r="A214" t="str">
        <x:v>avô cruzado</x:v>
      </x:c>
      <x:c r="B214" t="str">
        <x:v>txaitxo</x:v>
      </x:c>
      <x:c r="C214" t="str">
        <x:v>a</x:v>
      </x:c>
      <x:c r="D214" t="str">
        <x:v>gd215694c-5f22-498a-ac6b-68721677a334</x:v>
      </x:c>
      <x:c r="E214" t="str">
        <x:v>g3e535a09-3841-4343-9af1-2877025c9544</x:v>
      </x:c>
      <x:c r="F214" t="str">
        <x:v>https://www.webonary.org/marubo/g3e535a09-3841-4343-9af1-2877025c9544/</x:v>
      </x:c>
      <x:c r="G214" s="20" t="n">
        <x:v>46003.93475862269</x:v>
      </x:c>
    </x:row>
    <x:row r="215">
      <x:c r="A215" t="str">
        <x:v>avó materna</x:v>
      </x:c>
      <x:c r="B215" t="str">
        <x:v>txichtxo</x:v>
      </x:c>
      <x:c r="C215" t="str">
        <x:v>a</x:v>
      </x:c>
      <x:c r="D215" t="str">
        <x:v>ge5ee8ae4-dede-4c34-aa72-314ba8fceba1</x:v>
      </x:c>
      <x:c r="E215" t="str">
        <x:v>ga3532406-eb59-4170-a5ee-0c4264ba8cca</x:v>
      </x:c>
      <x:c r="F215" t="str">
        <x:v>https://www.webonary.org/marubo/ga3532406-eb59-4170-a5ee-0c4264ba8cca/</x:v>
      </x:c>
      <x:c r="G215" s="20" t="n">
        <x:v>46003.93475862269</x:v>
      </x:c>
    </x:row>
    <x:row r="216">
      <x:c r="A216" t="str">
        <x:v>avó paternal</x:v>
      </x:c>
      <x:c r="B216" t="str">
        <x:v>paĩtxo</x:v>
      </x:c>
      <x:c r="C216" t="str">
        <x:v>a</x:v>
      </x:c>
      <x:c r="D216" t="str">
        <x:v>g6cd096f7-8583-4f7c-8d6a-f7475af02ad6</x:v>
      </x:c>
      <x:c r="E216" t="str">
        <x:v>g47c0a2a8-a1cc-409c-aa31-b486fcff56d4</x:v>
      </x:c>
      <x:c r="F216" t="str">
        <x:v>https://www.webonary.org/marubo/g47c0a2a8-a1cc-409c-aa31-b486fcff56d4/</x:v>
      </x:c>
      <x:c r="G216" s="20" t="n">
        <x:v>46003.93475862269</x:v>
      </x:c>
    </x:row>
    <x:row r="217">
      <x:c r="A217" t="str">
        <x:v>avó paterno</x:v>
      </x:c>
      <x:c r="B217" t="str">
        <x:v>ochtxo</x:v>
      </x:c>
      <x:c r="C217" t="str">
        <x:v>a</x:v>
      </x:c>
      <x:c r="D217" t="str">
        <x:v>g8a35fe9a-8f19-4bb4-9aeb-dbcd7439dd02</x:v>
      </x:c>
      <x:c r="E217" t="str">
        <x:v>gaf48f5ee-27a2-4e51-becd-f5797f0d79fa</x:v>
      </x:c>
      <x:c r="F217" t="str">
        <x:v>https://www.webonary.org/marubo/gaf48f5ee-27a2-4e51-becd-f5797f0d79fa/</x:v>
      </x:c>
      <x:c r="G217" s="20" t="n">
        <x:v>46003.93475862269</x:v>
      </x:c>
    </x:row>
    <x:row r="218">
      <x:c r="A218" t="str">
        <x:v>ayahuasca</x:v>
      </x:c>
      <x:c r="B218" t="str">
        <x:v>õni</x:v>
      </x:c>
      <x:c r="C218" t="str">
        <x:v>a</x:v>
      </x:c>
      <x:c r="D218" t="str">
        <x:v>gb50c1b43-1c38-4e04-b996-704b432784fa</x:v>
      </x:c>
      <x:c r="E218" t="str">
        <x:v>g5a73ffd1-cbbd-42cf-b4b3-7a7ea4fb1991</x:v>
      </x:c>
      <x:c r="F218" t="str">
        <x:v>https://www.webonary.org/marubo/g5a73ffd1-cbbd-42cf-b4b3-7a7ea4fb1991/</x:v>
      </x:c>
      <x:c r="G218" s="20" t="n">
        <x:v>46003.93475862269</x:v>
      </x:c>
    </x:row>
    <x:row r="219">
      <x:c r="A219" t="str">
        <x:v>azedo</x:v>
      </x:c>
      <x:c r="B219" t="str">
        <x:v>katxaka</x:v>
      </x:c>
      <x:c r="C219" t="str">
        <x:v>a</x:v>
      </x:c>
      <x:c r="D219" t="str">
        <x:v>g009e6537-5441-40f4-aa36-74972d5eaa1e</x:v>
      </x:c>
      <x:c r="E219" t="str">
        <x:v>g4f974269-5e13-424a-b0d4-3481443cae1f</x:v>
      </x:c>
      <x:c r="F219" t="str">
        <x:v>https://www.webonary.org/marubo/g4f974269-5e13-424a-b0d4-3481443cae1f/</x:v>
      </x:c>
      <x:c r="G219" s="20" t="n">
        <x:v>46003.93475862269</x:v>
      </x:c>
    </x:row>
    <x:row r="220">
      <x:c r="A220" t="str">
        <x:v>azul claro</x:v>
      </x:c>
      <x:c r="B220" t="str">
        <x:v>shanekoroka</x:v>
      </x:c>
      <x:c r="C220" t="str">
        <x:v>a</x:v>
      </x:c>
      <x:c r="D220" t="str">
        <x:v>g69729403-339f-4601-b322-7e8348d55498</x:v>
      </x:c>
      <x:c r="E220" t="str">
        <x:v>gf08d20d5-e793-42ad-afa0-9a1f2c3f0ef0</x:v>
      </x:c>
      <x:c r="F220" t="str">
        <x:v>https://www.webonary.org/marubo/gf08d20d5-e793-42ad-afa0-9a1f2c3f0ef0/</x:v>
      </x:c>
      <x:c r="G220" s="20" t="n">
        <x:v>46003.93475862269</x:v>
      </x:c>
    </x:row>
    <x:row r="221">
      <x:c r="A221" t="str">
        <x:v>azul escuro</x:v>
      </x:c>
      <x:c r="B221" t="str">
        <x:v>shaneisoka</x:v>
      </x:c>
      <x:c r="C221" t="str">
        <x:v>a</x:v>
      </x:c>
      <x:c r="D221" t="str">
        <x:v>g5f7e6d45-b707-41be-90ef-06c6a07bfaab</x:v>
      </x:c>
      <x:c r="E221" t="str">
        <x:v>g1921bb44-1b58-4851-92eb-66a8414afa4f</x:v>
      </x:c>
      <x:c r="F221" t="str">
        <x:v>https://www.webonary.org/marubo/g1921bb44-1b58-4851-92eb-66a8414afa4f/</x:v>
      </x:c>
      <x:c r="G221" s="20" t="n">
        <x:v>46003.93475862269</x:v>
      </x:c>
    </x:row>
    <x:row r="222">
      <x:c r="A222" t="str">
        <x:v>babaçu</x:v>
      </x:c>
      <x:c r="B222" t="str">
        <x:v>kõta</x:v>
      </x:c>
      <x:c r="C222" t="str">
        <x:v>b</x:v>
      </x:c>
      <x:c r="D222" t="str">
        <x:v>g7e37b3a9-cc2e-4be6-89d6-7e130a7185d8</x:v>
      </x:c>
      <x:c r="E222" t="str">
        <x:v>g989ff2a9-4106-4583-9eb5-8bf7f841957a</x:v>
      </x:c>
      <x:c r="F222" t="str">
        <x:v>https://www.webonary.org/marubo/g989ff2a9-4106-4583-9eb5-8bf7f841957a/</x:v>
      </x:c>
      <x:c r="G222" s="20" t="n">
        <x:v>46003.93475862269</x:v>
      </x:c>
    </x:row>
    <x:row r="223">
      <x:c r="A223" t="str">
        <x:v>bacia</x:v>
      </x:c>
      <x:c r="B223" t="str">
        <x:v>tsisó</x:v>
      </x:c>
      <x:c r="C223" t="str">
        <x:v>b</x:v>
      </x:c>
      <x:c r="D223" t="str">
        <x:v>gb92a5175-3525-42c9-95fd-018d05b149e1</x:v>
      </x:c>
      <x:c r="E223" t="str">
        <x:v>g4588f754-4831-4573-89a7-6161ca90cf5c</x:v>
      </x:c>
      <x:c r="F223" t="str">
        <x:v>https://www.webonary.org/marubo/g4588f754-4831-4573-89a7-6161ca90cf5c/</x:v>
      </x:c>
      <x:c r="G223" s="20" t="n">
        <x:v>46003.93475862269</x:v>
      </x:c>
    </x:row>
    <x:row r="224">
      <x:c r="A224" t="str">
        <x:v>bacia</x:v>
      </x:c>
      <x:c r="B224" t="str">
        <x:v>txĩká</x:v>
      </x:c>
      <x:c r="C224" t="str">
        <x:v>b</x:v>
      </x:c>
      <x:c r="D224" t="str">
        <x:v>gb92a5175-3525-42c9-95fd-018d05b149e1</x:v>
      </x:c>
      <x:c r="E224" t="str">
        <x:v>g13958b08-7dca-4fd1-b25e-30dc5db669b9</x:v>
      </x:c>
      <x:c r="F224" t="str">
        <x:v>https://www.webonary.org/marubo/g13958b08-7dca-4fd1-b25e-30dc5db669b9/</x:v>
      </x:c>
      <x:c r="G224" s="20" t="n">
        <x:v>46003.93475862269</x:v>
      </x:c>
    </x:row>
    <x:row r="225">
      <x:c r="A225" t="str">
        <x:v>bacural</x:v>
      </x:c>
      <x:c r="B225" t="str">
        <x:v>txoshpe</x:v>
      </x:c>
      <x:c r="C225" t="str">
        <x:v>b</x:v>
      </x:c>
      <x:c r="D225" t="str">
        <x:v>ga99bb64c-68d2-48df-864e-58c94488ba58</x:v>
      </x:c>
      <x:c r="E225" t="str">
        <x:v>gd58ae1d9-a100-4f01-9231-ece6468f90ca</x:v>
      </x:c>
      <x:c r="F225" t="str">
        <x:v>https://www.webonary.org/marubo/gd58ae1d9-a100-4f01-9231-ece6468f90ca/</x:v>
      </x:c>
      <x:c r="G225" s="20" t="n">
        <x:v>46003.93475862269</x:v>
      </x:c>
    </x:row>
    <x:row r="226">
      <x:c r="A226" t="str">
        <x:v>bacural</x:v>
      </x:c>
      <x:c r="B226" t="str">
        <x:v>1</x:v>
      </x:c>
      <x:c r="C226" t="str">
        <x:v>b</x:v>
      </x:c>
      <x:c r="D226" t="str">
        <x:v>ga99bb64c-68d2-48df-864e-58c94488ba58</x:v>
      </x:c>
      <x:c r="E226" t="str">
        <x:v>gd58ae1d9-a100-4f01-9231-ece6468f90ca</x:v>
      </x:c>
      <x:c r="F226" t="str">
        <x:v>https://www.webonary.org/marubo/gd58ae1d9-a100-4f01-9231-ece6468f90ca/</x:v>
      </x:c>
      <x:c r="G226" s="20" t="n">
        <x:v>46003.93475862269</x:v>
      </x:c>
    </x:row>
    <x:row r="227">
      <x:c r="A227" t="str">
        <x:v>baixo</x:v>
      </x:c>
      <x:c r="B227" t="str">
        <x:v>tokochta</x:v>
      </x:c>
      <x:c r="C227" t="str">
        <x:v>b</x:v>
      </x:c>
      <x:c r="D227" t="str">
        <x:v>gd0556e73-754a-4c7c-86ef-c863883caa3d</x:v>
      </x:c>
      <x:c r="E227" t="str">
        <x:v>g4afd0513-858c-4243-8702-84d182584117</x:v>
      </x:c>
      <x:c r="F227" t="str">
        <x:v>https://www.webonary.org/marubo/g4afd0513-858c-4243-8702-84d182584117/</x:v>
      </x:c>
      <x:c r="G227" s="20" t="n">
        <x:v>46003.93475862269</x:v>
      </x:c>
    </x:row>
    <x:row r="228">
      <x:c r="A228" t="str">
        <x:v>balança</x:v>
      </x:c>
      <x:c r="B228" t="str">
        <x:v>weõti</x:v>
      </x:c>
      <x:c r="C228" t="str">
        <x:v>b</x:v>
      </x:c>
      <x:c r="D228" t="str">
        <x:v>g604dc38a-c6d6-42fe-a698-7dd6e2ec7282</x:v>
      </x:c>
      <x:c r="E228" t="str">
        <x:v>g919bc5af-628d-4129-bef4-41c158f18bcf</x:v>
      </x:c>
      <x:c r="F228" t="str">
        <x:v>https://www.webonary.org/marubo/g919bc5af-628d-4129-bef4-41c158f18bcf/</x:v>
      </x:c>
      <x:c r="G228" s="20" t="n">
        <x:v>46003.93475862269</x:v>
      </x:c>
    </x:row>
    <x:row r="229">
      <x:c r="A229" t="str">
        <x:v>balançar</x:v>
      </x:c>
      <x:c r="B229" t="str">
        <x:v>keshkã ikí</x:v>
      </x:c>
      <x:c r="C229" t="str">
        <x:v>b</x:v>
      </x:c>
      <x:c r="D229" t="str">
        <x:v>gc42b64e0-b367-44e7-a4f7-9b35894cfd45</x:v>
      </x:c>
      <x:c r="E229" t="str">
        <x:v>gc79a42bc-c0c5-4698-a5c0-dcf7e08c8312</x:v>
      </x:c>
      <x:c r="F229" t="str">
        <x:v>https://www.webonary.org/marubo/gc79a42bc-c0c5-4698-a5c0-dcf7e08c8312/</x:v>
      </x:c>
      <x:c r="G229" s="20" t="n">
        <x:v>46003.93475862269</x:v>
      </x:c>
    </x:row>
    <x:row r="230">
      <x:c r="A230" t="str">
        <x:v>balançar</x:v>
      </x:c>
      <x:c r="B230" t="str">
        <x:v>oyõ ikí</x:v>
      </x:c>
      <x:c r="C230" t="str">
        <x:v>b</x:v>
      </x:c>
      <x:c r="D230" t="str">
        <x:v>gc42b64e0-b367-44e7-a4f7-9b35894cfd45</x:v>
      </x:c>
      <x:c r="E230" t="str">
        <x:v>g7700a093-59dd-4b2d-8825-835e9d550113</x:v>
      </x:c>
      <x:c r="F230" t="str">
        <x:v>https://www.webonary.org/marubo/g7700a093-59dd-4b2d-8825-835e9d550113/</x:v>
      </x:c>
      <x:c r="G230" s="20" t="n">
        <x:v>46003.93475862269</x:v>
      </x:c>
    </x:row>
    <x:row r="231">
      <x:c r="A231" t="str">
        <x:v>balançar de rede</x:v>
      </x:c>
      <x:c r="B231" t="str">
        <x:v>weõ ikí</x:v>
      </x:c>
      <x:c r="C231" t="str">
        <x:v>b</x:v>
      </x:c>
      <x:c r="D231" t="str">
        <x:v>g3ea0f7c0-0562-4454-a850-35b0b07ee770</x:v>
      </x:c>
      <x:c r="E231" t="str">
        <x:v>gfa371b89-1ea9-40a1-a450-f20bb760c5f6</x:v>
      </x:c>
      <x:c r="F231" t="str">
        <x:v>https://www.webonary.org/marubo/gfa371b89-1ea9-40a1-a450-f20bb760c5f6/</x:v>
      </x:c>
      <x:c r="G231" s="20" t="n">
        <x:v>46003.93475862269</x:v>
      </x:c>
    </x:row>
    <x:row r="232">
      <x:c r="A232" t="str">
        <x:v>bambu</x:v>
      </x:c>
      <x:c r="B232" t="str">
        <x:v>paka</x:v>
      </x:c>
      <x:c r="C232" t="str">
        <x:v>b</x:v>
      </x:c>
      <x:c r="D232" t="str">
        <x:v>g0621eddd-87fe-478d-bee6-343aa4fbb925</x:v>
      </x:c>
      <x:c r="E232" t="str">
        <x:v>gc58b01f7-23ce-4893-8f23-8769cabdf858</x:v>
      </x:c>
      <x:c r="F232" t="str">
        <x:v>https://www.webonary.org/marubo/gc58b01f7-23ce-4893-8f23-8769cabdf858/</x:v>
      </x:c>
      <x:c r="G232" s="20" t="n">
        <x:v>46003.93475862269</x:v>
      </x:c>
    </x:row>
    <x:row r="233">
      <x:c r="A233" t="str">
        <x:v>bambu</x:v>
      </x:c>
      <x:c r="B233" t="str">
        <x:v>1</x:v>
      </x:c>
      <x:c r="C233" t="str">
        <x:v>b</x:v>
      </x:c>
      <x:c r="D233" t="str">
        <x:v>g0621eddd-87fe-478d-bee6-343aa4fbb925</x:v>
      </x:c>
      <x:c r="E233" t="str">
        <x:v>gc58b01f7-23ce-4893-8f23-8769cabdf858</x:v>
      </x:c>
      <x:c r="F233" t="str">
        <x:v>https://www.webonary.org/marubo/gc58b01f7-23ce-4893-8f23-8769cabdf858/</x:v>
      </x:c>
      <x:c r="G233" s="20" t="n">
        <x:v>46003.93475862269</x:v>
      </x:c>
    </x:row>
    <x:row r="234">
      <x:c r="A234" t="str">
        <x:v>banana</x:v>
      </x:c>
      <x:c r="B234" t="str">
        <x:v>mani</x:v>
      </x:c>
      <x:c r="C234" t="str">
        <x:v>b</x:v>
      </x:c>
      <x:c r="D234" t="str">
        <x:v>ga6ea15ea-f0ce-4afc-aec3-d9a86f233a67</x:v>
      </x:c>
      <x:c r="E234" t="str">
        <x:v>g04ab820a-3a79-4646-9ec7-e87bc4047287</x:v>
      </x:c>
      <x:c r="F234" t="str">
        <x:v>https://www.webonary.org/marubo/g04ab820a-3a79-4646-9ec7-e87bc4047287/</x:v>
      </x:c>
      <x:c r="G234" s="20" t="n">
        <x:v>46003.93475862269</x:v>
      </x:c>
    </x:row>
    <x:row r="235">
      <x:c r="A235" t="str">
        <x:v>banana chifre de boi</x:v>
      </x:c>
      <x:c r="B235" t="str">
        <x:v>awá mani</x:v>
      </x:c>
      <x:c r="C235" t="str">
        <x:v>b</x:v>
      </x:c>
      <x:c r="D235" t="str">
        <x:v>gcae26d6a-aa82-454d-83bb-fa219d064383</x:v>
      </x:c>
      <x:c r="E235" t="str">
        <x:v>g96b1109a-ef40-4bdb-9c70-d6e305f3c4f4</x:v>
      </x:c>
      <x:c r="F235" t="str">
        <x:v>https://www.webonary.org/marubo/g96b1109a-ef40-4bdb-9c70-d6e305f3c4f4/</x:v>
      </x:c>
      <x:c r="G235" s="20" t="n">
        <x:v>46003.93475862269</x:v>
      </x:c>
    </x:row>
    <x:row r="236">
      <x:c r="A236" t="str">
        <x:v>banana da terra2</x:v>
      </x:c>
      <x:c r="B236" t="str">
        <x:v>manika</x:v>
      </x:c>
      <x:c r="C236" t="str">
        <x:v>b</x:v>
      </x:c>
      <x:c r="D236" t="str">
        <x:v>gc3912a24-1063-4ce8-831c-87cf9d392ece</x:v>
      </x:c>
      <x:c r="E236" t="str">
        <x:v>g315aec3f-c00e-44de-a5a0-6973e45d4fea</x:v>
      </x:c>
      <x:c r="F236" t="str">
        <x:v>https://www.webonary.org/marubo/g315aec3f-c00e-44de-a5a0-6973e45d4fea/</x:v>
      </x:c>
      <x:c r="G236" s="20" t="n">
        <x:v>46003.93475862269</x:v>
      </x:c>
    </x:row>
    <x:row r="237">
      <x:c r="A237" t="str">
        <x:v>banana maçã</x:v>
      </x:c>
      <x:c r="B237" t="str">
        <x:v>chĩko mani</x:v>
      </x:c>
      <x:c r="C237" t="str">
        <x:v>b</x:v>
      </x:c>
      <x:c r="D237" t="str">
        <x:v>g37d43574-3c79-404d-9a92-97c523e67c78</x:v>
      </x:c>
      <x:c r="E237" t="str">
        <x:v>ga5f3f563-6c9f-449a-a12d-a5dff0742677</x:v>
      </x:c>
      <x:c r="F237" t="str">
        <x:v>https://www.webonary.org/marubo/ga5f3f563-6c9f-449a-a12d-a5dff0742677/</x:v>
      </x:c>
      <x:c r="G237" s="20" t="n">
        <x:v>46003.93475862269</x:v>
      </x:c>
    </x:row>
    <x:row r="238">
      <x:c r="A238" t="str">
        <x:v>banana nanica</x:v>
      </x:c>
      <x:c r="B238" t="str">
        <x:v>koro mani</x:v>
      </x:c>
      <x:c r="C238" t="str">
        <x:v>b</x:v>
      </x:c>
      <x:c r="D238" t="str">
        <x:v>g160968fe-eb48-47fd-8813-51ba8f13a4ee</x:v>
      </x:c>
      <x:c r="E238" t="str">
        <x:v>g1aead4ca-f9fc-42fc-828e-44e9713aaede</x:v>
      </x:c>
      <x:c r="F238" t="str">
        <x:v>https://www.webonary.org/marubo/g1aead4ca-f9fc-42fc-828e-44e9713aaede/</x:v>
      </x:c>
      <x:c r="G238" s="20" t="n">
        <x:v>46003.93475862269</x:v>
      </x:c>
    </x:row>
    <x:row r="239">
      <x:c r="A239" t="str">
        <x:v>banana não madura</x:v>
      </x:c>
      <x:c r="B239" t="str">
        <x:v>txõpaka</x:v>
      </x:c>
      <x:c r="C239" t="str">
        <x:v>b</x:v>
      </x:c>
      <x:c r="D239" t="str">
        <x:v>gb650ba40-d5d1-4423-b347-0e50cf3314cd</x:v>
      </x:c>
      <x:c r="E239" t="str">
        <x:v>g0d7f5e14-8269-45f2-a4ce-28d340ad3e8e</x:v>
      </x:c>
      <x:c r="F239" t="str">
        <x:v>https://www.webonary.org/marubo/g0d7f5e14-8269-45f2-a4ce-28d340ad3e8e/</x:v>
      </x:c>
      <x:c r="G239" s="20" t="n">
        <x:v>46003.93475862269</x:v>
      </x:c>
    </x:row>
    <x:row r="240">
      <x:c r="A240" t="str">
        <x:v>banana ou inga que não ficou grande</x:v>
      </x:c>
      <x:c r="B240" t="str">
        <x:v>txõpa</x:v>
      </x:c>
      <x:c r="C240" t="str">
        <x:v>b</x:v>
      </x:c>
      <x:c r="D240" t="str">
        <x:v>ge3db70d0-1f11-4582-b1a6-c1b75fbe2c36</x:v>
      </x:c>
      <x:c r="E240" t="str">
        <x:v>ga3738855-bc62-4952-94c3-56a5f389e873</x:v>
      </x:c>
      <x:c r="F240" t="str">
        <x:v>https://www.webonary.org/marubo/ga3738855-bc62-4952-94c3-56a5f389e873/</x:v>
      </x:c>
      <x:c r="G240" s="20" t="n">
        <x:v>46003.93475862269</x:v>
      </x:c>
    </x:row>
    <x:row r="241">
      <x:c r="A241" t="str">
        <x:v>banana prata</x:v>
      </x:c>
      <x:c r="B241" t="str">
        <x:v>mãsãmani</x:v>
      </x:c>
      <x:c r="C241" t="str">
        <x:v>b</x:v>
      </x:c>
      <x:c r="D241" t="str">
        <x:v>g2bf04d16-dd9c-412f-9268-e6f3ff175880</x:v>
      </x:c>
      <x:c r="E241" t="str">
        <x:v>g8cdf34bd-f874-46c8-a8ee-f288ea9aa4ef</x:v>
      </x:c>
      <x:c r="F241" t="str">
        <x:v>https://www.webonary.org/marubo/g8cdf34bd-f874-46c8-a8ee-f288ea9aa4ef/</x:v>
      </x:c>
      <x:c r="G241" s="20" t="n">
        <x:v>46003.93475862269</x:v>
      </x:c>
    </x:row>
    <x:row r="242">
      <x:c r="A242" t="str">
        <x:v>banana roxa</x:v>
      </x:c>
      <x:c r="B242" t="str">
        <x:v>kãi mani</x:v>
      </x:c>
      <x:c r="C242" t="str">
        <x:v>b</x:v>
      </x:c>
      <x:c r="D242" t="str">
        <x:v>g6aabd68a-9018-4a16-ab94-146ace17c0d1</x:v>
      </x:c>
      <x:c r="E242" t="str">
        <x:v>ga0e88c07-07d2-4688-a6fe-9a808099daec</x:v>
      </x:c>
      <x:c r="F242" t="str">
        <x:v>https://www.webonary.org/marubo/ga0e88c07-07d2-4688-a6fe-9a808099daec/</x:v>
      </x:c>
      <x:c r="G242" s="20" t="n">
        <x:v>46003.93475862269</x:v>
      </x:c>
    </x:row>
    <x:row r="243">
      <x:c r="A243" t="str">
        <x:v>banana verde cozida</x:v>
      </x:c>
      <x:c r="B243" t="str">
        <x:v>mani shoo</x:v>
      </x:c>
      <x:c r="C243" t="str">
        <x:v>b</x:v>
      </x:c>
      <x:c r="D243" t="str">
        <x:v>g37be25cd-10c6-4113-96e6-81260403e4a0</x:v>
      </x:c>
      <x:c r="E243" t="str">
        <x:v>gbe6cc282-9d2c-4e99-84b2-04d2f2d7fba6</x:v>
      </x:c>
      <x:c r="F243" t="str">
        <x:v>https://www.webonary.org/marubo/gbe6cc282-9d2c-4e99-84b2-04d2f2d7fba6/</x:v>
      </x:c>
      <x:c r="G243" s="20" t="n">
        <x:v>46003.93475862269</x:v>
      </x:c>
    </x:row>
    <x:row r="244">
      <x:c r="A244" t="str">
        <x:v>banar</x:v>
      </x:c>
      <x:c r="B244" t="str">
        <x:v>wekõa</x:v>
      </x:c>
      <x:c r="C244" t="str">
        <x:v>b</x:v>
      </x:c>
      <x:c r="D244" t="str">
        <x:v>geb0b631c-7937-4fa3-83ff-36dfa768a59e</x:v>
      </x:c>
      <x:c r="E244" t="str">
        <x:v>ge5a713c4-ec22-406b-aaea-3fbaecddb942</x:v>
      </x:c>
      <x:c r="F244" t="str">
        <x:v>https://www.webonary.org/marubo/ge5a713c4-ec22-406b-aaea-3fbaecddb942/</x:v>
      </x:c>
      <x:c r="G244" s="20" t="n">
        <x:v>46003.93475862269</x:v>
      </x:c>
    </x:row>
    <x:row r="245">
      <x:c r="A245" t="str">
        <x:v>banco paralelo</x:v>
      </x:c>
      <x:c r="B245" t="str">
        <x:v>kenã</x:v>
      </x:c>
      <x:c r="C245" t="str">
        <x:v>b</x:v>
      </x:c>
      <x:c r="D245" t="str">
        <x:v>g64993846-0053-462d-b0cd-ca49430655c4</x:v>
      </x:c>
      <x:c r="E245" t="str">
        <x:v>gff5c06a3-fe22-44f9-bcf7-ccc52dbfa951</x:v>
      </x:c>
      <x:c r="F245" t="str">
        <x:v>https://www.webonary.org/marubo/gff5c06a3-fe22-44f9-bcf7-ccc52dbfa951/</x:v>
      </x:c>
      <x:c r="G245" s="20" t="n">
        <x:v>46003.93475862269</x:v>
      </x:c>
    </x:row>
    <x:row r="246">
      <x:c r="A246" t="str">
        <x:v>barata</x:v>
      </x:c>
      <x:c r="B246" t="str">
        <x:v>mãpa</x:v>
      </x:c>
      <x:c r="C246" t="str">
        <x:v>b</x:v>
      </x:c>
      <x:c r="D246" t="str">
        <x:v>gec0666ee-87d1-4daa-a245-5f9b53e43fcf</x:v>
      </x:c>
      <x:c r="E246" t="str">
        <x:v>g34af1927-477d-4c2d-8699-c47dfc9d24f0</x:v>
      </x:c>
      <x:c r="F246" t="str">
        <x:v>https://www.webonary.org/marubo/g34af1927-477d-4c2d-8699-c47dfc9d24f0/</x:v>
      </x:c>
      <x:c r="G246" s="20" t="n">
        <x:v>46003.93475862269</x:v>
      </x:c>
    </x:row>
    <x:row r="247">
      <x:c r="A247" t="str">
        <x:v>barato</x:v>
      </x:c>
      <x:c r="B247" t="str">
        <x:v>orama</x:v>
      </x:c>
      <x:c r="C247" t="str">
        <x:v>b</x:v>
      </x:c>
      <x:c r="D247" t="str">
        <x:v>g2e42ebdb-de3b-4836-abdd-9c64e3aade6d</x:v>
      </x:c>
      <x:c r="E247" t="str">
        <x:v>g15a9190b-846d-4a77-b596-4fcc3aad5422</x:v>
      </x:c>
      <x:c r="F247" t="str">
        <x:v>https://www.webonary.org/marubo/g15a9190b-846d-4a77-b596-4fcc3aad5422/</x:v>
      </x:c>
      <x:c r="G247" s="20" t="n">
        <x:v>46003.93475862269</x:v>
      </x:c>
    </x:row>
    <x:row r="248">
      <x:c r="A248" t="str">
        <x:v>barba</x:v>
      </x:c>
      <x:c r="B248" t="str">
        <x:v>keni</x:v>
      </x:c>
      <x:c r="C248" t="str">
        <x:v>b</x:v>
      </x:c>
      <x:c r="D248" t="str">
        <x:v>g08ea4117-12a4-4a7e-aba3-a2d3ff9161e0</x:v>
      </x:c>
      <x:c r="E248" t="str">
        <x:v>g409703a0-1e16-4e7b-864a-0183b6a617a4</x:v>
      </x:c>
      <x:c r="F248" t="str">
        <x:v>https://www.webonary.org/marubo/g409703a0-1e16-4e7b-864a-0183b6a617a4/</x:v>
      </x:c>
      <x:c r="G248" s="20" t="n">
        <x:v>46003.93475862269</x:v>
      </x:c>
    </x:row>
    <x:row r="249">
      <x:c r="A249" t="str">
        <x:v>barbante</x:v>
      </x:c>
      <x:c r="B249" t="str">
        <x:v>resisi</x:v>
      </x:c>
      <x:c r="C249" t="str">
        <x:v>b</x:v>
      </x:c>
      <x:c r="D249" t="str">
        <x:v>g732e656d-2de8-41d5-8e87-429eff0e095d</x:v>
      </x:c>
      <x:c r="E249" t="str">
        <x:v>g5fb1ec06-fde6-4dd0-855e-cce2109692a8</x:v>
      </x:c>
      <x:c r="F249" t="str">
        <x:v>https://www.webonary.org/marubo/g5fb1ec06-fde6-4dd0-855e-cce2109692a8/</x:v>
      </x:c>
      <x:c r="G249" s="20" t="n">
        <x:v>46003.93475862269</x:v>
      </x:c>
    </x:row>
    <x:row r="250">
      <x:c r="A250" t="str">
        <x:v>barranco</x:v>
      </x:c>
      <x:c r="B250" t="str">
        <x:v>kẽpe</x:v>
      </x:c>
      <x:c r="C250" t="str">
        <x:v>b</x:v>
      </x:c>
      <x:c r="D250" t="str">
        <x:v>g4faaa638-afb4-4334-b580-a8c9c77cea4d</x:v>
      </x:c>
      <x:c r="E250" t="str">
        <x:v>g43ef5716-908e-49a7-988e-9dad52065d24</x:v>
      </x:c>
      <x:c r="F250" t="str">
        <x:v>https://www.webonary.org/marubo/g43ef5716-908e-49a7-988e-9dad52065d24/</x:v>
      </x:c>
      <x:c r="G250" s="20" t="n">
        <x:v>46003.93475862269</x:v>
      </x:c>
    </x:row>
    <x:row r="251">
      <x:c r="A251" t="str">
        <x:v>barrento</x:v>
      </x:c>
      <x:c r="B251" t="str">
        <x:v>potáka</x:v>
      </x:c>
      <x:c r="C251" t="str">
        <x:v>b</x:v>
      </x:c>
      <x:c r="D251" t="str">
        <x:v>gec2daf01-8a06-48bc-a669-a677c30c2e53</x:v>
      </x:c>
      <x:c r="E251" t="str">
        <x:v>g46198241-7968-429a-a109-dc78cc3c0083</x:v>
      </x:c>
      <x:c r="F251" t="str">
        <x:v>https://www.webonary.org/marubo/g46198241-7968-429a-a109-dc78cc3c0083/</x:v>
      </x:c>
      <x:c r="G251" s="20" t="n">
        <x:v>46003.93475862269</x:v>
      </x:c>
    </x:row>
    <x:row r="252">
      <x:c r="A252" t="str">
        <x:v>barulhento</x:v>
      </x:c>
      <x:c r="B252" t="str">
        <x:v>isĩka</x:v>
      </x:c>
      <x:c r="C252" t="str">
        <x:v>b</x:v>
      </x:c>
      <x:c r="D252" t="str">
        <x:v>g67d99ef5-4dd2-411d-8493-397327a8a3dd</x:v>
      </x:c>
      <x:c r="E252" t="str">
        <x:v>g03cd81a5-52c4-40af-91db-512c72ea3925</x:v>
      </x:c>
      <x:c r="F252" t="str">
        <x:v>https://www.webonary.org/marubo/g03cd81a5-52c4-40af-91db-512c72ea3925/</x:v>
      </x:c>
      <x:c r="G252" s="20" t="n">
        <x:v>46003.93475862269</x:v>
      </x:c>
    </x:row>
    <x:row r="253">
      <x:c r="A253" t="str">
        <x:v>barulho de mexer na rede</x:v>
      </x:c>
      <x:c r="B253" t="str">
        <x:v>tsekés ikí</x:v>
      </x:c>
      <x:c r="C253" t="str">
        <x:v>b</x:v>
      </x:c>
      <x:c r="D253" t="str">
        <x:v>g52dbc6d2-5bf6-4ede-8da8-7a4d415dec14</x:v>
      </x:c>
      <x:c r="E253" t="str">
        <x:v>g5e716473-d6a5-4881-80c9-3301d1c2c8c4</x:v>
      </x:c>
      <x:c r="F253" t="str">
        <x:v>https://www.webonary.org/marubo/g5e716473-d6a5-4881-80c9-3301d1c2c8c4/</x:v>
      </x:c>
      <x:c r="G253" s="20" t="n">
        <x:v>46003.93475862269</x:v>
      </x:c>
    </x:row>
    <x:row r="254">
      <x:c r="A254" t="str">
        <x:v>barulho de sacurdir flechas ou lanças juntos</x:v>
      </x:c>
      <x:c r="B254" t="str">
        <x:v>txari aká</x:v>
      </x:c>
      <x:c r="C254" t="str">
        <x:v>b</x:v>
      </x:c>
      <x:c r="D254" t="str">
        <x:v>g4a6b6ddb-5cf2-49bf-917f-375db8680c0a</x:v>
      </x:c>
      <x:c r="E254" t="str">
        <x:v>g38650050-a521-4814-9b41-6325bf5ce4f9</x:v>
      </x:c>
      <x:c r="F254" t="str">
        <x:v>https://www.webonary.org/marubo/g38650050-a521-4814-9b41-6325bf5ce4f9/</x:v>
      </x:c>
      <x:c r="G254" s="20" t="n">
        <x:v>46003.93475862269</x:v>
      </x:c>
    </x:row>
    <x:row r="255">
      <x:c r="A255" t="str">
        <x:v>barulho de trovão (quando homem importante morrer)</x:v>
      </x:c>
      <x:c r="B255" t="str">
        <x:v>roé aká</x:v>
      </x:c>
      <x:c r="C255" t="str">
        <x:v>b</x:v>
      </x:c>
      <x:c r="D255" t="str">
        <x:v>g0c5f7303-e206-48bb-9864-147bda7ff568</x:v>
      </x:c>
      <x:c r="E255" t="str">
        <x:v>g8b7848d8-de6a-4276-ad07-877228ac9fe3</x:v>
      </x:c>
      <x:c r="F255" t="str">
        <x:v>https://www.webonary.org/marubo/g8b7848d8-de6a-4276-ad07-877228ac9fe3/</x:v>
      </x:c>
      <x:c r="G255" s="20" t="n">
        <x:v>46003.93475862269</x:v>
      </x:c>
    </x:row>
    <x:row r="256">
      <x:c r="A256" t="str">
        <x:v>barulho de trovão (quando uma mulher morrer)</x:v>
      </x:c>
      <x:c r="B256" t="str">
        <x:v>posti aká</x:v>
      </x:c>
      <x:c r="C256" t="str">
        <x:v>b</x:v>
      </x:c>
      <x:c r="D256" t="str">
        <x:v>gfb166358-03d2-4ab0-b617-8abec9a5f50a</x:v>
      </x:c>
      <x:c r="E256" t="str">
        <x:v>g9da559f4-6711-4aab-8c24-671767911eb5</x:v>
      </x:c>
      <x:c r="F256" t="str">
        <x:v>https://www.webonary.org/marubo/g9da559f4-6711-4aab-8c24-671767911eb5/</x:v>
      </x:c>
      <x:c r="G256" s="20" t="n">
        <x:v>46003.93475862269</x:v>
      </x:c>
    </x:row>
    <x:row r="257">
      <x:c r="A257" t="str">
        <x:v>barulho de um animal</x:v>
      </x:c>
      <x:c r="B257" t="str">
        <x:v>keoa</x:v>
      </x:c>
      <x:c r="C257" t="str">
        <x:v>b</x:v>
      </x:c>
      <x:c r="D257" t="str">
        <x:v>g411d52ce-6bae-4d94-a948-4296946fe34a</x:v>
      </x:c>
      <x:c r="E257" t="str">
        <x:v>g2c177108-ca6e-4930-8cc8-f97dfb15916c</x:v>
      </x:c>
      <x:c r="F257" t="str">
        <x:v>https://www.webonary.org/marubo/g2c177108-ca6e-4930-8cc8-f97dfb15916c/</x:v>
      </x:c>
      <x:c r="G257" s="20" t="n">
        <x:v>46003.93475862269</x:v>
      </x:c>
    </x:row>
    <x:row r="258">
      <x:c r="A258" t="str">
        <x:v>barulho de um animal</x:v>
      </x:c>
      <x:c r="B258" t="str">
        <x:v>2</x:v>
      </x:c>
      <x:c r="C258" t="str">
        <x:v>b</x:v>
      </x:c>
      <x:c r="D258" t="str">
        <x:v>g411d52ce-6bae-4d94-a948-4296946fe34a</x:v>
      </x:c>
      <x:c r="E258" t="str">
        <x:v>g2c177108-ca6e-4930-8cc8-f97dfb15916c</x:v>
      </x:c>
      <x:c r="F258" t="str">
        <x:v>https://www.webonary.org/marubo/g2c177108-ca6e-4930-8cc8-f97dfb15916c/</x:v>
      </x:c>
      <x:c r="G258" s="20" t="n">
        <x:v>46003.93475862269</x:v>
      </x:c>
    </x:row>
    <x:row r="259">
      <x:c r="A259" t="str">
        <x:v>barulho dos dente de queixada</x:v>
      </x:c>
      <x:c r="B259" t="str">
        <x:v>txari aká</x:v>
      </x:c>
      <x:c r="C259" t="str">
        <x:v>b</x:v>
      </x:c>
      <x:c r="D259" t="str">
        <x:v>g0d7952fb-513f-4845-9eb7-1280194a7619</x:v>
      </x:c>
      <x:c r="E259" t="str">
        <x:v>g38650050-a521-4814-9b41-6325bf5ce4f9</x:v>
      </x:c>
      <x:c r="F259" t="str">
        <x:v>https://www.webonary.org/marubo/g38650050-a521-4814-9b41-6325bf5ce4f9/</x:v>
      </x:c>
      <x:c r="G259" s="20" t="n">
        <x:v>46003.93475862269</x:v>
      </x:c>
    </x:row>
    <x:row r="260">
      <x:c r="A260" t="str">
        <x:v>barulho quando agua fervendo está para acabar</x:v>
      </x:c>
      <x:c r="B260" t="str">
        <x:v>chee ikí</x:v>
      </x:c>
      <x:c r="C260" t="str">
        <x:v>b</x:v>
      </x:c>
      <x:c r="D260" t="str">
        <x:v>g4b95a910-4841-4f0f-adee-ff8bf4090582</x:v>
      </x:c>
      <x:c r="E260" t="str">
        <x:v>gef787dcf-83ab-4fe7-9626-3fe416c4ebc8</x:v>
      </x:c>
      <x:c r="F260" t="str">
        <x:v>https://www.webonary.org/marubo/gef787dcf-83ab-4fe7-9626-3fe416c4ebc8/</x:v>
      </x:c>
      <x:c r="G260" s="20" t="n">
        <x:v>46003.93475862269</x:v>
      </x:c>
    </x:row>
    <x:row r="261">
      <x:c r="A261" t="str">
        <x:v>batata doce</x:v>
      </x:c>
      <x:c r="B261" t="str">
        <x:v>kari</x:v>
      </x:c>
      <x:c r="C261" t="str">
        <x:v>b</x:v>
      </x:c>
      <x:c r="D261" t="str">
        <x:v>g926c7cdf-e854-44b6-afec-b099e2bda5d1</x:v>
      </x:c>
      <x:c r="E261" t="str">
        <x:v>g6237e627-0e71-4e82-9142-45be9992bf77</x:v>
      </x:c>
      <x:c r="F261" t="str">
        <x:v>https://www.webonary.org/marubo/g6237e627-0e71-4e82-9142-45be9992bf77/</x:v>
      </x:c>
      <x:c r="G261" s="20" t="n">
        <x:v>46003.93475862269</x:v>
      </x:c>
    </x:row>
    <x:row r="262">
      <x:c r="A262" t="str">
        <x:v>bater</x:v>
      </x:c>
      <x:c r="B262" t="str">
        <x:v>tõõ aká</x:v>
      </x:c>
      <x:c r="C262" t="str">
        <x:v>b</x:v>
      </x:c>
      <x:c r="D262" t="str">
        <x:v>ge4804cf5-41ec-4e25-aa75-01fa7e8c85ae</x:v>
      </x:c>
      <x:c r="E262" t="str">
        <x:v>gd0e14abd-b45f-43c7-8385-3ed50c22768f</x:v>
      </x:c>
      <x:c r="F262" t="str">
        <x:v>https://www.webonary.org/marubo/gd0e14abd-b45f-43c7-8385-3ed50c22768f/</x:v>
      </x:c>
      <x:c r="G262" s="20" t="n">
        <x:v>46003.93475862269</x:v>
      </x:c>
    </x:row>
    <x:row r="263">
      <x:c r="A263" t="str">
        <x:v>bater</x:v>
      </x:c>
      <x:c r="B263" t="str">
        <x:v>txaka</x:v>
      </x:c>
      <x:c r="C263" t="str">
        <x:v>b</x:v>
      </x:c>
      <x:c r="D263" t="str">
        <x:v>ge4804cf5-41ec-4e25-aa75-01fa7e8c85ae</x:v>
      </x:c>
      <x:c r="E263" t="str">
        <x:v>g5a560f93-d8dd-437f-b964-055f8abdcf53</x:v>
      </x:c>
      <x:c r="F263" t="str">
        <x:v>https://www.webonary.org/marubo/g5a560f93-d8dd-437f-b964-055f8abdcf53/</x:v>
      </x:c>
      <x:c r="G263" s="20" t="n">
        <x:v>46003.93475862269</x:v>
      </x:c>
    </x:row>
    <x:row r="264">
      <x:c r="A264" t="str">
        <x:v>bater</x:v>
      </x:c>
      <x:c r="B264" t="str">
        <x:v>retea</x:v>
      </x:c>
      <x:c r="C264" t="str">
        <x:v>b</x:v>
      </x:c>
      <x:c r="D264" t="str">
        <x:v>ge4804cf5-41ec-4e25-aa75-01fa7e8c85ae</x:v>
      </x:c>
      <x:c r="E264" t="str">
        <x:v>gd2d91045-87ef-473e-b022-a87a0e53bbf0</x:v>
      </x:c>
      <x:c r="F264" t="str">
        <x:v>https://www.webonary.org/marubo/gd2d91045-87ef-473e-b022-a87a0e53bbf0/</x:v>
      </x:c>
      <x:c r="G264" s="20" t="n">
        <x:v>46003.93475862269</x:v>
      </x:c>
    </x:row>
    <x:row r="265">
      <x:c r="A265" t="str">
        <x:v>bater</x:v>
      </x:c>
      <x:c r="B265" t="str">
        <x:v>1</x:v>
      </x:c>
      <x:c r="C265" t="str">
        <x:v>b</x:v>
      </x:c>
      <x:c r="D265" t="str">
        <x:v>ge4804cf5-41ec-4e25-aa75-01fa7e8c85ae</x:v>
      </x:c>
      <x:c r="E265" t="str">
        <x:v>gd2d91045-87ef-473e-b022-a87a0e53bbf0</x:v>
      </x:c>
      <x:c r="F265" t="str">
        <x:v>https://www.webonary.org/marubo/gd2d91045-87ef-473e-b022-a87a0e53bbf0/</x:v>
      </x:c>
      <x:c r="G265" s="20" t="n">
        <x:v>46003.93475862269</x:v>
      </x:c>
    </x:row>
    <x:row r="266">
      <x:c r="A266" t="str">
        <x:v>bater</x:v>
      </x:c>
      <x:c r="B266" t="str">
        <x:v>richkia</x:v>
      </x:c>
      <x:c r="C266" t="str">
        <x:v>b</x:v>
      </x:c>
      <x:c r="D266" t="str">
        <x:v>ge4804cf5-41ec-4e25-aa75-01fa7e8c85ae</x:v>
      </x:c>
      <x:c r="E266" t="str">
        <x:v>g70fd1ce5-3cb9-4bd2-b3cd-e908a35f560b</x:v>
      </x:c>
      <x:c r="F266" t="str">
        <x:v>https://www.webonary.org/marubo/g70fd1ce5-3cb9-4bd2-b3cd-e908a35f560b/</x:v>
      </x:c>
      <x:c r="G266" s="20" t="n">
        <x:v>46003.93475862269</x:v>
      </x:c>
    </x:row>
    <x:row r="267">
      <x:c r="A267" t="str">
        <x:v>bater</x:v>
      </x:c>
      <x:c r="B267" t="str">
        <x:v>pestoa</x:v>
      </x:c>
      <x:c r="C267" t="str">
        <x:v>b</x:v>
      </x:c>
      <x:c r="D267" t="str">
        <x:v>ge4804cf5-41ec-4e25-aa75-01fa7e8c85ae</x:v>
      </x:c>
      <x:c r="E267" t="str">
        <x:v>gedd040c9-a96e-46b6-abaa-6af10a86a5a8</x:v>
      </x:c>
      <x:c r="F267" t="str">
        <x:v>https://www.webonary.org/marubo/gedd040c9-a96e-46b6-abaa-6af10a86a5a8/</x:v>
      </x:c>
      <x:c r="G267" s="20" t="n">
        <x:v>46003.93475862269</x:v>
      </x:c>
    </x:row>
    <x:row r="268">
      <x:c r="A268" t="str">
        <x:v>bater</x:v>
      </x:c>
      <x:c r="B268" t="str">
        <x:v>motsa</x:v>
      </x:c>
      <x:c r="C268" t="str">
        <x:v>b</x:v>
      </x:c>
      <x:c r="D268" t="str">
        <x:v>ge4804cf5-41ec-4e25-aa75-01fa7e8c85ae</x:v>
      </x:c>
      <x:c r="E268" t="str">
        <x:v>g69cf726f-40d3-46b4-b9c4-f277619cbcd0</x:v>
      </x:c>
      <x:c r="F268" t="str">
        <x:v>https://www.webonary.org/marubo/g69cf726f-40d3-46b4-b9c4-f277619cbcd0/</x:v>
      </x:c>
      <x:c r="G268" s="20" t="n">
        <x:v>46003.93475862269</x:v>
      </x:c>
    </x:row>
    <x:row r="269">
      <x:c r="A269" t="str">
        <x:v>bater cabeça do animal</x:v>
      </x:c>
      <x:c r="B269" t="str">
        <x:v>vorích aká</x:v>
      </x:c>
      <x:c r="C269" t="str">
        <x:v>b</x:v>
      </x:c>
      <x:c r="D269" t="str">
        <x:v>gb625bc9b-ebce-439a-a31e-e0fcfaaf11ec</x:v>
      </x:c>
      <x:c r="E269" t="str">
        <x:v>gb70e213a-1816-435f-aba9-3546ea75e3c0</x:v>
      </x:c>
      <x:c r="F269" t="str">
        <x:v>https://www.webonary.org/marubo/gb70e213a-1816-435f-aba9-3546ea75e3c0/</x:v>
      </x:c>
      <x:c r="G269" s="20" t="n">
        <x:v>46003.93475862269</x:v>
      </x:c>
    </x:row>
    <x:row r="270">
      <x:c r="A270" t="str">
        <x:v>bater canela</x:v>
      </x:c>
      <x:c r="B270" t="str">
        <x:v>witã ikí</x:v>
      </x:c>
      <x:c r="C270" t="str">
        <x:v>b</x:v>
      </x:c>
      <x:c r="D270" t="str">
        <x:v>gf81ebdb0-0dd5-4410-921f-eeb36bd5eb30</x:v>
      </x:c>
      <x:c r="E270" t="str">
        <x:v>ga21d7a7f-4eaa-4fc6-aad1-54577ad92895</x:v>
      </x:c>
      <x:c r="F270" t="str">
        <x:v>https://www.webonary.org/marubo/ga21d7a7f-4eaa-4fc6-aad1-54577ad92895/</x:v>
      </x:c>
      <x:c r="G270" s="20" t="n">
        <x:v>46003.93475862269</x:v>
      </x:c>
    </x:row>
    <x:row r="271">
      <x:c r="A271" t="str">
        <x:v>bater joelho</x:v>
      </x:c>
      <x:c r="B271" t="str">
        <x:v>rãto ikí</x:v>
      </x:c>
      <x:c r="C271" t="str">
        <x:v>b</x:v>
      </x:c>
      <x:c r="D271" t="str">
        <x:v>g6c07b005-6281-4c96-9554-bda8dbd6eae9</x:v>
      </x:c>
      <x:c r="E271" t="str">
        <x:v>gbeb1e479-de90-41ba-a7f7-8c679167fc78</x:v>
      </x:c>
      <x:c r="F271" t="str">
        <x:v>https://www.webonary.org/marubo/gbeb1e479-de90-41ba-a7f7-8c679167fc78/</x:v>
      </x:c>
      <x:c r="G271" s="20" t="n">
        <x:v>46003.934771342596</x:v>
      </x:c>
    </x:row>
    <x:row r="272">
      <x:c r="A272" t="str">
        <x:v>bater na esposa</x:v>
      </x:c>
      <x:c r="B272" t="str">
        <x:v>isĩ aká</x:v>
      </x:c>
      <x:c r="C272" t="str">
        <x:v>b</x:v>
      </x:c>
      <x:c r="D272" t="str">
        <x:v>gfb39af74-c439-4b34-aa88-56efe2c2a359</x:v>
      </x:c>
      <x:c r="E272" t="str">
        <x:v>g1a124880-7a98-4ca3-a645-de6525b5f3cb</x:v>
      </x:c>
      <x:c r="F272" t="str">
        <x:v>https://www.webonary.org/marubo/g1a124880-7a98-4ca3-a645-de6525b5f3cb/</x:v>
      </x:c>
      <x:c r="G272" s="20" t="n">
        <x:v>46003.934771342596</x:v>
      </x:c>
    </x:row>
    <x:row r="273">
      <x:c r="A273" t="str">
        <x:v>bater nas costas de uma pessoa</x:v>
      </x:c>
      <x:c r="B273" t="str">
        <x:v>petó aká</x:v>
      </x:c>
      <x:c r="C273" t="str">
        <x:v>b</x:v>
      </x:c>
      <x:c r="D273" t="str">
        <x:v>gc17624c9-2743-4148-9899-d2552ea870a4</x:v>
      </x:c>
      <x:c r="E273" t="str">
        <x:v>gcbe6ee30-e927-4418-8c3e-7b5d918dd244</x:v>
      </x:c>
      <x:c r="F273" t="str">
        <x:v>https://www.webonary.org/marubo/gcbe6ee30-e927-4418-8c3e-7b5d918dd244/</x:v>
      </x:c>
      <x:c r="G273" s="20" t="n">
        <x:v>46003.934771342596</x:v>
      </x:c>
    </x:row>
    <x:row r="274">
      <x:c r="A274" t="str">
        <x:v>bater testa</x:v>
      </x:c>
      <x:c r="B274" t="str">
        <x:v>vesenkewa</x:v>
      </x:c>
      <x:c r="C274" t="str">
        <x:v>b</x:v>
      </x:c>
      <x:c r="D274" t="str">
        <x:v>g59fddf04-c814-4f4c-9338-d421b0456131</x:v>
      </x:c>
      <x:c r="E274" t="str">
        <x:v>gb154a6dd-3ce2-4e94-a359-3d1f144ff15a</x:v>
      </x:c>
      <x:c r="F274" t="str">
        <x:v>https://www.webonary.org/marubo/gb154a6dd-3ce2-4e94-a359-3d1f144ff15a/</x:v>
      </x:c>
      <x:c r="G274" s="20" t="n">
        <x:v>46003.934771342596</x:v>
      </x:c>
    </x:row>
    <x:row r="275">
      <x:c r="A275" t="str">
        <x:v>bater timbó no igarapé ou lago</x:v>
      </x:c>
      <x:c r="B275" t="str">
        <x:v>ashã</x:v>
      </x:c>
      <x:c r="C275" t="str">
        <x:v>b</x:v>
      </x:c>
      <x:c r="D275" t="str">
        <x:v>g3eee036d-7694-4fde-9d4c-802c45fb1519</x:v>
      </x:c>
      <x:c r="E275" t="str">
        <x:v>g50add1d5-93a3-44ca-a7e8-42efdc837369</x:v>
      </x:c>
      <x:c r="F275" t="str">
        <x:v>https://www.webonary.org/marubo/g50add1d5-93a3-44ca-a7e8-42efdc837369/</x:v>
      </x:c>
      <x:c r="G275" s="20" t="n">
        <x:v>46003.934771342596</x:v>
      </x:c>
    </x:row>
    <x:row r="276">
      <x:c r="A276" t="str">
        <x:v>batom</x:v>
      </x:c>
      <x:c r="B276" t="str">
        <x:v>kesha õchĩti</x:v>
      </x:c>
      <x:c r="C276" t="str">
        <x:v>b</x:v>
      </x:c>
      <x:c r="D276" t="str">
        <x:v>g9425abeb-80ba-471f-912c-f3811586fe3a</x:v>
      </x:c>
      <x:c r="E276" t="str">
        <x:v>g6675198b-95cc-41db-b656-6affe349175e</x:v>
      </x:c>
      <x:c r="F276" t="str">
        <x:v>https://www.webonary.org/marubo/g6675198b-95cc-41db-b656-6affe349175e/</x:v>
      </x:c>
      <x:c r="G276" s="20" t="n">
        <x:v>46003.934771342596</x:v>
      </x:c>
    </x:row>
    <x:row r="277">
      <x:c r="A277" t="str">
        <x:v>bebê</x:v>
      </x:c>
      <x:c r="B277" t="str">
        <x:v>chẽke</x:v>
      </x:c>
      <x:c r="C277" t="str">
        <x:v>b</x:v>
      </x:c>
      <x:c r="D277" t="str">
        <x:v>g59f2e428-af24-4283-b330-0892e78019e4</x:v>
      </x:c>
      <x:c r="E277" t="str">
        <x:v>g3f67ff8b-33a0-4ffa-aba8-3872f3d081cf</x:v>
      </x:c>
      <x:c r="F277" t="str">
        <x:v>https://www.webonary.org/marubo/g3f67ff8b-33a0-4ffa-aba8-3872f3d081cf/</x:v>
      </x:c>
      <x:c r="G277" s="20" t="n">
        <x:v>46003.934771342596</x:v>
      </x:c>
    </x:row>
    <x:row r="278">
      <x:c r="A278" t="str">
        <x:v>bebê peqeno</x:v>
      </x:c>
      <x:c r="B278" t="str">
        <x:v>txõpíchi</x:v>
      </x:c>
      <x:c r="C278" t="str">
        <x:v>b</x:v>
      </x:c>
      <x:c r="D278" t="str">
        <x:v>g2b372ee8-2d0c-41d0-81c6-0c2e7c82fb32</x:v>
      </x:c>
      <x:c r="E278" t="str">
        <x:v>g007e51e0-8ea0-417d-b4a9-cdcecd8230ca</x:v>
      </x:c>
      <x:c r="F278" t="str">
        <x:v>https://www.webonary.org/marubo/g007e51e0-8ea0-417d-b4a9-cdcecd8230ca/</x:v>
      </x:c>
      <x:c r="G278" s="20" t="n">
        <x:v>46003.934771342596</x:v>
      </x:c>
    </x:row>
    <x:row r="279">
      <x:c r="A279" t="str">
        <x:v>beber)</x:v>
      </x:c>
      <x:c r="B279" t="str">
        <x:v>vetsa</x:v>
      </x:c>
      <x:c r="C279" t="str">
        <x:v>b</x:v>
      </x:c>
      <x:c r="D279" t="str">
        <x:v>g984b016c-5d94-4047-8c52-2a501f485408</x:v>
      </x:c>
      <x:c r="E279" t="str">
        <x:v>g1af30860-40ea-4e60-8a87-291283fbc4fe</x:v>
      </x:c>
      <x:c r="F279" t="str">
        <x:v>https://www.webonary.org/marubo/g1af30860-40ea-4e60-8a87-291283fbc4fe/</x:v>
      </x:c>
      <x:c r="G279" s="20" t="n">
        <x:v>46003.934771342596</x:v>
      </x:c>
    </x:row>
    <x:row r="280">
      <x:c r="A280" t="str">
        <x:v>bebericar</x:v>
      </x:c>
      <x:c r="B280" t="str">
        <x:v>perés aká</x:v>
      </x:c>
      <x:c r="C280" t="str">
        <x:v>b</x:v>
      </x:c>
      <x:c r="D280" t="str">
        <x:v>ga1e2b36b-8921-4760-9e45-a8ca6a0c1978</x:v>
      </x:c>
      <x:c r="E280" t="str">
        <x:v>ga97dd6bf-0e40-46ea-806e-8c4d14cc9f79</x:v>
      </x:c>
      <x:c r="F280" t="str">
        <x:v>https://www.webonary.org/marubo/ga97dd6bf-0e40-46ea-806e-8c4d14cc9f79/</x:v>
      </x:c>
      <x:c r="G280" s="20" t="n">
        <x:v>46003.934771342596</x:v>
      </x:c>
    </x:row>
    <x:row r="281">
      <x:c r="A281" t="str">
        <x:v>bebida de banana</x:v>
      </x:c>
      <x:c r="B281" t="str">
        <x:v>mani waka</x:v>
      </x:c>
      <x:c r="C281" t="str">
        <x:v>b</x:v>
      </x:c>
      <x:c r="D281" t="str">
        <x:v>ga9eb30d2-5817-431a-9df1-9a89eddb0861</x:v>
      </x:c>
      <x:c r="E281" t="str">
        <x:v>gdb03c318-b198-48e1-af84-012bb480b129</x:v>
      </x:c>
      <x:c r="F281" t="str">
        <x:v>https://www.webonary.org/marubo/gdb03c318-b198-48e1-af84-012bb480b129/</x:v>
      </x:c>
      <x:c r="G281" s="20" t="n">
        <x:v>46003.934771342596</x:v>
      </x:c>
    </x:row>
    <x:row r="282">
      <x:c r="A282" t="str">
        <x:v>beija-flor</x:v>
      </x:c>
      <x:c r="B282" t="str">
        <x:v>pino</x:v>
      </x:c>
      <x:c r="C282" t="str">
        <x:v>b</x:v>
      </x:c>
      <x:c r="D282" t="str">
        <x:v>g48c45dd0-c629-4d3e-b680-ae4760751907</x:v>
      </x:c>
      <x:c r="E282" t="str">
        <x:v>gcf2a6f88-18b9-4239-9912-78861adae8e6</x:v>
      </x:c>
      <x:c r="F282" t="str">
        <x:v>https://www.webonary.org/marubo/gcf2a6f88-18b9-4239-9912-78861adae8e6/</x:v>
      </x:c>
      <x:c r="G282" s="20" t="n">
        <x:v>46003.934771342596</x:v>
      </x:c>
    </x:row>
    <x:row r="283">
      <x:c r="A283" t="str">
        <x:v>beijar</x:v>
      </x:c>
      <x:c r="B283" t="str">
        <x:v>mekí aká</x:v>
      </x:c>
      <x:c r="C283" t="str">
        <x:v>b</x:v>
      </x:c>
      <x:c r="D283" t="str">
        <x:v>gbcd22173-ef89-462e-865d-00d5a81b450b</x:v>
      </x:c>
      <x:c r="E283" t="str">
        <x:v>g16efadd9-e025-4d4e-a5fb-737670ed191c</x:v>
      </x:c>
      <x:c r="F283" t="str">
        <x:v>https://www.webonary.org/marubo/g16efadd9-e025-4d4e-a5fb-737670ed191c/</x:v>
      </x:c>
      <x:c r="G283" s="20" t="n">
        <x:v>46003.934771342596</x:v>
      </x:c>
    </x:row>
    <x:row r="284">
      <x:c r="A284" t="str">
        <x:v>BEN</x:v>
      </x:c>
      <x:c r="B284" t="str">
        <x:v>-ravĩ</x:v>
      </x:c>
      <x:c r="C284" t="str">
        <x:v>b</x:v>
      </x:c>
      <x:c r="D284" t="str">
        <x:v>g94552745-12f3-44eb-9e27-07e5a7568b44</x:v>
      </x:c>
      <x:c r="E284" t="str">
        <x:v>g518d94cb-fe47-454d-89fd-037c4e618530</x:v>
      </x:c>
      <x:c r="F284" t="str">
        <x:v>https://www.webonary.org/marubo/g518d94cb-fe47-454d-89fd-037c4e618530/</x:v>
      </x:c>
      <x:c r="G284" s="20" t="n">
        <x:v>46003.934771342596</x:v>
      </x:c>
    </x:row>
    <x:row r="285">
      <x:c r="A285" t="str">
        <x:v>BEN</x:v>
      </x:c>
      <x:c r="B285" t="str">
        <x:v>-shõ</x:v>
      </x:c>
      <x:c r="C285" t="str">
        <x:v>b</x:v>
      </x:c>
      <x:c r="D285" t="str">
        <x:v>g94552745-12f3-44eb-9e27-07e5a7568b44</x:v>
      </x:c>
      <x:c r="E285" t="str">
        <x:v>g69c16b20-a347-418f-b395-bd0b5d8f7f77</x:v>
      </x:c>
      <x:c r="F285" t="str">
        <x:v>https://www.webonary.org/marubo/g69c16b20-a347-418f-b395-bd0b5d8f7f77/</x:v>
      </x:c>
      <x:c r="G285" s="20" t="n">
        <x:v>46003.934771342596</x:v>
      </x:c>
    </x:row>
    <x:row r="286">
      <x:c r="A286" t="str">
        <x:v>BEN</x:v>
      </x:c>
      <x:c r="B286" t="str">
        <x:v>2</x:v>
      </x:c>
      <x:c r="C286" t="str">
        <x:v>b</x:v>
      </x:c>
      <x:c r="D286" t="str">
        <x:v>g94552745-12f3-44eb-9e27-07e5a7568b44</x:v>
      </x:c>
      <x:c r="E286" t="str">
        <x:v>g69c16b20-a347-418f-b395-bd0b5d8f7f77</x:v>
      </x:c>
      <x:c r="F286" t="str">
        <x:v>https://www.webonary.org/marubo/g69c16b20-a347-418f-b395-bd0b5d8f7f77/</x:v>
      </x:c>
      <x:c r="G286" s="20" t="n">
        <x:v>46003.934771342596</x:v>
      </x:c>
    </x:row>
    <x:row r="287">
      <x:c r="A287" t="str">
        <x:v>BEN</x:v>
      </x:c>
      <x:c r="B287" t="str">
        <x:v>-sho</x:v>
      </x:c>
      <x:c r="C287" t="str">
        <x:v>b</x:v>
      </x:c>
      <x:c r="D287" t="str">
        <x:v>g94552745-12f3-44eb-9e27-07e5a7568b44</x:v>
      </x:c>
      <x:c r="E287" t="str">
        <x:v>g7bd2dceb-b613-4ac1-8cbf-1435500b881a</x:v>
      </x:c>
      <x:c r="F287" t="str">
        <x:v>https://www.webonary.org/marubo/g7bd2dceb-b613-4ac1-8cbf-1435500b881a/</x:v>
      </x:c>
      <x:c r="G287" s="20" t="n">
        <x:v>46003.934771342596</x:v>
      </x:c>
    </x:row>
    <x:row r="288">
      <x:c r="A288" t="str">
        <x:v>BEN</x:v>
      </x:c>
      <x:c r="B288" t="str">
        <x:v>2</x:v>
      </x:c>
      <x:c r="C288" t="str">
        <x:v>b</x:v>
      </x:c>
      <x:c r="D288" t="str">
        <x:v>g94552745-12f3-44eb-9e27-07e5a7568b44</x:v>
      </x:c>
      <x:c r="E288" t="str">
        <x:v>g7bd2dceb-b613-4ac1-8cbf-1435500b881a</x:v>
      </x:c>
      <x:c r="F288" t="str">
        <x:v>https://www.webonary.org/marubo/g7bd2dceb-b613-4ac1-8cbf-1435500b881a/</x:v>
      </x:c>
      <x:c r="G288" s="20" t="n">
        <x:v>46003.934771342596</x:v>
      </x:c>
    </x:row>
    <x:row r="289">
      <x:c r="A289" t="str">
        <x:v>bengala</x:v>
      </x:c>
      <x:c r="B289" t="str">
        <x:v>otéti</x:v>
      </x:c>
      <x:c r="C289" t="str">
        <x:v>b</x:v>
      </x:c>
      <x:c r="D289" t="str">
        <x:v>gdaeb4183-847c-4126-a9cb-c7ca05f54b29</x:v>
      </x:c>
      <x:c r="E289" t="str">
        <x:v>gc72ed119-2629-44e3-bb04-2ed4dbf16d73</x:v>
      </x:c>
      <x:c r="F289" t="str">
        <x:v>https://www.webonary.org/marubo/gc72ed119-2629-44e3-bb04-2ed4dbf16d73/</x:v>
      </x:c>
      <x:c r="G289" s="20" t="n">
        <x:v>46003.934771342596</x:v>
      </x:c>
    </x:row>
    <x:row r="290">
      <x:c r="A290" t="str">
        <x:v>bermuda</x:v>
      </x:c>
      <x:c r="B290" t="str">
        <x:v>tsisókiri</x:v>
      </x:c>
      <x:c r="C290" t="str">
        <x:v>b</x:v>
      </x:c>
      <x:c r="D290" t="str">
        <x:v>gb5acfc6b-9d05-417d-986e-857e7395fcbf</x:v>
      </x:c>
      <x:c r="E290" t="str">
        <x:v>gd13a28dc-b05e-4da1-a005-422e7174f720</x:v>
      </x:c>
      <x:c r="F290" t="str">
        <x:v>https://www.webonary.org/marubo/gd13a28dc-b05e-4da1-a005-422e7174f720/</x:v>
      </x:c>
      <x:c r="G290" s="20" t="n">
        <x:v>46003.934771342596</x:v>
      </x:c>
    </x:row>
    <x:row r="291">
      <x:c r="A291" t="str">
        <x:v>bermuda</x:v>
      </x:c>
      <x:c r="B291" t="str">
        <x:v>õpo txirochta</x:v>
      </x:c>
      <x:c r="C291" t="str">
        <x:v>b</x:v>
      </x:c>
      <x:c r="D291" t="str">
        <x:v>gb5acfc6b-9d05-417d-986e-857e7395fcbf</x:v>
      </x:c>
      <x:c r="E291" t="str">
        <x:v>gd86c488c-8ba6-49e7-93f2-9d95f4be7360</x:v>
      </x:c>
      <x:c r="F291" t="str">
        <x:v>https://www.webonary.org/marubo/gd86c488c-8ba6-49e7-93f2-9d95f4be7360/</x:v>
      </x:c>
      <x:c r="G291" s="20" t="n">
        <x:v>46003.934771342596</x:v>
      </x:c>
    </x:row>
    <x:row r="292">
      <x:c r="A292" t="str">
        <x:v>bermuda</x:v>
      </x:c>
      <x:c r="B292" t="str">
        <x:v>õpo tsisókiri</x:v>
      </x:c>
      <x:c r="C292" t="str">
        <x:v>b</x:v>
      </x:c>
      <x:c r="D292" t="str">
        <x:v>gb5acfc6b-9d05-417d-986e-857e7395fcbf</x:v>
      </x:c>
      <x:c r="E292" t="str">
        <x:v>gb887e36d-b56b-4f90-9426-d7e34afb7500</x:v>
      </x:c>
      <x:c r="F292" t="str">
        <x:v>https://www.webonary.org/marubo/gb887e36d-b56b-4f90-9426-d7e34afb7500/</x:v>
      </x:c>
      <x:c r="G292" s="20" t="n">
        <x:v>46003.934771342596</x:v>
      </x:c>
    </x:row>
    <x:row r="293">
      <x:c r="A293" t="str">
        <x:v>bexiga</x:v>
      </x:c>
      <x:c r="B293" t="str">
        <x:v>isõ ná</x:v>
      </x:c>
      <x:c r="C293" t="str">
        <x:v>b</x:v>
      </x:c>
      <x:c r="D293" t="str">
        <x:v>g61d5512e-911d-4f2b-8051-ce14c6d54513</x:v>
      </x:c>
      <x:c r="E293" t="str">
        <x:v>g59ec391c-12a8-4119-bc19-d08bad9a74a0</x:v>
      </x:c>
      <x:c r="F293" t="str">
        <x:v>https://www.webonary.org/marubo/g59ec391c-12a8-4119-bc19-d08bad9a74a0/</x:v>
      </x:c>
      <x:c r="G293" s="20" t="n">
        <x:v>46003.934771342596</x:v>
      </x:c>
    </x:row>
    <x:row r="294">
      <x:c r="A294" t="str">
        <x:v>bezouro</x:v>
      </x:c>
      <x:c r="B294" t="str">
        <x:v>tarãse</x:v>
      </x:c>
      <x:c r="C294" t="str">
        <x:v>b</x:v>
      </x:c>
      <x:c r="D294" t="str">
        <x:v>g89e08227-8b38-493d-99a0-a8517775e056</x:v>
      </x:c>
      <x:c r="E294" t="str">
        <x:v>gb1193273-fc88-4be7-a78a-153d42dd5825</x:v>
      </x:c>
      <x:c r="F294" t="str">
        <x:v>https://www.webonary.org/marubo/gb1193273-fc88-4be7-a78a-153d42dd5825/</x:v>
      </x:c>
      <x:c r="G294" s="20" t="n">
        <x:v>46003.934771342596</x:v>
      </x:c>
    </x:row>
    <x:row r="295">
      <x:c r="A295" t="str">
        <x:v>bicho de estimação</x:v>
      </x:c>
      <x:c r="B295" t="str">
        <x:v>yoini ináka</x:v>
      </x:c>
      <x:c r="C295" t="str">
        <x:v>b</x:v>
      </x:c>
      <x:c r="D295" t="str">
        <x:v>gffe79668-5da0-4711-a294-1d85d821f9b9</x:v>
      </x:c>
      <x:c r="E295" t="str">
        <x:v>gda54dd61-e67a-4577-8542-458ec0d7b636</x:v>
      </x:c>
      <x:c r="F295" t="str">
        <x:v>https://www.webonary.org/marubo/gda54dd61-e67a-4577-8542-458ec0d7b636/</x:v>
      </x:c>
      <x:c r="G295" s="20" t="n">
        <x:v>46003.934771342596</x:v>
      </x:c>
    </x:row>
    <x:row r="296">
      <x:c r="A296" t="str">
        <x:v>bicho de pé</x:v>
      </x:c>
      <x:c r="B296" t="str">
        <x:v>siro</x:v>
      </x:c>
      <x:c r="C296" t="str">
        <x:v>b</x:v>
      </x:c>
      <x:c r="D296" t="str">
        <x:v>g03084ff5-aac0-4586-8dfe-18d7fcd26272</x:v>
      </x:c>
      <x:c r="E296" t="str">
        <x:v>gfa7e6610-f6dc-42b6-9465-210a99d8af1a</x:v>
      </x:c>
      <x:c r="F296" t="str">
        <x:v>https://www.webonary.org/marubo/gfa7e6610-f6dc-42b6-9465-210a99d8af1a/</x:v>
      </x:c>
      <x:c r="G296" s="20" t="n">
        <x:v>46003.934771342596</x:v>
      </x:c>
    </x:row>
    <x:row r="297">
      <x:c r="A297" t="str">
        <x:v>bicho preguiça</x:v>
      </x:c>
      <x:c r="B297" t="str">
        <x:v>naĩ</x:v>
      </x:c>
      <x:c r="C297" t="str">
        <x:v>b</x:v>
      </x:c>
      <x:c r="D297" t="str">
        <x:v>gf4648fe0-507a-45f4-b24c-93185c0782a3</x:v>
      </x:c>
      <x:c r="E297" t="str">
        <x:v>g5993b9eb-50cd-4579-8113-800281a02a61</x:v>
      </x:c>
      <x:c r="F297" t="str">
        <x:v>https://www.webonary.org/marubo/g5993b9eb-50cd-4579-8113-800281a02a61/</x:v>
      </x:c>
      <x:c r="G297" s="20" t="n">
        <x:v>46003.934771342596</x:v>
      </x:c>
    </x:row>
    <x:row r="298">
      <x:c r="A298" t="str">
        <x:v>bicho preguiça</x:v>
      </x:c>
      <x:c r="B298" t="str">
        <x:v>1</x:v>
      </x:c>
      <x:c r="C298" t="str">
        <x:v>b</x:v>
      </x:c>
      <x:c r="D298" t="str">
        <x:v>gf4648fe0-507a-45f4-b24c-93185c0782a3</x:v>
      </x:c>
      <x:c r="E298" t="str">
        <x:v>g5993b9eb-50cd-4579-8113-800281a02a61</x:v>
      </x:c>
      <x:c r="F298" t="str">
        <x:v>https://www.webonary.org/marubo/g5993b9eb-50cd-4579-8113-800281a02a61/</x:v>
      </x:c>
      <x:c r="G298" s="20" t="n">
        <x:v>46003.934771342596</x:v>
      </x:c>
    </x:row>
    <x:row r="299">
      <x:c r="A299" t="str">
        <x:v>bico de brasa</x:v>
      </x:c>
      <x:c r="B299" t="str">
        <x:v>tikõ</x:v>
      </x:c>
      <x:c r="C299" t="str">
        <x:v>b</x:v>
      </x:c>
      <x:c r="D299" t="str">
        <x:v>g677fa383-2541-4ef8-98b4-bc7782bca7b5</x:v>
      </x:c>
      <x:c r="E299" t="str">
        <x:v>g93cd9860-e952-4e92-bde6-db2227d4acf5</x:v>
      </x:c>
      <x:c r="F299" t="str">
        <x:v>https://www.webonary.org/marubo/g93cd9860-e952-4e92-bde6-db2227d4acf5/</x:v>
      </x:c>
      <x:c r="G299" s="20" t="n">
        <x:v>46003.934771342596</x:v>
      </x:c>
    </x:row>
    <x:row r="300">
      <x:c r="A300" t="str">
        <x:v>bico de brasa</x:v>
      </x:c>
      <x:c r="B300" t="str">
        <x:v>1</x:v>
      </x:c>
      <x:c r="C300" t="str">
        <x:v>b</x:v>
      </x:c>
      <x:c r="D300" t="str">
        <x:v>g677fa383-2541-4ef8-98b4-bc7782bca7b5</x:v>
      </x:c>
      <x:c r="E300" t="str">
        <x:v>g93cd9860-e952-4e92-bde6-db2227d4acf5</x:v>
      </x:c>
      <x:c r="F300" t="str">
        <x:v>https://www.webonary.org/marubo/g93cd9860-e952-4e92-bde6-db2227d4acf5/</x:v>
      </x:c>
      <x:c r="G300" s="20" t="n">
        <x:v>46003.934771342596</x:v>
      </x:c>
    </x:row>
    <x:row r="301">
      <x:c r="A301" t="str">
        <x:v>biribá</x:v>
      </x:c>
      <x:c r="B301" t="str">
        <x:v>anõna</x:v>
      </x:c>
      <x:c r="C301" t="str">
        <x:v>b</x:v>
      </x:c>
      <x:c r="D301" t="str">
        <x:v>g1482b20a-1844-4678-a9db-6cab07b6b120</x:v>
      </x:c>
      <x:c r="E301" t="str">
        <x:v>ge6caf41b-1d0c-420a-959e-404f728e1382</x:v>
      </x:c>
      <x:c r="F301" t="str">
        <x:v>https://www.webonary.org/marubo/ge6caf41b-1d0c-420a-959e-404f728e1382/</x:v>
      </x:c>
      <x:c r="G301" s="20" t="n">
        <x:v>46003.934771342596</x:v>
      </x:c>
    </x:row>
    <x:row r="302">
      <x:c r="A302" t="str">
        <x:v>bisavó maternal</x:v>
      </x:c>
      <x:c r="B302" t="str">
        <x:v>ewatxo</x:v>
      </x:c>
      <x:c r="C302" t="str">
        <x:v>b</x:v>
      </x:c>
      <x:c r="D302" t="str">
        <x:v>g9248c9bd-fb56-480a-8ce7-4aa121c5ef17</x:v>
      </x:c>
      <x:c r="E302" t="str">
        <x:v>g7e90e492-03d6-4a1a-a0c5-d774da242c97</x:v>
      </x:c>
      <x:c r="F302" t="str">
        <x:v>https://www.webonary.org/marubo/g7e90e492-03d6-4a1a-a0c5-d774da242c97/</x:v>
      </x:c>
      <x:c r="G302" s="20" t="n">
        <x:v>46003.934771342596</x:v>
      </x:c>
    </x:row>
    <x:row r="303">
      <x:c r="A303" t="str">
        <x:v>bisavô maternal</x:v>
      </x:c>
      <x:c r="B303" t="str">
        <x:v>epatxo</x:v>
      </x:c>
      <x:c r="C303" t="str">
        <x:v>b</x:v>
      </x:c>
      <x:c r="D303" t="str">
        <x:v>g3d3dd3d3-44d0-4de1-b764-d636fece44a4</x:v>
      </x:c>
      <x:c r="E303" t="str">
        <x:v>ga77dc838-6f98-405e-b74f-c0f0af7bca29</x:v>
      </x:c>
      <x:c r="F303" t="str">
        <x:v>https://www.webonary.org/marubo/ga77dc838-6f98-405e-b74f-c0f0af7bca29/</x:v>
      </x:c>
      <x:c r="G303" s="20" t="n">
        <x:v>46003.934771342596</x:v>
      </x:c>
    </x:row>
    <x:row r="304">
      <x:c r="A304" t="str">
        <x:v>bloqueado</x:v>
      </x:c>
      <x:c r="B304" t="str">
        <x:v>vestóa</x:v>
      </x:c>
      <x:c r="C304" t="str">
        <x:v>b</x:v>
      </x:c>
      <x:c r="D304" t="str">
        <x:v>gc1de209c-1131-48bc-adcd-aef6f9af7d85</x:v>
      </x:c>
      <x:c r="E304" t="str">
        <x:v>g065f8705-3222-47dc-9f97-0e860a67af95</x:v>
      </x:c>
      <x:c r="F304" t="str">
        <x:v>https://www.webonary.org/marubo/g065f8705-3222-47dc-9f97-0e860a67af95/</x:v>
      </x:c>
      <x:c r="G304" s="20" t="n">
        <x:v>46003.934771342596</x:v>
      </x:c>
    </x:row>
    <x:row r="305">
      <x:c r="A305" t="str">
        <x:v>bloqueiar</x:v>
      </x:c>
      <x:c r="B305" t="str">
        <x:v>tea</x:v>
      </x:c>
      <x:c r="C305" t="str">
        <x:v>b</x:v>
      </x:c>
      <x:c r="D305" t="str">
        <x:v>ga594072f-c614-44d4-8a30-81f7e484678d</x:v>
      </x:c>
      <x:c r="E305" t="str">
        <x:v>g14a83360-5a8b-4826-8244-debcd4c98f5d</x:v>
      </x:c>
      <x:c r="F305" t="str">
        <x:v>https://www.webonary.org/marubo/g14a83360-5a8b-4826-8244-debcd4c98f5d/</x:v>
      </x:c>
      <x:c r="G305" s="20" t="n">
        <x:v>46003.934771342596</x:v>
      </x:c>
    </x:row>
    <x:row r="306">
      <x:c r="A306" t="str">
        <x:v>boca</x:v>
      </x:c>
      <x:c r="B306" t="str">
        <x:v>ana</x:v>
      </x:c>
      <x:c r="C306" t="str">
        <x:v>b</x:v>
      </x:c>
      <x:c r="D306" t="str">
        <x:v>g4e28f139-5d50-44dc-9e59-9280089efd86</x:v>
      </x:c>
      <x:c r="E306" t="str">
        <x:v>g86171cd6-f88e-4d91-84da-f42ede5c5323</x:v>
      </x:c>
      <x:c r="F306" t="str">
        <x:v>https://www.webonary.org/marubo/g86171cd6-f88e-4d91-84da-f42ede5c5323/</x:v>
      </x:c>
      <x:c r="G306" s="20" t="n">
        <x:v>46003.934771342596</x:v>
      </x:c>
    </x:row>
    <x:row r="307">
      <x:c r="A307" t="str">
        <x:v>bocejar</x:v>
      </x:c>
      <x:c r="B307" t="str">
        <x:v>shava</x:v>
      </x:c>
      <x:c r="C307" t="str">
        <x:v>b</x:v>
      </x:c>
      <x:c r="D307" t="str">
        <x:v>g62cf9490-7ff8-4443-ba27-8c85438dd80c</x:v>
      </x:c>
      <x:c r="E307" t="str">
        <x:v>ga5a248ea-bcb4-4c14-8908-c20c2f69008d</x:v>
      </x:c>
      <x:c r="F307" t="str">
        <x:v>https://www.webonary.org/marubo/ga5a248ea-bcb4-4c14-8908-c20c2f69008d/</x:v>
      </x:c>
      <x:c r="G307" s="20" t="n">
        <x:v>46003.934771342596</x:v>
      </x:c>
    </x:row>
    <x:row r="308">
      <x:c r="A308" t="str">
        <x:v>bochecha</x:v>
      </x:c>
      <x:c r="B308" t="str">
        <x:v>tamo</x:v>
      </x:c>
      <x:c r="C308" t="str">
        <x:v>b</x:v>
      </x:c>
      <x:c r="D308" t="str">
        <x:v>g3942c9f9-0c19-43cd-baaf-3b44ccfcf670</x:v>
      </x:c>
      <x:c r="E308" t="str">
        <x:v>gcea29cf9-177f-4488-9c88-b0ce99766d61</x:v>
      </x:c>
      <x:c r="F308" t="str">
        <x:v>https://www.webonary.org/marubo/gcea29cf9-177f-4488-9c88-b0ce99766d61/</x:v>
      </x:c>
      <x:c r="G308" s="20" t="n">
        <x:v>46003.934771342596</x:v>
      </x:c>
    </x:row>
    <x:row r="309">
      <x:c r="A309" t="str">
        <x:v>bodó</x:v>
      </x:c>
      <x:c r="B309" t="str">
        <x:v>yẽke</x:v>
      </x:c>
      <x:c r="C309" t="str">
        <x:v>b</x:v>
      </x:c>
      <x:c r="D309" t="str">
        <x:v>g35cd5e60-6aca-4267-8489-da2c3ba91412</x:v>
      </x:c>
      <x:c r="E309" t="str">
        <x:v>g02c142f6-cb95-4bff-a6ca-d6843f98e795</x:v>
      </x:c>
      <x:c r="F309" t="str">
        <x:v>https://www.webonary.org/marubo/g02c142f6-cb95-4bff-a6ca-d6843f98e795/</x:v>
      </x:c>
      <x:c r="G309" s="20" t="n">
        <x:v>46003.934771342596</x:v>
      </x:c>
    </x:row>
    <x:row r="310">
      <x:c r="A310" t="str">
        <x:v>boi</x:v>
      </x:c>
      <x:c r="B310" t="str">
        <x:v>txasho anika</x:v>
      </x:c>
      <x:c r="C310" t="str">
        <x:v>b</x:v>
      </x:c>
      <x:c r="D310" t="str">
        <x:v>g03fbf0a7-7b6f-4c96-a190-729fe3e4ef1e</x:v>
      </x:c>
      <x:c r="E310" t="str">
        <x:v>g30e3c183-5cd7-4c41-bb04-a6d1d948d298</x:v>
      </x:c>
      <x:c r="F310" t="str">
        <x:v>https://www.webonary.org/marubo/g30e3c183-5cd7-4c41-bb04-a6d1d948d298/</x:v>
      </x:c>
      <x:c r="G310" s="20" t="n">
        <x:v>46003.934771342596</x:v>
      </x:c>
    </x:row>
    <x:row r="311">
      <x:c r="A311" t="str">
        <x:v>boi</x:v>
      </x:c>
      <x:c r="B311" t="str">
        <x:v>noa txasho</x:v>
      </x:c>
      <x:c r="C311" t="str">
        <x:v>b</x:v>
      </x:c>
      <x:c r="D311" t="str">
        <x:v>g03fbf0a7-7b6f-4c96-a190-729fe3e4ef1e</x:v>
      </x:c>
      <x:c r="E311" t="str">
        <x:v>gc59e56f3-1913-48ab-b2b7-7456d552805e</x:v>
      </x:c>
      <x:c r="F311" t="str">
        <x:v>https://www.webonary.org/marubo/gc59e56f3-1913-48ab-b2b7-7456d552805e/</x:v>
      </x:c>
      <x:c r="G311" s="20" t="n">
        <x:v>46003.934771342596</x:v>
      </x:c>
    </x:row>
    <x:row r="312">
      <x:c r="A312" t="str">
        <x:v>bola</x:v>
      </x:c>
      <x:c r="B312" t="str">
        <x:v>yaviti</x:v>
      </x:c>
      <x:c r="C312" t="str">
        <x:v>b</x:v>
      </x:c>
      <x:c r="D312" t="str">
        <x:v>g8b3b0f50-73bc-46f9-9660-3096042ef47d</x:v>
      </x:c>
      <x:c r="E312" t="str">
        <x:v>g4ddc57e2-35fd-4da5-b894-da768c8af398</x:v>
      </x:c>
      <x:c r="F312" t="str">
        <x:v>https://www.webonary.org/marubo/g4ddc57e2-35fd-4da5-b894-da768c8af398/</x:v>
      </x:c>
      <x:c r="G312" s="20" t="n">
        <x:v>46003.934771342596</x:v>
      </x:c>
    </x:row>
    <x:row r="313">
      <x:c r="A313" t="str">
        <x:v>bolsa de roupa</x:v>
      </x:c>
      <x:c r="B313" t="str">
        <x:v>txemeiti</x:v>
      </x:c>
      <x:c r="C313" t="str">
        <x:v>b</x:v>
      </x:c>
      <x:c r="D313" t="str">
        <x:v>gaf6df7e4-cfe6-4bcd-a7e7-d5f43be4e52d</x:v>
      </x:c>
      <x:c r="E313" t="str">
        <x:v>gbd7c3b0a-acab-4a15-8a5b-895242c3f3aa</x:v>
      </x:c>
      <x:c r="F313" t="str">
        <x:v>https://www.webonary.org/marubo/gbd7c3b0a-acab-4a15-8a5b-895242c3f3aa/</x:v>
      </x:c>
      <x:c r="G313" s="20" t="n">
        <x:v>46003.934771342596</x:v>
      </x:c>
    </x:row>
    <x:row r="314">
      <x:c r="A314" t="str">
        <x:v>bolsa de roupa</x:v>
      </x:c>
      <x:c r="B314" t="str">
        <x:v>txi meiti</x:v>
      </x:c>
      <x:c r="C314" t="str">
        <x:v>b</x:v>
      </x:c>
      <x:c r="D314" t="str">
        <x:v>gaf6df7e4-cfe6-4bcd-a7e7-d5f43be4e52d</x:v>
      </x:c>
      <x:c r="E314" t="str">
        <x:v>ga523121b-fbcc-4696-9317-3b64b0c13843</x:v>
      </x:c>
      <x:c r="F314" t="str">
        <x:v>https://www.webonary.org/marubo/ga523121b-fbcc-4696-9317-3b64b0c13843/</x:v>
      </x:c>
      <x:c r="G314" s="20" t="n">
        <x:v>46003.934771342596</x:v>
      </x:c>
    </x:row>
    <x:row r="315">
      <x:c r="A315" t="str">
        <x:v>bom</x:v>
      </x:c>
      <x:c r="B315" t="str">
        <x:v>roaka</x:v>
      </x:c>
      <x:c r="C315" t="str">
        <x:v>b</x:v>
      </x:c>
      <x:c r="D315" t="str">
        <x:v>gac692626-f3ba-4b4d-9784-e3a0061898f1</x:v>
      </x:c>
      <x:c r="E315" t="str">
        <x:v>g6228d06b-7bb8-4475-b404-9c8eeddee745</x:v>
      </x:c>
      <x:c r="F315" t="str">
        <x:v>https://www.webonary.org/marubo/g6228d06b-7bb8-4475-b404-9c8eeddee745/</x:v>
      </x:c>
      <x:c r="G315" s="20" t="n">
        <x:v>46003.934771342596</x:v>
      </x:c>
    </x:row>
    <x:row r="316">
      <x:c r="A316" t="str">
        <x:v>bom cheiro</x:v>
      </x:c>
      <x:c r="B316" t="str">
        <x:v>noéka</x:v>
      </x:c>
      <x:c r="C316" t="str">
        <x:v>b</x:v>
      </x:c>
      <x:c r="D316" t="str">
        <x:v>gf149ea22-f0a8-4452-ab14-7ae98c2f827e</x:v>
      </x:c>
      <x:c r="E316" t="str">
        <x:v>g63c60f83-06e2-49a5-86ad-cc6e4ed572b3</x:v>
      </x:c>
      <x:c r="F316" t="str">
        <x:v>https://www.webonary.org/marubo/g63c60f83-06e2-49a5-86ad-cc6e4ed572b3/</x:v>
      </x:c>
      <x:c r="G316" s="20" t="n">
        <x:v>46003.934771342596</x:v>
      </x:c>
    </x:row>
    <x:row r="317">
      <x:c r="A317" t="str">
        <x:v>bonitinho</x:v>
      </x:c>
      <x:c r="B317" t="str">
        <x:v>ichtã</x:v>
      </x:c>
      <x:c r="C317" t="str">
        <x:v>b</x:v>
      </x:c>
      <x:c r="D317" t="str">
        <x:v>g317faaf7-1e59-4b6a-98f5-3e35a9ba8f5a</x:v>
      </x:c>
      <x:c r="E317" t="str">
        <x:v>g39664d0d-1d34-4cac-b79a-793c6350a5a5</x:v>
      </x:c>
      <x:c r="F317" t="str">
        <x:v>https://www.webonary.org/marubo/g39664d0d-1d34-4cac-b79a-793c6350a5a5/</x:v>
      </x:c>
      <x:c r="G317" s="20" t="n">
        <x:v>46003.934771342596</x:v>
      </x:c>
    </x:row>
    <x:row r="318">
      <x:c r="A318" t="str">
        <x:v>bonito</x:v>
      </x:c>
      <x:c r="B318" t="str">
        <x:v>roakachta</x:v>
      </x:c>
      <x:c r="C318" t="str">
        <x:v>b</x:v>
      </x:c>
      <x:c r="D318" t="str">
        <x:v>g1cf0ec7d-3680-4f7b-8ef6-e778edcb0560</x:v>
      </x:c>
      <x:c r="E318" t="str">
        <x:v>g9e05d789-2403-408b-987c-42b6dffeb483</x:v>
      </x:c>
      <x:c r="F318" t="str">
        <x:v>https://www.webonary.org/marubo/g9e05d789-2403-408b-987c-42b6dffeb483/</x:v>
      </x:c>
      <x:c r="G318" s="20" t="n">
        <x:v>46003.934771342596</x:v>
      </x:c>
    </x:row>
    <x:row r="319">
      <x:c r="A319" t="str">
        <x:v>borboleta</x:v>
      </x:c>
      <x:c r="B319" t="str">
        <x:v>shaopero</x:v>
      </x:c>
      <x:c r="C319" t="str">
        <x:v>b</x:v>
      </x:c>
      <x:c r="D319" t="str">
        <x:v>g9cf80486-9058-4016-bbe0-f55fc35295a6</x:v>
      </x:c>
      <x:c r="E319" t="str">
        <x:v>g765bea95-a3c0-45f8-ae33-684a6eda3159</x:v>
      </x:c>
      <x:c r="F319" t="str">
        <x:v>https://www.webonary.org/marubo/g765bea95-a3c0-45f8-ae33-684a6eda3159/</x:v>
      </x:c>
      <x:c r="G319" s="20" t="n">
        <x:v>46003.934771342596</x:v>
      </x:c>
    </x:row>
    <x:row r="320">
      <x:c r="A320" t="str">
        <x:v>botão</x:v>
      </x:c>
      <x:c r="B320" t="str">
        <x:v>õpo vero</x:v>
      </x:c>
      <x:c r="C320" t="str">
        <x:v>b</x:v>
      </x:c>
      <x:c r="D320" t="str">
        <x:v>g13f36156-d002-4660-9874-8bddf42bedf1</x:v>
      </x:c>
      <x:c r="E320" t="str">
        <x:v>gad6e0e0a-4907-4c4e-8d81-d26a33bb9f21</x:v>
      </x:c>
      <x:c r="F320" t="str">
        <x:v>https://www.webonary.org/marubo/gad6e0e0a-4907-4c4e-8d81-d26a33bb9f21/</x:v>
      </x:c>
      <x:c r="G320" s="20" t="n">
        <x:v>46003.934771342596</x:v>
      </x:c>
    </x:row>
    <x:row r="321">
      <x:c r="A321" t="str">
        <x:v>botas</x:v>
      </x:c>
      <x:c r="B321" t="str">
        <x:v>taríti keyaka</x:v>
      </x:c>
      <x:c r="C321" t="str">
        <x:v>b</x:v>
      </x:c>
      <x:c r="D321" t="str">
        <x:v>g33eb1dcb-7802-45c9-bcbb-51601c762117</x:v>
      </x:c>
      <x:c r="E321" t="str">
        <x:v>g32a1c7e8-9fb6-4008-a01f-a2eab9c7cbfc</x:v>
      </x:c>
      <x:c r="F321" t="str">
        <x:v>https://www.webonary.org/marubo/g32a1c7e8-9fb6-4008-a01f-a2eab9c7cbfc/</x:v>
      </x:c>
      <x:c r="G321" s="20" t="n">
        <x:v>46003.934771342596</x:v>
      </x:c>
    </x:row>
    <x:row r="322">
      <x:c r="A322" t="str">
        <x:v>boto</x:v>
      </x:c>
      <x:c r="B322" t="str">
        <x:v>kocho</x:v>
      </x:c>
      <x:c r="C322" t="str">
        <x:v>b</x:v>
      </x:c>
      <x:c r="D322" t="str">
        <x:v>g314408ef-ad12-4c4b-8862-23dc6f15b650</x:v>
      </x:c>
      <x:c r="E322" t="str">
        <x:v>gb031cf44-79c9-489a-a141-1aafb5e807c4</x:v>
      </x:c>
      <x:c r="F322" t="str">
        <x:v>https://www.webonary.org/marubo/gb031cf44-79c9-489a-a141-1aafb5e807c4/</x:v>
      </x:c>
      <x:c r="G322" s="20" t="n">
        <x:v>46003.934771342596</x:v>
      </x:c>
    </x:row>
    <x:row r="323">
      <x:c r="A323" t="str">
        <x:v>BPP bater a cabeça</x:v>
      </x:c>
      <x:c r="B323" t="str">
        <x:v>vetó ikí</x:v>
      </x:c>
      <x:c r="C323" t="str">
        <x:v>b</x:v>
      </x:c>
      <x:c r="D323" t="str">
        <x:v>gc582d8ac-972c-4f29-9de2-c9c26b629ff0</x:v>
      </x:c>
      <x:c r="E323" t="str">
        <x:v>g5c6c9169-eb6c-4db0-a873-f746d09c14e5</x:v>
      </x:c>
      <x:c r="F323" t="str">
        <x:v>https://www.webonary.org/marubo/g5c6c9169-eb6c-4db0-a873-f746d09c14e5/</x:v>
      </x:c>
      <x:c r="G323" s="20" t="n">
        <x:v>46003.934771342596</x:v>
      </x:c>
    </x:row>
    <x:row r="324">
      <x:c r="A324" t="str">
        <x:v>BPP bater na cabeça</x:v>
      </x:c>
      <x:c r="B324" t="str">
        <x:v>votásha aká</x:v>
      </x:c>
      <x:c r="C324" t="str">
        <x:v>b</x:v>
      </x:c>
      <x:c r="D324" t="str">
        <x:v>g19389a03-015a-445c-861d-4c33c641dda6</x:v>
      </x:c>
      <x:c r="E324" t="str">
        <x:v>g64f14700-e316-4432-9245-39e632b7c409</x:v>
      </x:c>
      <x:c r="F324" t="str">
        <x:v>https://www.webonary.org/marubo/g64f14700-e316-4432-9245-39e632b7c409/</x:v>
      </x:c>
      <x:c r="G324" s="20" t="n">
        <x:v>46003.934771342596</x:v>
      </x:c>
    </x:row>
    <x:row r="325">
      <x:c r="A325" t="str">
        <x:v>BPP bater pé</x:v>
      </x:c>
      <x:c r="B325" t="str">
        <x:v>votxá ikí</x:v>
      </x:c>
      <x:c r="C325" t="str">
        <x:v>b</x:v>
      </x:c>
      <x:c r="D325" t="str">
        <x:v>ge72a7428-b01a-4853-bbf6-83daa9a5d1b7</x:v>
      </x:c>
      <x:c r="E325" t="str">
        <x:v>g7146d637-f555-491a-9b8e-d48e41c79b24</x:v>
      </x:c>
      <x:c r="F325" t="str">
        <x:v>https://www.webonary.org/marubo/g7146d637-f555-491a-9b8e-d48e41c79b24/</x:v>
      </x:c>
      <x:c r="G325" s="20" t="n">
        <x:v>46003.934771342596</x:v>
      </x:c>
    </x:row>
    <x:row r="326">
      <x:c r="A326" t="str">
        <x:v>BPP cortar parte dianteiro</x:v>
      </x:c>
      <x:c r="B326" t="str">
        <x:v>votás aká</x:v>
      </x:c>
      <x:c r="C326" t="str">
        <x:v>b</x:v>
      </x:c>
      <x:c r="D326" t="str">
        <x:v>g464691ea-bfc7-4fed-a881-420d0a5bdc90</x:v>
      </x:c>
      <x:c r="E326" t="str">
        <x:v>ga4cc227e-df13-470e-8509-9ee145d9f0fe</x:v>
      </x:c>
      <x:c r="F326" t="str">
        <x:v>https://www.webonary.org/marubo/ga4cc227e-df13-470e-8509-9ee145d9f0fe/</x:v>
      </x:c>
      <x:c r="G326" s="20" t="n">
        <x:v>46003.934771342596</x:v>
      </x:c>
    </x:row>
    <x:row r="327">
      <x:c r="A327" t="str">
        <x:v>BPP pelos no pescoço</x:v>
      </x:c>
      <x:c r="B327" t="str">
        <x:v>tetxovoshe</x:v>
      </x:c>
      <x:c r="C327" t="str">
        <x:v>b</x:v>
      </x:c>
      <x:c r="D327" t="str">
        <x:v>ga45db8b6-2017-40d4-84ea-18c5be4d42bf</x:v>
      </x:c>
      <x:c r="E327" t="str">
        <x:v>g83cc9da6-0ebf-4987-8809-b503394a1b8b</x:v>
      </x:c>
      <x:c r="F327" t="str">
        <x:v>https://www.webonary.org/marubo/g83cc9da6-0ebf-4987-8809-b503394a1b8b/</x:v>
      </x:c>
      <x:c r="G327" s="20" t="n">
        <x:v>46003.934771342596</x:v>
      </x:c>
    </x:row>
    <x:row r="328">
      <x:c r="A328" t="str">
        <x:v>BPP quando bate na testa</x:v>
      </x:c>
      <x:c r="B328" t="str">
        <x:v>vetã ikí</x:v>
      </x:c>
      <x:c r="C328" t="str">
        <x:v>b</x:v>
      </x:c>
      <x:c r="D328" t="str">
        <x:v>g81ed57bf-565f-4aa9-a880-2d68e3c750d9</x:v>
      </x:c>
      <x:c r="E328" t="str">
        <x:v>g98f84fd8-6aa0-487c-8fa7-5835f27e27e4</x:v>
      </x:c>
      <x:c r="F328" t="str">
        <x:v>https://www.webonary.org/marubo/g98f84fd8-6aa0-487c-8fa7-5835f27e27e4/</x:v>
      </x:c>
      <x:c r="G328" s="20" t="n">
        <x:v>46003.934771342596</x:v>
      </x:c>
    </x:row>
    <x:row r="329">
      <x:c r="A329" t="str">
        <x:v>BPPcabelos na testa</x:v>
      </x:c>
      <x:c r="B329" t="str">
        <x:v>vetxovóshe</x:v>
      </x:c>
      <x:c r="C329" t="str">
        <x:v>b</x:v>
      </x:c>
      <x:c r="D329" t="str">
        <x:v>ga155a405-11fa-4ba8-bf14-ce9e4fd2ebf9</x:v>
      </x:c>
      <x:c r="E329" t="str">
        <x:v>gf51ae725-f36b-4b07-b6db-78f2cc8a305d</x:v>
      </x:c>
      <x:c r="F329" t="str">
        <x:v>https://www.webonary.org/marubo/gf51ae725-f36b-4b07-b6db-78f2cc8a305d/</x:v>
      </x:c>
      <x:c r="G329" s="20" t="n">
        <x:v>46003.934771342596</x:v>
      </x:c>
    </x:row>
    <x:row r="330">
      <x:c r="A330" t="str">
        <x:v>braço inferior</x:v>
      </x:c>
      <x:c r="B330" t="str">
        <x:v>metáshe</x:v>
      </x:c>
      <x:c r="C330" t="str">
        <x:v>b</x:v>
      </x:c>
      <x:c r="D330" t="str">
        <x:v>g6f4f0141-8f96-4601-8d1c-d3ccc2029cdb</x:v>
      </x:c>
      <x:c r="E330" t="str">
        <x:v>g6157d099-335d-44db-8485-65a4e6a8b018</x:v>
      </x:c>
      <x:c r="F330" t="str">
        <x:v>https://www.webonary.org/marubo/g6157d099-335d-44db-8485-65a4e6a8b018/</x:v>
      </x:c>
      <x:c r="G330" s="20" t="n">
        <x:v>46003.934771342596</x:v>
      </x:c>
    </x:row>
    <x:row r="331">
      <x:c r="A331" t="str">
        <x:v>braço superior</x:v>
      </x:c>
      <x:c r="B331" t="str">
        <x:v>põyã</x:v>
      </x:c>
      <x:c r="C331" t="str">
        <x:v>b</x:v>
      </x:c>
      <x:c r="D331" t="str">
        <x:v>gf600e682-5e89-4236-a5c4-5929212563ce</x:v>
      </x:c>
      <x:c r="E331" t="str">
        <x:v>g3c82e843-94f9-4d61-89b9-c4089f12ccf4</x:v>
      </x:c>
      <x:c r="F331" t="str">
        <x:v>https://www.webonary.org/marubo/g3c82e843-94f9-4d61-89b9-c4089f12ccf4/</x:v>
      </x:c>
      <x:c r="G331" s="20" t="n">
        <x:v>46003.934784537036</x:v>
      </x:c>
    </x:row>
    <x:row r="332">
      <x:c r="A332" t="str">
        <x:v>branco</x:v>
      </x:c>
      <x:c r="B332" t="str">
        <x:v>oshoka</x:v>
      </x:c>
      <x:c r="C332" t="str">
        <x:v>b</x:v>
      </x:c>
      <x:c r="D332" t="str">
        <x:v>gc27c8f00-f2b0-42ce-a7f7-2c631e4bde79</x:v>
      </x:c>
      <x:c r="E332" t="str">
        <x:v>g04abd1a1-ff4f-40a3-9d6a-f84c1a54c5e4</x:v>
      </x:c>
      <x:c r="F332" t="str">
        <x:v>https://www.webonary.org/marubo/g04abd1a1-ff4f-40a3-9d6a-f84c1a54c5e4/</x:v>
      </x:c>
      <x:c r="G332" s="20" t="n">
        <x:v>46003.934784537036</x:v>
      </x:c>
    </x:row>
    <x:row r="333">
      <x:c r="A333" t="str">
        <x:v>brando</x:v>
      </x:c>
      <x:c r="B333" t="str">
        <x:v>orãka</x:v>
      </x:c>
      <x:c r="C333" t="str">
        <x:v>b</x:v>
      </x:c>
      <x:c r="D333" t="str">
        <x:v>ga06130d0-f68b-44ee-ae1d-661f4fef0f05</x:v>
      </x:c>
      <x:c r="E333" t="str">
        <x:v>g2b774fcb-cee3-48e2-98ca-499f14c3c73b</x:v>
      </x:c>
      <x:c r="F333" t="str">
        <x:v>https://www.webonary.org/marubo/g2b774fcb-cee3-48e2-98ca-499f14c3c73b/</x:v>
      </x:c>
      <x:c r="G333" s="20" t="n">
        <x:v>46003.934784537036</x:v>
      </x:c>
    </x:row>
    <x:row r="334">
      <x:c r="A334" t="str">
        <x:v>brando</x:v>
      </x:c>
      <x:c r="B334" t="str">
        <x:v>1</x:v>
      </x:c>
      <x:c r="C334" t="str">
        <x:v>b</x:v>
      </x:c>
      <x:c r="D334" t="str">
        <x:v>ga06130d0-f68b-44ee-ae1d-661f4fef0f05</x:v>
      </x:c>
      <x:c r="E334" t="str">
        <x:v>g2b774fcb-cee3-48e2-98ca-499f14c3c73b</x:v>
      </x:c>
      <x:c r="F334" t="str">
        <x:v>https://www.webonary.org/marubo/g2b774fcb-cee3-48e2-98ca-499f14c3c73b/</x:v>
      </x:c>
      <x:c r="G334" s="20" t="n">
        <x:v>46003.934784537036</x:v>
      </x:c>
    </x:row>
    <x:row r="335">
      <x:c r="A335" t="str">
        <x:v>bravo</x:v>
      </x:c>
      <x:c r="B335" t="str">
        <x:v>onika</x:v>
      </x:c>
      <x:c r="C335" t="str">
        <x:v>b</x:v>
      </x:c>
      <x:c r="D335" t="str">
        <x:v>g9f654b21-9cae-4c26-a4d2-7eb2bbaba559</x:v>
      </x:c>
      <x:c r="E335" t="str">
        <x:v>g83d1415b-b92b-49ad-bd74-986510bc1e50</x:v>
      </x:c>
      <x:c r="F335" t="str">
        <x:v>https://www.webonary.org/marubo/g83d1415b-b92b-49ad-bd74-986510bc1e50/</x:v>
      </x:c>
      <x:c r="G335" s="20" t="n">
        <x:v>46003.934784537036</x:v>
      </x:c>
    </x:row>
    <x:row r="336">
      <x:c r="A336" t="str">
        <x:v>break</x:v>
      </x:c>
      <x:c r="B336" t="str">
        <x:v>toshá</x:v>
      </x:c>
      <x:c r="C336" t="str">
        <x:v>b</x:v>
      </x:c>
      <x:c r="D336" t="str">
        <x:v>gf97d2248-6f22-4af5-b6f5-80552a306eab</x:v>
      </x:c>
      <x:c r="E336" t="str">
        <x:v>gd3d72083-6dd5-4ca0-a9e0-ab7c3b2b9074</x:v>
      </x:c>
      <x:c r="F336" t="str">
        <x:v>https://www.webonary.org/marubo/gd3d72083-6dd5-4ca0-a9e0-ab7c3b2b9074/</x:v>
      </x:c>
      <x:c r="G336" s="20" t="n">
        <x:v>46003.934784537036</x:v>
      </x:c>
    </x:row>
    <x:row r="337">
      <x:c r="A337" t="str">
        <x:v>breu</x:v>
      </x:c>
      <x:c r="B337" t="str">
        <x:v>amo</x:v>
      </x:c>
      <x:c r="C337" t="str">
        <x:v>b</x:v>
      </x:c>
      <x:c r="D337" t="str">
        <x:v>g84b21963-9448-4932-8842-b579a999688f</x:v>
      </x:c>
      <x:c r="E337" t="str">
        <x:v>ge2ba588b-fff1-4c55-bad6-15826dbb82fb</x:v>
      </x:c>
      <x:c r="F337" t="str">
        <x:v>https://www.webonary.org/marubo/ge2ba588b-fff1-4c55-bad6-15826dbb82fb/</x:v>
      </x:c>
      <x:c r="G337" s="20" t="n">
        <x:v>46003.934784537036</x:v>
      </x:c>
    </x:row>
    <x:row r="338">
      <x:c r="A338" t="str">
        <x:v>brigar verbalmente</x:v>
      </x:c>
      <x:c r="B338" t="str">
        <x:v>vatxĩ ikí</x:v>
      </x:c>
      <x:c r="C338" t="str">
        <x:v>b</x:v>
      </x:c>
      <x:c r="D338" t="str">
        <x:v>g76e9999c-023f-489a-b673-93fec415f82c</x:v>
      </x:c>
      <x:c r="E338" t="str">
        <x:v>g192aa8d9-a149-4d01-8d57-7030c7c42a87</x:v>
      </x:c>
      <x:c r="F338" t="str">
        <x:v>https://www.webonary.org/marubo/g192aa8d9-a149-4d01-8d57-7030c7c42a87/</x:v>
      </x:c>
      <x:c r="G338" s="20" t="n">
        <x:v>46003.934784537036</x:v>
      </x:c>
    </x:row>
    <x:row r="339">
      <x:c r="A339" t="str">
        <x:v>brigar verbalmente</x:v>
      </x:c>
      <x:c r="B339" t="str">
        <x:v>vatxĩa</x:v>
      </x:c>
      <x:c r="C339" t="str">
        <x:v>b</x:v>
      </x:c>
      <x:c r="D339" t="str">
        <x:v>g76e9999c-023f-489a-b673-93fec415f82c</x:v>
      </x:c>
      <x:c r="E339" t="str">
        <x:v>g99de928e-d5b8-4af1-b104-f56b7037a135</x:v>
      </x:c>
      <x:c r="F339" t="str">
        <x:v>https://www.webonary.org/marubo/g99de928e-d5b8-4af1-b104-f56b7037a135/</x:v>
      </x:c>
      <x:c r="G339" s="20" t="n">
        <x:v>46003.934784537036</x:v>
      </x:c>
    </x:row>
    <x:row r="340">
      <x:c r="A340" t="str">
        <x:v>brilhante</x:v>
      </x:c>
      <x:c r="B340" t="str">
        <x:v>veichaka</x:v>
      </x:c>
      <x:c r="C340" t="str">
        <x:v>b</x:v>
      </x:c>
      <x:c r="D340" t="str">
        <x:v>gbe0b16f6-408f-41a5-9665-059d80cbb7ba</x:v>
      </x:c>
      <x:c r="E340" t="str">
        <x:v>gd5bb0cc1-384c-430d-bbef-4f587cb185b9</x:v>
      </x:c>
      <x:c r="F340" t="str">
        <x:v>https://www.webonary.org/marubo/gd5bb0cc1-384c-430d-bbef-4f587cb185b9/</x:v>
      </x:c>
      <x:c r="G340" s="20" t="n">
        <x:v>46003.934784537036</x:v>
      </x:c>
    </x:row>
    <x:row r="341">
      <x:c r="A341" t="str">
        <x:v>brilhante</x:v>
      </x:c>
      <x:c r="B341" t="str">
        <x:v>verika</x:v>
      </x:c>
      <x:c r="C341" t="str">
        <x:v>b</x:v>
      </x:c>
      <x:c r="D341" t="str">
        <x:v>gbe0b16f6-408f-41a5-9665-059d80cbb7ba</x:v>
      </x:c>
      <x:c r="E341" t="str">
        <x:v>gd1ee4bd3-3017-4061-8c7b-d69be0ec6285</x:v>
      </x:c>
      <x:c r="F341" t="str">
        <x:v>https://www.webonary.org/marubo/gd1ee4bd3-3017-4061-8c7b-d69be0ec6285/</x:v>
      </x:c>
      <x:c r="G341" s="20" t="n">
        <x:v>46003.934784537036</x:v>
      </x:c>
    </x:row>
    <x:row r="342">
      <x:c r="A342" t="str">
        <x:v>brilhante</x:v>
      </x:c>
      <x:c r="B342" t="str">
        <x:v>naoka</x:v>
      </x:c>
      <x:c r="C342" t="str">
        <x:v>b</x:v>
      </x:c>
      <x:c r="D342" t="str">
        <x:v>gbe0b16f6-408f-41a5-9665-059d80cbb7ba</x:v>
      </x:c>
      <x:c r="E342" t="str">
        <x:v>g09c5f117-b627-4423-9e20-ec61323f8dc2</x:v>
      </x:c>
      <x:c r="F342" t="str">
        <x:v>https://www.webonary.org/marubo/g09c5f117-b627-4423-9e20-ec61323f8dc2/</x:v>
      </x:c>
      <x:c r="G342" s="20" t="n">
        <x:v>46003.934784537036</x:v>
      </x:c>
    </x:row>
    <x:row r="343">
      <x:c r="A343" t="str">
        <x:v>brilhar</x:v>
      </x:c>
      <x:c r="B343" t="str">
        <x:v>saná</x:v>
      </x:c>
      <x:c r="C343" t="str">
        <x:v>b</x:v>
      </x:c>
      <x:c r="D343" t="str">
        <x:v>g236fa711-6f03-4fa0-8c98-fcb926f5f2f9</x:v>
      </x:c>
      <x:c r="E343" t="str">
        <x:v>g3ecf2ed6-4094-496b-9665-e21f25659dd6</x:v>
      </x:c>
      <x:c r="F343" t="str">
        <x:v>https://www.webonary.org/marubo/g3ecf2ed6-4094-496b-9665-e21f25659dd6/</x:v>
      </x:c>
      <x:c r="G343" s="20" t="n">
        <x:v>46003.934784537036</x:v>
      </x:c>
    </x:row>
    <x:row r="344">
      <x:c r="A344" t="str">
        <x:v>brincar</x:v>
      </x:c>
      <x:c r="B344" t="str">
        <x:v>wesia</x:v>
      </x:c>
      <x:c r="C344" t="str">
        <x:v>b</x:v>
      </x:c>
      <x:c r="D344" t="str">
        <x:v>g16a8461a-0931-465a-88dc-6844d567ada5</x:v>
      </x:c>
      <x:c r="E344" t="str">
        <x:v>ge7efc91e-cfd1-475b-81e6-c919068f5da8</x:v>
      </x:c>
      <x:c r="F344" t="str">
        <x:v>https://www.webonary.org/marubo/ge7efc91e-cfd1-475b-81e6-c919068f5da8/</x:v>
      </x:c>
      <x:c r="G344" s="20" t="n">
        <x:v>46003.934784537036</x:v>
      </x:c>
    </x:row>
    <x:row r="345">
      <x:c r="A345" t="str">
        <x:v>brincar</x:v>
      </x:c>
      <x:c r="B345" t="str">
        <x:v>parãni ikí</x:v>
      </x:c>
      <x:c r="C345" t="str">
        <x:v>b</x:v>
      </x:c>
      <x:c r="D345" t="str">
        <x:v>g16a8461a-0931-465a-88dc-6844d567ada5</x:v>
      </x:c>
      <x:c r="E345" t="str">
        <x:v>gdc0c6d29-0904-4483-b87f-b02e5ff7d0ea</x:v>
      </x:c>
      <x:c r="F345" t="str">
        <x:v>https://www.webonary.org/marubo/gdc0c6d29-0904-4483-b87f-b02e5ff7d0ea/</x:v>
      </x:c>
      <x:c r="G345" s="20" t="n">
        <x:v>46003.934784537036</x:v>
      </x:c>
    </x:row>
    <x:row r="346">
      <x:c r="A346" t="str">
        <x:v>brinco</x:v>
      </x:c>
      <x:c r="B346" t="str">
        <x:v>pãtxo osõti</x:v>
      </x:c>
      <x:c r="C346" t="str">
        <x:v>b</x:v>
      </x:c>
      <x:c r="D346" t="str">
        <x:v>g87cc4052-02b9-4d32-82d3-ea1f23996bc5</x:v>
      </x:c>
      <x:c r="E346" t="str">
        <x:v>gc6fa31ec-6c0c-4944-a1ea-515ba8c6165e</x:v>
      </x:c>
      <x:c r="F346" t="str">
        <x:v>https://www.webonary.org/marubo/gc6fa31ec-6c0c-4944-a1ea-515ba8c6165e/</x:v>
      </x:c>
      <x:c r="G346" s="20" t="n">
        <x:v>46003.934784537036</x:v>
      </x:c>
    </x:row>
    <x:row r="347">
      <x:c r="A347" t="str">
        <x:v>brinquedo</x:v>
      </x:c>
      <x:c r="B347" t="str">
        <x:v>parãti</x:v>
      </x:c>
      <x:c r="C347" t="str">
        <x:v>b</x:v>
      </x:c>
      <x:c r="D347" t="str">
        <x:v>g9df6a499-1bf2-4849-8be6-69f658a86e1b</x:v>
      </x:c>
      <x:c r="E347" t="str">
        <x:v>g0c10a08e-f669-4d14-9dc9-5be656a54f77</x:v>
      </x:c>
      <x:c r="F347" t="str">
        <x:v>https://www.webonary.org/marubo/g0c10a08e-f669-4d14-9dc9-5be656a54f77/</x:v>
      </x:c>
      <x:c r="G347" s="20" t="n">
        <x:v>46003.934784537036</x:v>
      </x:c>
    </x:row>
    <x:row r="348">
      <x:c r="A348" t="str">
        <x:v>brinquedo feito de babaçu</x:v>
      </x:c>
      <x:c r="B348" t="str">
        <x:v>chõko</x:v>
      </x:c>
      <x:c r="C348" t="str">
        <x:v>b</x:v>
      </x:c>
      <x:c r="D348" t="str">
        <x:v>g4d7031a9-dabf-4249-a5f2-b4c49c21c7a2</x:v>
      </x:c>
      <x:c r="E348" t="str">
        <x:v>g55e999cc-f97e-4391-bdbe-b4229dbdda40</x:v>
      </x:c>
      <x:c r="F348" t="str">
        <x:v>https://www.webonary.org/marubo/g55e999cc-f97e-4391-bdbe-b4229dbdda40/</x:v>
      </x:c>
      <x:c r="G348" s="20" t="n">
        <x:v>46003.934784537036</x:v>
      </x:c>
    </x:row>
    <x:row r="349">
      <x:c r="A349" t="str">
        <x:v>brotar</x:v>
      </x:c>
      <x:c r="B349" t="str">
        <x:v>toásh ikí</x:v>
      </x:c>
      <x:c r="C349" t="str">
        <x:v>b</x:v>
      </x:c>
      <x:c r="D349" t="str">
        <x:v>gbba3bc5b-8a2b-4599-835d-44b28aa77c41</x:v>
      </x:c>
      <x:c r="E349" t="str">
        <x:v>g6d2529b6-a362-43f6-8f8b-2b685c102c65</x:v>
      </x:c>
      <x:c r="F349" t="str">
        <x:v>https://www.webonary.org/marubo/g6d2529b6-a362-43f6-8f8b-2b685c102c65/</x:v>
      </x:c>
      <x:c r="G349" s="20" t="n">
        <x:v>46003.934784537036</x:v>
      </x:c>
    </x:row>
    <x:row r="350">
      <x:c r="A350" t="str">
        <x:v>broto</x:v>
      </x:c>
      <x:c r="B350" t="str">
        <x:v>koa</x:v>
      </x:c>
      <x:c r="C350" t="str">
        <x:v>b</x:v>
      </x:c>
      <x:c r="D350" t="str">
        <x:v>gdd34c562-c9d6-4d2d-8d08-d4ecbb5b3481</x:v>
      </x:c>
      <x:c r="E350" t="str">
        <x:v>g0ee9116e-4724-412e-a217-8dd5d23a40a4</x:v>
      </x:c>
      <x:c r="F350" t="str">
        <x:v>https://www.webonary.org/marubo/g0ee9116e-4724-412e-a217-8dd5d23a40a4/</x:v>
      </x:c>
      <x:c r="G350" s="20" t="n">
        <x:v>46003.934784537036</x:v>
      </x:c>
    </x:row>
    <x:row r="351">
      <x:c r="A351" t="str">
        <x:v>bruto</x:v>
      </x:c>
      <x:c r="B351" t="str">
        <x:v>txiika</x:v>
      </x:c>
      <x:c r="C351" t="str">
        <x:v>b</x:v>
      </x:c>
      <x:c r="D351" t="str">
        <x:v>gc20401f3-4a4a-4bde-9308-99d2f5f46a08</x:v>
      </x:c>
      <x:c r="E351" t="str">
        <x:v>g50f63f79-e6b8-46ed-b956-02f72261529e</x:v>
      </x:c>
      <x:c r="F351" t="str">
        <x:v>https://www.webonary.org/marubo/g50f63f79-e6b8-46ed-b956-02f72261529e/</x:v>
      </x:c>
      <x:c r="G351" s="20" t="n">
        <x:v>46003.934784537036</x:v>
      </x:c>
    </x:row>
    <x:row r="352">
      <x:c r="A352" t="str">
        <x:v>buraco</x:v>
      </x:c>
      <x:c r="B352" t="str">
        <x:v>shãto</x:v>
      </x:c>
      <x:c r="C352" t="str">
        <x:v>b</x:v>
      </x:c>
      <x:c r="D352" t="str">
        <x:v>g572aee17-6777-43ce-9266-1d9be5b133ee</x:v>
      </x:c>
      <x:c r="E352" t="str">
        <x:v>gb34f4249-fc55-41e5-b2eb-d2440a28f1fe</x:v>
      </x:c>
      <x:c r="F352" t="str">
        <x:v>https://www.webonary.org/marubo/gb34f4249-fc55-41e5-b2eb-d2440a28f1fe/</x:v>
      </x:c>
      <x:c r="G352" s="20" t="n">
        <x:v>46003.934784537036</x:v>
      </x:c>
    </x:row>
    <x:row r="353">
      <x:c r="A353" t="str">
        <x:v>buraco</x:v>
      </x:c>
      <x:c r="B353" t="str">
        <x:v>kini</x:v>
      </x:c>
      <x:c r="C353" t="str">
        <x:v>b</x:v>
      </x:c>
      <x:c r="D353" t="str">
        <x:v>g572aee17-6777-43ce-9266-1d9be5b133ee</x:v>
      </x:c>
      <x:c r="E353" t="str">
        <x:v>g6a0f1aed-55fe-466d-bf67-3e643582bbc9</x:v>
      </x:c>
      <x:c r="F353" t="str">
        <x:v>https://www.webonary.org/marubo/g6a0f1aed-55fe-466d-bf67-3e643582bbc9/</x:v>
      </x:c>
      <x:c r="G353" s="20" t="n">
        <x:v>46003.934784537036</x:v>
      </x:c>
    </x:row>
    <x:row r="354">
      <x:c r="A354" t="str">
        <x:v>buraco</x:v>
      </x:c>
      <x:c r="B354" t="str">
        <x:v>oro</x:v>
      </x:c>
      <x:c r="C354" t="str">
        <x:v>b</x:v>
      </x:c>
      <x:c r="D354" t="str">
        <x:v>g572aee17-6777-43ce-9266-1d9be5b133ee</x:v>
      </x:c>
      <x:c r="E354" t="str">
        <x:v>gf8c0501f-0c40-450b-916c-154170e81ff1</x:v>
      </x:c>
      <x:c r="F354" t="str">
        <x:v>https://www.webonary.org/marubo/gf8c0501f-0c40-450b-916c-154170e81ff1/</x:v>
      </x:c>
      <x:c r="G354" s="20" t="n">
        <x:v>46003.934784537036</x:v>
      </x:c>
    </x:row>
    <x:row r="355">
      <x:c r="A355" t="str">
        <x:v>buraco</x:v>
      </x:c>
      <x:c r="B355" t="str">
        <x:v>1</x:v>
      </x:c>
      <x:c r="C355" t="str">
        <x:v>b</x:v>
      </x:c>
      <x:c r="D355" t="str">
        <x:v>g572aee17-6777-43ce-9266-1d9be5b133ee</x:v>
      </x:c>
      <x:c r="E355" t="str">
        <x:v>gf8c0501f-0c40-450b-916c-154170e81ff1</x:v>
      </x:c>
      <x:c r="F355" t="str">
        <x:v>https://www.webonary.org/marubo/gf8c0501f-0c40-450b-916c-154170e81ff1/</x:v>
      </x:c>
      <x:c r="G355" s="20" t="n">
        <x:v>46003.934784537036</x:v>
      </x:c>
    </x:row>
    <x:row r="356">
      <x:c r="A356" t="str">
        <x:v>buriti</x:v>
      </x:c>
      <x:c r="B356" t="str">
        <x:v>vinõ</x:v>
      </x:c>
      <x:c r="C356" t="str">
        <x:v>b</x:v>
      </x:c>
      <x:c r="D356" t="str">
        <x:v>g90ae7589-33fc-4b8f-a8b3-de1ceb852ebc</x:v>
      </x:c>
      <x:c r="E356" t="str">
        <x:v>g5fe4e3be-3888-43e5-b86a-458e249d8e09</x:v>
      </x:c>
      <x:c r="F356" t="str">
        <x:v>https://www.webonary.org/marubo/g5fe4e3be-3888-43e5-b86a-458e249d8e09/</x:v>
      </x:c>
      <x:c r="G356" s="20" t="n">
        <x:v>46003.934784537036</x:v>
      </x:c>
    </x:row>
    <x:row r="357">
      <x:c r="A357" t="str">
        <x:v>buriti que cai</x:v>
      </x:c>
      <x:c r="B357" t="str">
        <x:v>niri ikí</x:v>
      </x:c>
      <x:c r="C357" t="str">
        <x:v>b</x:v>
      </x:c>
      <x:c r="D357" t="str">
        <x:v>g87c1a2dd-959b-43c0-893b-a36eccda1c71</x:v>
      </x:c>
      <x:c r="E357" t="str">
        <x:v>g4e103dfb-1c74-4c84-b10d-e6c8dc3561be</x:v>
      </x:c>
      <x:c r="F357" t="str">
        <x:v>https://www.webonary.org/marubo/g4e103dfb-1c74-4c84-b10d-e6c8dc3561be/</x:v>
      </x:c>
      <x:c r="G357" s="20" t="n">
        <x:v>46003.934784537036</x:v>
      </x:c>
    </x:row>
    <x:row r="358">
      <x:c r="A358" t="str">
        <x:v>caba marimbondo</x:v>
      </x:c>
      <x:c r="B358" t="str">
        <x:v>vina</x:v>
      </x:c>
      <x:c r="C358" t="str">
        <x:v>c</x:v>
      </x:c>
      <x:c r="D358" t="str">
        <x:v>g0c25c233-b843-422e-992f-84db48691570</x:v>
      </x:c>
      <x:c r="E358" t="str">
        <x:v>g504edeee-f1a9-42cc-8d6a-273569878b6e</x:v>
      </x:c>
      <x:c r="F358" t="str">
        <x:v>https://www.webonary.org/marubo/g504edeee-f1a9-42cc-8d6a-273569878b6e/</x:v>
      </x:c>
      <x:c r="G358" s="20" t="n">
        <x:v>46003.934784537036</x:v>
      </x:c>
    </x:row>
    <x:row r="359">
      <x:c r="A359" t="str">
        <x:v>cabaça</x:v>
      </x:c>
      <x:c r="B359" t="str">
        <x:v>txoma</x:v>
      </x:c>
      <x:c r="C359" t="str">
        <x:v>c</x:v>
      </x:c>
      <x:c r="D359" t="str">
        <x:v>g79919254-e8dc-4cd5-95cb-7316c8b719ca</x:v>
      </x:c>
      <x:c r="E359" t="str">
        <x:v>g43774c0c-2e93-4bca-b693-c9e359a6ec12</x:v>
      </x:c>
      <x:c r="F359" t="str">
        <x:v>https://www.webonary.org/marubo/g43774c0c-2e93-4bca-b693-c9e359a6ec12/</x:v>
      </x:c>
      <x:c r="G359" s="20" t="n">
        <x:v>46003.934784537036</x:v>
      </x:c>
    </x:row>
    <x:row r="360">
      <x:c r="A360" t="str">
        <x:v>cabeça</x:v>
      </x:c>
      <x:c r="B360" t="str">
        <x:v>mapo</x:v>
      </x:c>
      <x:c r="C360" t="str">
        <x:v>c</x:v>
      </x:c>
      <x:c r="D360" t="str">
        <x:v>g439470b9-ba71-4c72-be8e-8c26b15d10fe</x:v>
      </x:c>
      <x:c r="E360" t="str">
        <x:v>gcbcd8a33-9ad7-46db-aa1b-5522ce2a3331</x:v>
      </x:c>
      <x:c r="F360" t="str">
        <x:v>https://www.webonary.org/marubo/gcbcd8a33-9ad7-46db-aa1b-5522ce2a3331/</x:v>
      </x:c>
      <x:c r="G360" s="20" t="n">
        <x:v>46003.934784537036</x:v>
      </x:c>
    </x:row>
    <x:row r="361">
      <x:c r="A361" t="str">
        <x:v>cabeça fedida</x:v>
      </x:c>
      <x:c r="B361" t="str">
        <x:v>võpíska</x:v>
      </x:c>
      <x:c r="C361" t="str">
        <x:v>c</x:v>
      </x:c>
      <x:c r="D361" t="str">
        <x:v>g46fc118d-33ea-4dfa-bebe-6952ccb972de</x:v>
      </x:c>
      <x:c r="E361" t="str">
        <x:v>g5590fb85-7e32-4e07-bcb1-e1b57920ffe2</x:v>
      </x:c>
      <x:c r="F361" t="str">
        <x:v>https://www.webonary.org/marubo/g5590fb85-7e32-4e07-bcb1-e1b57920ffe2/</x:v>
      </x:c>
      <x:c r="G361" s="20" t="n">
        <x:v>46003.934784537036</x:v>
      </x:c>
    </x:row>
    <x:row r="362">
      <x:c r="A362" t="str">
        <x:v>cabeceira</x:v>
      </x:c>
      <x:c r="B362" t="str">
        <x:v>vosoa</x:v>
      </x:c>
      <x:c r="C362" t="str">
        <x:v>c</x:v>
      </x:c>
      <x:c r="D362" t="str">
        <x:v>g77372fa9-e181-4714-957b-1310919e8b57</x:v>
      </x:c>
      <x:c r="E362" t="str">
        <x:v>g769fead6-7466-46b0-9cf7-c757638f1b95</x:v>
      </x:c>
      <x:c r="F362" t="str">
        <x:v>https://www.webonary.org/marubo/g769fead6-7466-46b0-9cf7-c757638f1b95/</x:v>
      </x:c>
      <x:c r="G362" s="20" t="n">
        <x:v>46003.934784537036</x:v>
      </x:c>
    </x:row>
    <x:row r="363">
      <x:c r="A363" t="str">
        <x:v>cabelo</x:v>
      </x:c>
      <x:c r="B363" t="str">
        <x:v>voo</x:v>
      </x:c>
      <x:c r="C363" t="str">
        <x:v>c</x:v>
      </x:c>
      <x:c r="D363" t="str">
        <x:v>g3aabaf93-07f3-4e14-998a-144feab1cae9</x:v>
      </x:c>
      <x:c r="E363" t="str">
        <x:v>g24d71f5d-8cc9-4fe7-919e-63dff84f31c2</x:v>
      </x:c>
      <x:c r="F363" t="str">
        <x:v>https://www.webonary.org/marubo/g24d71f5d-8cc9-4fe7-919e-63dff84f31c2/</x:v>
      </x:c>
      <x:c r="G363" s="20" t="n">
        <x:v>46003.934784537036</x:v>
      </x:c>
    </x:row>
    <x:row r="364">
      <x:c r="A364" t="str">
        <x:v>caber</x:v>
      </x:c>
      <x:c r="B364" t="str">
        <x:v>anõa</x:v>
      </x:c>
      <x:c r="C364" t="str">
        <x:v>c</x:v>
      </x:c>
      <x:c r="D364" t="str">
        <x:v>g18ee640d-21ea-422b-88ea-0b134b9d4611</x:v>
      </x:c>
      <x:c r="E364" t="str">
        <x:v>gb9469958-c5cd-4506-9342-41be1c1b2567</x:v>
      </x:c>
      <x:c r="F364" t="str">
        <x:v>https://www.webonary.org/marubo/gb9469958-c5cd-4506-9342-41be1c1b2567/</x:v>
      </x:c>
      <x:c r="G364" s="20" t="n">
        <x:v>46003.934784537036</x:v>
      </x:c>
    </x:row>
    <x:row r="365">
      <x:c r="A365" t="str">
        <x:v>caber</x:v>
      </x:c>
      <x:c r="B365" t="str">
        <x:v>1</x:v>
      </x:c>
      <x:c r="C365" t="str">
        <x:v>c</x:v>
      </x:c>
      <x:c r="D365" t="str">
        <x:v>g18ee640d-21ea-422b-88ea-0b134b9d4611</x:v>
      </x:c>
      <x:c r="E365" t="str">
        <x:v>gb9469958-c5cd-4506-9342-41be1c1b2567</x:v>
      </x:c>
      <x:c r="F365" t="str">
        <x:v>https://www.webonary.org/marubo/gb9469958-c5cd-4506-9342-41be1c1b2567/</x:v>
      </x:c>
      <x:c r="G365" s="20" t="n">
        <x:v>46003.934784537036</x:v>
      </x:c>
    </x:row>
    <x:row r="366">
      <x:c r="A366" t="str">
        <x:v>caçar</x:v>
      </x:c>
      <x:c r="B366" t="str">
        <x:v>nii kaa</x:v>
      </x:c>
      <x:c r="C366" t="str">
        <x:v>c</x:v>
      </x:c>
      <x:c r="D366" t="str">
        <x:v>gc9d97a42-8b7e-4499-a781-d73822ef9be9</x:v>
      </x:c>
      <x:c r="E366" t="str">
        <x:v>gf9dcaeee-306e-456f-8f19-01dd211c7709</x:v>
      </x:c>
      <x:c r="F366" t="str">
        <x:v>https://www.webonary.org/marubo/gf9dcaeee-306e-456f-8f19-01dd211c7709/</x:v>
      </x:c>
      <x:c r="G366" s="20" t="n">
        <x:v>46003.934784537036</x:v>
      </x:c>
    </x:row>
    <x:row r="367">
      <x:c r="A367" t="str">
        <x:v>cachoeira</x:v>
      </x:c>
      <x:c r="B367" t="str">
        <x:v>põpo ikí</x:v>
      </x:c>
      <x:c r="C367" t="str">
        <x:v>c</x:v>
      </x:c>
      <x:c r="D367" t="str">
        <x:v>gfd551c94-e451-4c97-93cc-81493715366d</x:v>
      </x:c>
      <x:c r="E367" t="str">
        <x:v>g2a96a6d9-4b81-4a3d-9ce2-20c3078f3589</x:v>
      </x:c>
      <x:c r="F367" t="str">
        <x:v>https://www.webonary.org/marubo/g2a96a6d9-4b81-4a3d-9ce2-20c3078f3589/</x:v>
      </x:c>
      <x:c r="G367" s="20" t="n">
        <x:v>46003.934784537036</x:v>
      </x:c>
    </x:row>
    <x:row r="368">
      <x:c r="A368" t="str">
        <x:v>cachorro</x:v>
      </x:c>
      <x:c r="B368" t="str">
        <x:v>wapa</x:v>
      </x:c>
      <x:c r="C368" t="str">
        <x:v>c</x:v>
      </x:c>
      <x:c r="D368" t="str">
        <x:v>ga40ad341-48d4-4e59-aae8-fbeeecfd8267</x:v>
      </x:c>
      <x:c r="E368" t="str">
        <x:v>gd9ba0316-eb6d-4b9c-8f54-d4ae455d83f5</x:v>
      </x:c>
      <x:c r="F368" t="str">
        <x:v>https://www.webonary.org/marubo/gd9ba0316-eb6d-4b9c-8f54-d4ae455d83f5/</x:v>
      </x:c>
      <x:c r="G368" s="20" t="n">
        <x:v>46003.934784537036</x:v>
      </x:c>
    </x:row>
    <x:row r="369">
      <x:c r="A369" t="str">
        <x:v>cachorro</x:v>
      </x:c>
      <x:c r="B369" t="str">
        <x:v>1</x:v>
      </x:c>
      <x:c r="C369" t="str">
        <x:v>c</x:v>
      </x:c>
      <x:c r="D369" t="str">
        <x:v>ga40ad341-48d4-4e59-aae8-fbeeecfd8267</x:v>
      </x:c>
      <x:c r="E369" t="str">
        <x:v>gd9ba0316-eb6d-4b9c-8f54-d4ae455d83f5</x:v>
      </x:c>
      <x:c r="F369" t="str">
        <x:v>https://www.webonary.org/marubo/gd9ba0316-eb6d-4b9c-8f54-d4ae455d83f5/</x:v>
      </x:c>
      <x:c r="G369" s="20" t="n">
        <x:v>46003.934784537036</x:v>
      </x:c>
    </x:row>
    <x:row r="370">
      <x:c r="A370" t="str">
        <x:v>cacique</x:v>
      </x:c>
      <x:c r="B370" t="str">
        <x:v>kakáya</x:v>
      </x:c>
      <x:c r="C370" t="str">
        <x:v>c</x:v>
      </x:c>
      <x:c r="D370" t="str">
        <x:v>g96669844-720a-4cfb-bf8b-8738067eb159</x:v>
      </x:c>
      <x:c r="E370" t="str">
        <x:v>g6d224a23-a109-465d-aa7e-4a85b88b0d81</x:v>
      </x:c>
      <x:c r="F370" t="str">
        <x:v>https://www.webonary.org/marubo/g6d224a23-a109-465d-aa7e-4a85b88b0d81/</x:v>
      </x:c>
      <x:c r="G370" s="20" t="n">
        <x:v>46003.934784537036</x:v>
      </x:c>
    </x:row>
    <x:row r="371">
      <x:c r="A371" t="str">
        <x:v>cadeira</x:v>
      </x:c>
      <x:c r="B371" t="str">
        <x:v>tsaoti</x:v>
      </x:c>
      <x:c r="C371" t="str">
        <x:v>c</x:v>
      </x:c>
      <x:c r="D371" t="str">
        <x:v>ga11a812b-a390-46d9-973e-214c523faf97</x:v>
      </x:c>
      <x:c r="E371" t="str">
        <x:v>g7f931cf3-7dc1-4f82-9349-55a3ca663905</x:v>
      </x:c>
      <x:c r="F371" t="str">
        <x:v>https://www.webonary.org/marubo/g7f931cf3-7dc1-4f82-9349-55a3ca663905/</x:v>
      </x:c>
      <x:c r="G371" s="20" t="n">
        <x:v>46003.934784537036</x:v>
      </x:c>
    </x:row>
    <x:row r="372">
      <x:c r="A372" t="str">
        <x:v>caibro</x:v>
      </x:c>
      <x:c r="B372" t="str">
        <x:v>kano</x:v>
      </x:c>
      <x:c r="C372" t="str">
        <x:v>c</x:v>
      </x:c>
      <x:c r="D372" t="str">
        <x:v>g98dcbd93-2c0c-4729-805a-9bdfa39a5771</x:v>
      </x:c>
      <x:c r="E372" t="str">
        <x:v>gc5b90ae3-613b-4408-bdbc-a2dd791a6cc4</x:v>
      </x:c>
      <x:c r="F372" t="str">
        <x:v>https://www.webonary.org/marubo/gc5b90ae3-613b-4408-bdbc-a2dd791a6cc4/</x:v>
      </x:c>
      <x:c r="G372" s="20" t="n">
        <x:v>46003.934784537036</x:v>
      </x:c>
    </x:row>
    <x:row r="373">
      <x:c r="A373" t="str">
        <x:v>caicuma de macaxeira</x:v>
      </x:c>
      <x:c r="B373" t="str">
        <x:v>atsa waka</x:v>
      </x:c>
      <x:c r="C373" t="str">
        <x:v>c</x:v>
      </x:c>
      <x:c r="D373" t="str">
        <x:v>g156501dc-2ea9-4a6a-a947-d52cd02ead9a</x:v>
      </x:c>
      <x:c r="E373" t="str">
        <x:v>g90533014-399e-46f1-8cb4-cbac27936bb7</x:v>
      </x:c>
      <x:c r="F373" t="str">
        <x:v>https://www.webonary.org/marubo/g90533014-399e-46f1-8cb4-cbac27936bb7/</x:v>
      </x:c>
      <x:c r="G373" s="20" t="n">
        <x:v>46003.934784537036</x:v>
      </x:c>
    </x:row>
    <x:row r="374">
      <x:c r="A374" t="str">
        <x:v>caimbra</x:v>
      </x:c>
      <x:c r="B374" t="str">
        <x:v>marĩ senoa</x:v>
      </x:c>
      <x:c r="C374" t="str">
        <x:v>c</x:v>
      </x:c>
      <x:c r="D374" t="str">
        <x:v>gb1629a81-9623-47c1-bf32-cfd8840a2423</x:v>
      </x:c>
      <x:c r="E374" t="str">
        <x:v>g2506473c-8eaa-4de7-9707-2c3c8c309b59</x:v>
      </x:c>
      <x:c r="F374" t="str">
        <x:v>https://www.webonary.org/marubo/g2506473c-8eaa-4de7-9707-2c3c8c309b59/</x:v>
      </x:c>
      <x:c r="G374" s="20" t="n">
        <x:v>46003.934784537036</x:v>
      </x:c>
    </x:row>
    <x:row r="375">
      <x:c r="A375" t="str">
        <x:v>cair</x:v>
      </x:c>
      <x:c r="B375" t="str">
        <x:v>vesír aká</x:v>
      </x:c>
      <x:c r="C375" t="str">
        <x:v>c</x:v>
      </x:c>
      <x:c r="D375" t="str">
        <x:v>gb7befbf3-546e-4f01-9ffb-60a738e39a89</x:v>
      </x:c>
      <x:c r="E375" t="str">
        <x:v>gb0cddb84-0224-47a1-9698-9d3857c2144b</x:v>
      </x:c>
      <x:c r="F375" t="str">
        <x:v>https://www.webonary.org/marubo/gb0cddb84-0224-47a1-9698-9d3857c2144b/</x:v>
      </x:c>
      <x:c r="G375" s="20" t="n">
        <x:v>46003.934784537036</x:v>
      </x:c>
    </x:row>
    <x:row r="376">
      <x:c r="A376" t="str">
        <x:v>cair</x:v>
      </x:c>
      <x:c r="B376" t="str">
        <x:v>pakéa</x:v>
      </x:c>
      <x:c r="C376" t="str">
        <x:v>c</x:v>
      </x:c>
      <x:c r="D376" t="str">
        <x:v>gb7befbf3-546e-4f01-9ffb-60a738e39a89</x:v>
      </x:c>
      <x:c r="E376" t="str">
        <x:v>g73cb0990-9385-4567-954b-dbc980d0103a</x:v>
      </x:c>
      <x:c r="F376" t="str">
        <x:v>https://www.webonary.org/marubo/g73cb0990-9385-4567-954b-dbc980d0103a/</x:v>
      </x:c>
      <x:c r="G376" s="20" t="n">
        <x:v>46003.934784537036</x:v>
      </x:c>
    </x:row>
    <x:row r="377">
      <x:c r="A377" t="str">
        <x:v>cair (pl)</x:v>
      </x:c>
      <x:c r="B377" t="str">
        <x:v>para ikí</x:v>
      </x:c>
      <x:c r="C377" t="str">
        <x:v>c</x:v>
      </x:c>
      <x:c r="D377" t="str">
        <x:v>gee435d82-2fa0-438c-a32c-f2e9041dd88d</x:v>
      </x:c>
      <x:c r="E377" t="str">
        <x:v>g459dd288-e705-4244-901b-614163d256dc</x:v>
      </x:c>
      <x:c r="F377" t="str">
        <x:v>https://www.webonary.org/marubo/g459dd288-e705-4244-901b-614163d256dc/</x:v>
      </x:c>
      <x:c r="G377" s="20" t="n">
        <x:v>46003.934784537036</x:v>
      </x:c>
    </x:row>
    <x:row r="378">
      <x:c r="A378" t="str">
        <x:v>cair árvore</x:v>
      </x:c>
      <x:c r="B378" t="str">
        <x:v>poshoa</x:v>
      </x:c>
      <x:c r="C378" t="str">
        <x:v>c</x:v>
      </x:c>
      <x:c r="D378" t="str">
        <x:v>g7916687a-6019-4935-b2c2-ef29c3d91c54</x:v>
      </x:c>
      <x:c r="E378" t="str">
        <x:v>g93922bf8-7262-47d0-bf2c-21294d1092bb</x:v>
      </x:c>
      <x:c r="F378" t="str">
        <x:v>https://www.webonary.org/marubo/g93922bf8-7262-47d0-bf2c-21294d1092bb/</x:v>
      </x:c>
      <x:c r="G378" s="20" t="n">
        <x:v>46003.934784537036</x:v>
      </x:c>
    </x:row>
    <x:row r="379">
      <x:c r="A379" t="str">
        <x:v>cair de escada</x:v>
      </x:c>
      <x:c r="B379" t="str">
        <x:v>repísk méa</x:v>
      </x:c>
      <x:c r="C379" t="str">
        <x:v>c</x:v>
      </x:c>
      <x:c r="D379" t="str">
        <x:v>gf7928e29-4cef-4841-b3bc-c522772d5d6a</x:v>
      </x:c>
      <x:c r="E379" t="str">
        <x:v>gd33c748e-552d-4517-95a2-26bf1939dc69</x:v>
      </x:c>
      <x:c r="F379" t="str">
        <x:v>https://www.webonary.org/marubo/gd33c748e-552d-4517-95a2-26bf1939dc69/</x:v>
      </x:c>
      <x:c r="G379" s="20" t="n">
        <x:v>46003.934784537036</x:v>
      </x:c>
    </x:row>
    <x:row r="380">
      <x:c r="A380" t="str">
        <x:v>cair de toco</x:v>
      </x:c>
      <x:c r="B380" t="str">
        <x:v>tapiskmea</x:v>
      </x:c>
      <x:c r="C380" t="str">
        <x:v>c</x:v>
      </x:c>
      <x:c r="D380" t="str">
        <x:v>g0c5a9e15-9867-4650-b7a7-7a829a7150e7</x:v>
      </x:c>
      <x:c r="E380" t="str">
        <x:v>g956bf75f-5249-4020-8f6f-34b711c977d7</x:v>
      </x:c>
      <x:c r="F380" t="str">
        <x:v>https://www.webonary.org/marubo/g956bf75f-5249-4020-8f6f-34b711c977d7/</x:v>
      </x:c>
      <x:c r="G380" s="20" t="n">
        <x:v>46003.934784537036</x:v>
      </x:c>
    </x:row>
    <x:row r="381">
      <x:c r="A381" t="str">
        <x:v>cair dentro</x:v>
      </x:c>
      <x:c r="B381" t="str">
        <x:v>natsek aká</x:v>
      </x:c>
      <x:c r="C381" t="str">
        <x:v>c</x:v>
      </x:c>
      <x:c r="D381" t="str">
        <x:v>gee57da11-0ff3-4c4a-b660-161f60d7fa04</x:v>
      </x:c>
      <x:c r="E381" t="str">
        <x:v>gc130a3fc-0ee7-4560-9f41-247159f3df7a</x:v>
      </x:c>
      <x:c r="F381" t="str">
        <x:v>https://www.webonary.org/marubo/gc130a3fc-0ee7-4560-9f41-247159f3df7a/</x:v>
      </x:c>
      <x:c r="G381" s="20" t="n">
        <x:v>46003.934784537036</x:v>
      </x:c>
    </x:row>
    <x:row r="382">
      <x:c r="A382" t="str">
        <x:v>cair lagrimas</x:v>
      </x:c>
      <x:c r="B382" t="str">
        <x:v>veõ ikí</x:v>
      </x:c>
      <x:c r="C382" t="str">
        <x:v>c</x:v>
      </x:c>
      <x:c r="D382" t="str">
        <x:v>gfb8b6e1c-9ced-47f4-aca1-8b7fb9e493ff</x:v>
      </x:c>
      <x:c r="E382" t="str">
        <x:v>gad31c994-bdc4-4c90-81a2-b49521e1785d</x:v>
      </x:c>
      <x:c r="F382" t="str">
        <x:v>https://www.webonary.org/marubo/gad31c994-bdc4-4c90-81a2-b49521e1785d/</x:v>
      </x:c>
      <x:c r="G382" s="20" t="n">
        <x:v>46003.934784537036</x:v>
      </x:c>
    </x:row>
    <x:row r="383">
      <x:c r="A383" t="str">
        <x:v>cair pela parte dianteira</x:v>
      </x:c>
      <x:c r="B383" t="str">
        <x:v>votxo ikí</x:v>
      </x:c>
      <x:c r="C383" t="str">
        <x:v>c</x:v>
      </x:c>
      <x:c r="D383" t="str">
        <x:v>g9d0833d6-b09c-480f-a853-5b087b1ad31e</x:v>
      </x:c>
      <x:c r="E383" t="str">
        <x:v>g34e44e4d-e197-45f0-80d4-03bdaa51ad47</x:v>
      </x:c>
      <x:c r="F383" t="str">
        <x:v>https://www.webonary.org/marubo/g34e44e4d-e197-45f0-80d4-03bdaa51ad47/</x:v>
      </x:c>
      <x:c r="G383" s="20" t="n">
        <x:v>46003.934784537036</x:v>
      </x:c>
    </x:row>
    <x:row r="384">
      <x:c r="A384" t="str">
        <x:v>caixa</x:v>
      </x:c>
      <x:c r="B384" t="str">
        <x:v>kavõ</x:v>
      </x:c>
      <x:c r="C384" t="str">
        <x:v>c</x:v>
      </x:c>
      <x:c r="D384" t="str">
        <x:v>gd8095a22-1be2-473c-8c2f-6d31cbadcd2a</x:v>
      </x:c>
      <x:c r="E384" t="str">
        <x:v>gd9c55ef1-e2c6-40d0-bdd3-cf9d2d5ad0b4</x:v>
      </x:c>
      <x:c r="F384" t="str">
        <x:v>https://www.webonary.org/marubo/gd9c55ef1-e2c6-40d0-bdd3-cf9d2d5ad0b4/</x:v>
      </x:c>
      <x:c r="G384" s="20" t="n">
        <x:v>46003.934784537036</x:v>
      </x:c>
    </x:row>
    <x:row r="385">
      <x:c r="A385" t="str">
        <x:v>cajado</x:v>
      </x:c>
      <x:c r="B385" t="str">
        <x:v>otéti</x:v>
      </x:c>
      <x:c r="C385" t="str">
        <x:v>c</x:v>
      </x:c>
      <x:c r="D385" t="str">
        <x:v>ge42df3ea-6b2e-47a0-8b03-db2fec82705c</x:v>
      </x:c>
      <x:c r="E385" t="str">
        <x:v>gc72ed119-2629-44e3-bb04-2ed4dbf16d73</x:v>
      </x:c>
      <x:c r="F385" t="str">
        <x:v>https://www.webonary.org/marubo/gc72ed119-2629-44e3-bb04-2ed4dbf16d73/</x:v>
      </x:c>
      <x:c r="G385" s="20" t="n">
        <x:v>46003.934784537036</x:v>
      </x:c>
    </x:row>
    <x:row r="386">
      <x:c r="A386" t="str">
        <x:v>caju (palavra emprestada)</x:v>
      </x:c>
      <x:c r="B386" t="str">
        <x:v>kachó</x:v>
      </x:c>
      <x:c r="C386" t="str">
        <x:v>c</x:v>
      </x:c>
      <x:c r="D386" t="str">
        <x:v>g00d437db-0557-46ff-a9d7-427c5475bc9b</x:v>
      </x:c>
      <x:c r="E386" t="str">
        <x:v>g6c845d95-b5b9-4379-85cf-125f9b0c9b75</x:v>
      </x:c>
      <x:c r="F386" t="str">
        <x:v>https://www.webonary.org/marubo/g6c845d95-b5b9-4379-85cf-125f9b0c9b75/</x:v>
      </x:c>
      <x:c r="G386" s="20" t="n">
        <x:v>46003.934784537036</x:v>
      </x:c>
    </x:row>
    <x:row r="387">
      <x:c r="A387" t="str">
        <x:v>calça jeans</x:v>
      </x:c>
      <x:c r="B387" t="str">
        <x:v>õpo keyaka</x:v>
      </x:c>
      <x:c r="C387" t="str">
        <x:v>c</x:v>
      </x:c>
      <x:c r="D387" t="str">
        <x:v>g21761372-15f3-4aaa-a4f7-e7adf68a74e8</x:v>
      </x:c>
      <x:c r="E387" t="str">
        <x:v>gd98061d0-6de6-4d39-8e35-a65c4cc35aa1</x:v>
      </x:c>
      <x:c r="F387" t="str">
        <x:v>https://www.webonary.org/marubo/gd98061d0-6de6-4d39-8e35-a65c4cc35aa1/</x:v>
      </x:c>
      <x:c r="G387" s="20" t="n">
        <x:v>46003.934784537036</x:v>
      </x:c>
    </x:row>
    <x:row r="388">
      <x:c r="A388" t="str">
        <x:v>calçados</x:v>
      </x:c>
      <x:c r="B388" t="str">
        <x:v>taríti</x:v>
      </x:c>
      <x:c r="C388" t="str">
        <x:v>c</x:v>
      </x:c>
      <x:c r="D388" t="str">
        <x:v>g15c11b53-3b3c-43cf-8b89-e1b270675cf2</x:v>
      </x:c>
      <x:c r="E388" t="str">
        <x:v>g7469664a-008d-4b16-9cdc-b5ed5e7ba363</x:v>
      </x:c>
      <x:c r="F388" t="str">
        <x:v>https://www.webonary.org/marubo/g7469664a-008d-4b16-9cdc-b5ed5e7ba363/</x:v>
      </x:c>
      <x:c r="G388" s="20" t="n">
        <x:v>46003.934784537036</x:v>
      </x:c>
    </x:row>
    <x:row r="389">
      <x:c r="A389" t="str">
        <x:v>calcanhar</x:v>
      </x:c>
      <x:c r="B389" t="str">
        <x:v>tae txĩto</x:v>
      </x:c>
      <x:c r="C389" t="str">
        <x:v>c</x:v>
      </x:c>
      <x:c r="D389" t="str">
        <x:v>g46da6b02-0460-4ceb-ad14-fe466a0c9d21</x:v>
      </x:c>
      <x:c r="E389" t="str">
        <x:v>gc7c03458-7aca-44f8-acff-2ae4eb0c4c3c</x:v>
      </x:c>
      <x:c r="F389" t="str">
        <x:v>https://www.webonary.org/marubo/gc7c03458-7aca-44f8-acff-2ae4eb0c4c3c/</x:v>
      </x:c>
      <x:c r="G389" s="20" t="n">
        <x:v>46003.934784537036</x:v>
      </x:c>
    </x:row>
    <x:row r="390">
      <x:c r="A390" t="str">
        <x:v>caldo</x:v>
      </x:c>
      <x:c r="B390" t="str">
        <x:v>pasa</x:v>
      </x:c>
      <x:c r="C390" t="str">
        <x:v>c</x:v>
      </x:c>
      <x:c r="D390" t="str">
        <x:v>g45d0d286-8ee3-4a25-8f8f-78105f2c7c2a</x:v>
      </x:c>
      <x:c r="E390" t="str">
        <x:v>gce0ab33d-1949-4f5f-80bb-9fb88b853c7c</x:v>
      </x:c>
      <x:c r="F390" t="str">
        <x:v>https://www.webonary.org/marubo/gce0ab33d-1949-4f5f-80bb-9fb88b853c7c/</x:v>
      </x:c>
      <x:c r="G390" s="20" t="n">
        <x:v>46003.934784537036</x:v>
      </x:c>
    </x:row>
    <x:row r="391">
      <x:c r="A391" t="str">
        <x:v>calor coporeal parecido com febre</x:v>
      </x:c>
      <x:c r="B391" t="str">
        <x:v>yõa</x:v>
      </x:c>
      <x:c r="C391" t="str">
        <x:v>c</x:v>
      </x:c>
      <x:c r="D391" t="str">
        <x:v>g0dc5d5c2-0c3b-4440-94f1-505ace4ca9d7</x:v>
      </x:c>
      <x:c r="E391" t="str">
        <x:v>g281bb972-e664-455b-ab95-261cce73639b</x:v>
      </x:c>
      <x:c r="F391" t="str">
        <x:v>https://www.webonary.org/marubo/g281bb972-e664-455b-ab95-261cce73639b/</x:v>
      </x:c>
      <x:c r="G391" s="20" t="n">
        <x:v>46003.934784537036</x:v>
      </x:c>
    </x:row>
    <x:row r="392">
      <x:c r="A392" t="str">
        <x:v>camelião</x:v>
      </x:c>
      <x:c r="B392" t="str">
        <x:v>yõpa</x:v>
      </x:c>
      <x:c r="C392" t="str">
        <x:v>c</x:v>
      </x:c>
      <x:c r="D392" t="str">
        <x:v>g24ba7adb-668d-45b3-a133-3cd62c940c3f</x:v>
      </x:c>
      <x:c r="E392" t="str">
        <x:v>gaabc011d-f7a8-4c35-823e-774040647fca</x:v>
      </x:c>
      <x:c r="F392" t="str">
        <x:v>https://www.webonary.org/marubo/gaabc011d-f7a8-4c35-823e-774040647fca/</x:v>
      </x:c>
      <x:c r="G392" s="20" t="n">
        <x:v>46003.93479238426</x:v>
      </x:c>
    </x:row>
    <x:row r="393">
      <x:c r="A393" t="str">
        <x:v>caminho</x:v>
      </x:c>
      <x:c r="B393" t="str">
        <x:v>vai</x:v>
      </x:c>
      <x:c r="C393" t="str">
        <x:v>c</x:v>
      </x:c>
      <x:c r="D393" t="str">
        <x:v>g4d06c775-e6bd-4574-9c3d-bd04d4ee9dc9</x:v>
      </x:c>
      <x:c r="E393" t="str">
        <x:v>g7e686151-385c-4c68-a80e-c1b1de0f97fe</x:v>
      </x:c>
      <x:c r="F393" t="str">
        <x:v>https://www.webonary.org/marubo/g7e686151-385c-4c68-a80e-c1b1de0f97fe/</x:v>
      </x:c>
      <x:c r="G393" s="20" t="n">
        <x:v>46003.93479238426</x:v>
      </x:c>
    </x:row>
    <x:row r="394">
      <x:c r="A394" t="str">
        <x:v>caminho da morte</x:v>
      </x:c>
      <x:c r="B394" t="str">
        <x:v>Vei Vai</x:v>
      </x:c>
      <x:c r="C394" t="str">
        <x:v>c</x:v>
      </x:c>
      <x:c r="D394" t="str">
        <x:v>ge10a38aa-c8b9-499f-b4b4-d8169be2af21</x:v>
      </x:c>
      <x:c r="E394" t="str">
        <x:v>gb46cfc0a-4d52-48c0-bd83-6f360875b50f</x:v>
      </x:c>
      <x:c r="F394" t="str">
        <x:v>https://www.webonary.org/marubo/gb46cfc0a-4d52-48c0-bd83-6f360875b50f/</x:v>
      </x:c>
      <x:c r="G394" s="20" t="n">
        <x:v>46003.93479238426</x:v>
      </x:c>
    </x:row>
    <x:row r="395">
      <x:c r="A395" t="str">
        <x:v>camisa</x:v>
      </x:c>
      <x:c r="B395" t="str">
        <x:v>õpo shavãkiri</x:v>
      </x:c>
      <x:c r="C395" t="str">
        <x:v>c</x:v>
      </x:c>
      <x:c r="D395" t="str">
        <x:v>g35b59b30-7804-48a0-b4e6-207756ac0a30</x:v>
      </x:c>
      <x:c r="E395" t="str">
        <x:v>g62199f9d-da9e-48e9-a57c-6ef1c80aea30</x:v>
      </x:c>
      <x:c r="F395" t="str">
        <x:v>https://www.webonary.org/marubo/g62199f9d-da9e-48e9-a57c-6ef1c80aea30/</x:v>
      </x:c>
      <x:c r="G395" s="20" t="n">
        <x:v>46003.93479238426</x:v>
      </x:c>
    </x:row>
    <x:row r="396">
      <x:c r="A396" t="str">
        <x:v>camisa de manga comprida</x:v>
      </x:c>
      <x:c r="B396" t="str">
        <x:v>metásh keyáka</x:v>
      </x:c>
      <x:c r="C396" t="str">
        <x:v>c</x:v>
      </x:c>
      <x:c r="D396" t="str">
        <x:v>gc6e1d81d-c300-47ce-897a-d59c1ca0467f</x:v>
      </x:c>
      <x:c r="E396" t="str">
        <x:v>g9334488b-cc26-4ea8-962e-0636e8b92451</x:v>
      </x:c>
      <x:c r="F396" t="str">
        <x:v>https://www.webonary.org/marubo/g9334488b-cc26-4ea8-962e-0636e8b92451/</x:v>
      </x:c>
      <x:c r="G396" s="20" t="n">
        <x:v>46003.93479238426</x:v>
      </x:c>
    </x:row>
    <x:row r="397">
      <x:c r="A397" t="str">
        <x:v>cana</x:v>
      </x:c>
      <x:c r="B397" t="str">
        <x:v>taveta</x:v>
      </x:c>
      <x:c r="C397" t="str">
        <x:v>c</x:v>
      </x:c>
      <x:c r="D397" t="str">
        <x:v>g3d5110e1-1a0a-4c0a-826b-68c78b4a211e</x:v>
      </x:c>
      <x:c r="E397" t="str">
        <x:v>g1bfc1b7c-1dcd-4ea1-9816-8b6d11c7849b</x:v>
      </x:c>
      <x:c r="F397" t="str">
        <x:v>https://www.webonary.org/marubo/g1bfc1b7c-1dcd-4ea1-9816-8b6d11c7849b/</x:v>
      </x:c>
      <x:c r="G397" s="20" t="n">
        <x:v>46003.93479238426</x:v>
      </x:c>
    </x:row>
    <x:row r="398">
      <x:c r="A398" t="str">
        <x:v>candiru</x:v>
      </x:c>
      <x:c r="B398" t="str">
        <x:v>kokomisi</x:v>
      </x:c>
      <x:c r="C398" t="str">
        <x:v>c</x:v>
      </x:c>
      <x:c r="D398" t="str">
        <x:v>g9ba3e570-c3b4-4580-8072-271593a9eac3</x:v>
      </x:c>
      <x:c r="E398" t="str">
        <x:v>g13bfa4fb-b5e0-45b2-b0dc-6f934e9ddcf6</x:v>
      </x:c>
      <x:c r="F398" t="str">
        <x:v>https://www.webonary.org/marubo/g13bfa4fb-b5e0-45b2-b0dc-6f934e9ddcf6/</x:v>
      </x:c>
      <x:c r="G398" s="20" t="n">
        <x:v>46003.93479238426</x:v>
      </x:c>
    </x:row>
    <x:row r="399">
      <x:c r="A399" t="str">
        <x:v>caneco</x:v>
      </x:c>
      <x:c r="B399" t="str">
        <x:v>kaniko</x:v>
      </x:c>
      <x:c r="C399" t="str">
        <x:v>c</x:v>
      </x:c>
      <x:c r="D399" t="str">
        <x:v>gae4139b9-a5d7-4474-88b6-f6b6d0cdb4a8</x:v>
      </x:c>
      <x:c r="E399" t="str">
        <x:v>g26fee2e5-55d9-4b8b-8cf8-2a67bd920123</x:v>
      </x:c>
      <x:c r="F399" t="str">
        <x:v>https://www.webonary.org/marubo/g26fee2e5-55d9-4b8b-8cf8-2a67bd920123/</x:v>
      </x:c>
      <x:c r="G399" s="20" t="n">
        <x:v>46003.93479238426</x:v>
      </x:c>
    </x:row>
    <x:row r="400">
      <x:c r="A400" t="str">
        <x:v>canela</x:v>
      </x:c>
      <x:c r="B400" t="str">
        <x:v>itáshekãwĩ</x:v>
      </x:c>
      <x:c r="C400" t="str">
        <x:v>c</x:v>
      </x:c>
      <x:c r="D400" t="str">
        <x:v>g2d7c84fc-eefb-4dc1-b2fc-d94f3358d775</x:v>
      </x:c>
      <x:c r="E400" t="str">
        <x:v>g36b42eed-ba27-4439-a076-f4ea0794595a</x:v>
      </x:c>
      <x:c r="F400" t="str">
        <x:v>https://www.webonary.org/marubo/g36b42eed-ba27-4439-a076-f4ea0794595a/</x:v>
      </x:c>
      <x:c r="G400" s="20" t="n">
        <x:v>46003.93479238426</x:v>
      </x:c>
    </x:row>
    <x:row r="401">
      <x:c r="A401" t="str">
        <x:v>canoa</x:v>
      </x:c>
      <x:c r="B401" t="str">
        <x:v>nõti</x:v>
      </x:c>
      <x:c r="C401" t="str">
        <x:v>c</x:v>
      </x:c>
      <x:c r="D401" t="str">
        <x:v>g83e6e61a-4d13-44de-aea3-41af6b4f1761</x:v>
      </x:c>
      <x:c r="E401" t="str">
        <x:v>g1b1d8b98-8aba-4bad-a197-cd154852501d</x:v>
      </x:c>
      <x:c r="F401" t="str">
        <x:v>https://www.webonary.org/marubo/g1b1d8b98-8aba-4bad-a197-cd154852501d/</x:v>
      </x:c>
      <x:c r="G401" s="20" t="n">
        <x:v>46003.93479238426</x:v>
      </x:c>
    </x:row>
    <x:row r="402">
      <x:c r="A402" t="str">
        <x:v>cansado</x:v>
      </x:c>
      <x:c r="B402" t="str">
        <x:v>yomea</x:v>
      </x:c>
      <x:c r="C402" t="str">
        <x:v>c</x:v>
      </x:c>
      <x:c r="D402" t="str">
        <x:v>g289b55cd-07b6-446a-b4f3-25f9aa80ef48</x:v>
      </x:c>
      <x:c r="E402" t="str">
        <x:v>g0471c37e-258e-4ba6-ae07-7c0b24567c53</x:v>
      </x:c>
      <x:c r="F402" t="str">
        <x:v>https://www.webonary.org/marubo/g0471c37e-258e-4ba6-ae07-7c0b24567c53/</x:v>
      </x:c>
      <x:c r="G402" s="20" t="n">
        <x:v>46003.93479238426</x:v>
      </x:c>
    </x:row>
    <x:row r="403">
      <x:c r="A403" t="str">
        <x:v>cantador traditional</x:v>
      </x:c>
      <x:c r="B403" t="str">
        <x:v>kẽchĩtxo</x:v>
      </x:c>
      <x:c r="C403" t="str">
        <x:v>c</x:v>
      </x:c>
      <x:c r="D403" t="str">
        <x:v>g0cc0b933-f979-403a-84af-4cb9ec204520</x:v>
      </x:c>
      <x:c r="E403" t="str">
        <x:v>g34c96e3a-b12c-4f2b-9c70-f12ecc216366</x:v>
      </x:c>
      <x:c r="F403" t="str">
        <x:v>https://www.webonary.org/marubo/g34c96e3a-b12c-4f2b-9c70-f12ecc216366/</x:v>
      </x:c>
      <x:c r="G403" s="20" t="n">
        <x:v>46003.93479238426</x:v>
      </x:c>
    </x:row>
    <x:row r="404">
      <x:c r="A404" t="str">
        <x:v>cantar</x:v>
      </x:c>
      <x:c r="B404" t="str">
        <x:v>yoia</x:v>
      </x:c>
      <x:c r="C404" t="str">
        <x:v>c</x:v>
      </x:c>
      <x:c r="D404" t="str">
        <x:v>gd61a592b-37b5-4daf-b7f0-db15b42ec76b</x:v>
      </x:c>
      <x:c r="E404" t="str">
        <x:v>g8d10f64c-16a6-4521-92ee-4c93140a5a69</x:v>
      </x:c>
      <x:c r="F404" t="str">
        <x:v>https://www.webonary.org/marubo/g8d10f64c-16a6-4521-92ee-4c93140a5a69/</x:v>
      </x:c>
      <x:c r="G404" s="20" t="n">
        <x:v>46003.93479238426</x:v>
      </x:c>
    </x:row>
    <x:row r="405">
      <x:c r="A405" t="str">
        <x:v>cantar</x:v>
      </x:c>
      <x:c r="B405" t="str">
        <x:v>1</x:v>
      </x:c>
      <x:c r="C405" t="str">
        <x:v>c</x:v>
      </x:c>
      <x:c r="D405" t="str">
        <x:v>gd61a592b-37b5-4daf-b7f0-db15b42ec76b</x:v>
      </x:c>
      <x:c r="E405" t="str">
        <x:v>g8d10f64c-16a6-4521-92ee-4c93140a5a69</x:v>
      </x:c>
      <x:c r="F405" t="str">
        <x:v>https://www.webonary.org/marubo/g8d10f64c-16a6-4521-92ee-4c93140a5a69/</x:v>
      </x:c>
      <x:c r="G405" s="20" t="n">
        <x:v>46003.93479238426</x:v>
      </x:c>
    </x:row>
    <x:row r="406">
      <x:c r="A406" t="str">
        <x:v>cantar</x:v>
      </x:c>
      <x:c r="B406" t="str">
        <x:v>koká ikí</x:v>
      </x:c>
      <x:c r="C406" t="str">
        <x:v>c</x:v>
      </x:c>
      <x:c r="D406" t="str">
        <x:v>gd61a592b-37b5-4daf-b7f0-db15b42ec76b</x:v>
      </x:c>
      <x:c r="E406" t="str">
        <x:v>g30d561ce-d86f-4bba-bf84-24b732fae678</x:v>
      </x:c>
      <x:c r="F406" t="str">
        <x:v>https://www.webonary.org/marubo/g30d561ce-d86f-4bba-bf84-24b732fae678/</x:v>
      </x:c>
      <x:c r="G406" s="20" t="n">
        <x:v>46003.93479238426</x:v>
      </x:c>
    </x:row>
    <x:row r="407">
      <x:c r="A407" t="str">
        <x:v>capa de chuva</x:v>
      </x:c>
      <x:c r="B407" t="str">
        <x:v>oi õpo</x:v>
      </x:c>
      <x:c r="C407" t="str">
        <x:v>c</x:v>
      </x:c>
      <x:c r="D407" t="str">
        <x:v>g7e8e45c4-b253-4146-9f7b-657da676ecab</x:v>
      </x:c>
      <x:c r="E407" t="str">
        <x:v>g254596e4-30a9-4e60-9b71-1e3bfc7522bc</x:v>
      </x:c>
      <x:c r="F407" t="str">
        <x:v>https://www.webonary.org/marubo/g254596e4-30a9-4e60-9b71-1e3bfc7522bc/</x:v>
      </x:c>
      <x:c r="G407" s="20" t="n">
        <x:v>46003.93479238426</x:v>
      </x:c>
    </x:row>
    <x:row r="408">
      <x:c r="A408" t="str">
        <x:v>capim</x:v>
      </x:c>
      <x:c r="B408" t="str">
        <x:v>nawe</x:v>
      </x:c>
      <x:c r="C408" t="str">
        <x:v>c</x:v>
      </x:c>
      <x:c r="D408" t="str">
        <x:v>g1ef7c4df-2f76-4679-949f-8022e323ba12</x:v>
      </x:c>
      <x:c r="E408" t="str">
        <x:v>g8b9433f0-2567-4cd0-8067-e68a845c1345</x:v>
      </x:c>
      <x:c r="F408" t="str">
        <x:v>https://www.webonary.org/marubo/g8b9433f0-2567-4cd0-8067-e68a845c1345/</x:v>
      </x:c>
      <x:c r="G408" s="20" t="n">
        <x:v>46003.93479238426</x:v>
      </x:c>
    </x:row>
    <x:row r="409">
      <x:c r="A409" t="str">
        <x:v>capinar</x:v>
      </x:c>
      <x:c r="B409" t="str">
        <x:v>rãpa</x:v>
      </x:c>
      <x:c r="C409" t="str">
        <x:v>c</x:v>
      </x:c>
      <x:c r="D409" t="str">
        <x:v>g205d5d58-ac94-4310-a8df-94a4c880b12f</x:v>
      </x:c>
      <x:c r="E409" t="str">
        <x:v>gce94ede8-96a3-4eba-a487-5d0aa28da74d</x:v>
      </x:c>
      <x:c r="F409" t="str">
        <x:v>https://www.webonary.org/marubo/gce94ede8-96a3-4eba-a487-5d0aa28da74d/</x:v>
      </x:c>
      <x:c r="G409" s="20" t="n">
        <x:v>46003.93479238426</x:v>
      </x:c>
    </x:row>
    <x:row r="410">
      <x:c r="A410" t="str">
        <x:v>capinar roça</x:v>
      </x:c>
      <x:c r="B410" t="str">
        <x:v>txasha</x:v>
      </x:c>
      <x:c r="C410" t="str">
        <x:v>c</x:v>
      </x:c>
      <x:c r="D410" t="str">
        <x:v>gf5716eb5-8672-4963-9f61-fc670ba13720</x:v>
      </x:c>
      <x:c r="E410" t="str">
        <x:v>g1c5b44ad-ab52-4942-9c0d-1e0d84b9fd0e</x:v>
      </x:c>
      <x:c r="F410" t="str">
        <x:v>https://www.webonary.org/marubo/g1c5b44ad-ab52-4942-9c0d-1e0d84b9fd0e/</x:v>
      </x:c>
      <x:c r="G410" s="20" t="n">
        <x:v>46003.93479238426</x:v>
      </x:c>
    </x:row>
    <x:row r="411">
      <x:c r="A411" t="str">
        <x:v>capitão do mato</x:v>
      </x:c>
      <x:c r="B411" t="str">
        <x:v>witxã</x:v>
      </x:c>
      <x:c r="C411" t="str">
        <x:v>c</x:v>
      </x:c>
      <x:c r="D411" t="str">
        <x:v>g2eadbc75-8869-4e79-b04b-0c923a84fe3a</x:v>
      </x:c>
      <x:c r="E411" t="str">
        <x:v>ga2f7715b-5fb0-4335-a9e5-2d175443ce16</x:v>
      </x:c>
      <x:c r="F411" t="str">
        <x:v>https://www.webonary.org/marubo/ga2f7715b-5fb0-4335-a9e5-2d175443ce16/</x:v>
      </x:c>
      <x:c r="G411" s="20" t="n">
        <x:v>46003.93479238426</x:v>
      </x:c>
    </x:row>
    <x:row r="412">
      <x:c r="A412" t="str">
        <x:v>capivara</x:v>
      </x:c>
      <x:c r="B412" t="str">
        <x:v>amẽ</x:v>
      </x:c>
      <x:c r="C412" t="str">
        <x:v>c</x:v>
      </x:c>
      <x:c r="D412" t="str">
        <x:v>gd865c9f7-92ee-4147-a5cd-703b22b1cea7</x:v>
      </x:c>
      <x:c r="E412" t="str">
        <x:v>gb09863cd-c1d4-43d7-98b9-3cff1a90ae02</x:v>
      </x:c>
      <x:c r="F412" t="str">
        <x:v>https://www.webonary.org/marubo/gb09863cd-c1d4-43d7-98b9-3cff1a90ae02/</x:v>
      </x:c>
      <x:c r="G412" s="20" t="n">
        <x:v>46003.93479238426</x:v>
      </x:c>
    </x:row>
    <x:row r="413">
      <x:c r="A413" t="str">
        <x:v>capivara</x:v>
      </x:c>
      <x:c r="B413" t="str">
        <x:v>1</x:v>
      </x:c>
      <x:c r="C413" t="str">
        <x:v>c</x:v>
      </x:c>
      <x:c r="D413" t="str">
        <x:v>gd865c9f7-92ee-4147-a5cd-703b22b1cea7</x:v>
      </x:c>
      <x:c r="E413" t="str">
        <x:v>gb09863cd-c1d4-43d7-98b9-3cff1a90ae02</x:v>
      </x:c>
      <x:c r="F413" t="str">
        <x:v>https://www.webonary.org/marubo/gb09863cd-c1d4-43d7-98b9-3cff1a90ae02/</x:v>
      </x:c>
      <x:c r="G413" s="20" t="n">
        <x:v>46003.93479238426</x:v>
      </x:c>
    </x:row>
    <x:row r="414">
      <x:c r="A414" t="str">
        <x:v>capotar</x:v>
      </x:c>
      <x:c r="B414" t="str">
        <x:v>naoa</x:v>
      </x:c>
      <x:c r="C414" t="str">
        <x:v>c</x:v>
      </x:c>
      <x:c r="D414" t="str">
        <x:v>g9a01d8cc-8888-49e2-8cc7-9f5eca105abb</x:v>
      </x:c>
      <x:c r="E414" t="str">
        <x:v>ga8219e62-865f-4f4c-87be-a1bc26032db3</x:v>
      </x:c>
      <x:c r="F414" t="str">
        <x:v>https://www.webonary.org/marubo/ga8219e62-865f-4f4c-87be-a1bc26032db3/</x:v>
      </x:c>
      <x:c r="G414" s="20" t="n">
        <x:v>46003.93479238426</x:v>
      </x:c>
    </x:row>
    <x:row r="415">
      <x:c r="A415" t="str">
        <x:v>caracol</x:v>
      </x:c>
      <x:c r="B415" t="str">
        <x:v>võtó</x:v>
      </x:c>
      <x:c r="C415" t="str">
        <x:v>c</x:v>
      </x:c>
      <x:c r="D415" t="str">
        <x:v>g105b7fef-e6de-4e04-bde3-d257f3f362c6</x:v>
      </x:c>
      <x:c r="E415" t="str">
        <x:v>gc941286a-e431-459b-a089-baa6e3567433</x:v>
      </x:c>
      <x:c r="F415" t="str">
        <x:v>https://www.webonary.org/marubo/gc941286a-e431-459b-a089-baa6e3567433/</x:v>
      </x:c>
      <x:c r="G415" s="20" t="n">
        <x:v>46003.93479238426</x:v>
      </x:c>
    </x:row>
    <x:row r="416">
      <x:c r="A416" t="str">
        <x:v>caramujo aruá</x:v>
      </x:c>
      <x:c r="B416" t="str">
        <x:v>novo</x:v>
      </x:c>
      <x:c r="C416" t="str">
        <x:v>c</x:v>
      </x:c>
      <x:c r="D416" t="str">
        <x:v>g7248f982-84ab-4be6-9d05-314f85da0af4</x:v>
      </x:c>
      <x:c r="E416" t="str">
        <x:v>ge721cbd2-049b-46e1-8c39-409051db41d8</x:v>
      </x:c>
      <x:c r="F416" t="str">
        <x:v>https://www.webonary.org/marubo/ge721cbd2-049b-46e1-8c39-409051db41d8/</x:v>
      </x:c>
      <x:c r="G416" s="20" t="n">
        <x:v>46003.93479238426</x:v>
      </x:c>
    </x:row>
    <x:row r="417">
      <x:c r="A417" t="str">
        <x:v>carapanãúba</x:v>
      </x:c>
      <x:c r="B417" t="str">
        <x:v>patxo</x:v>
      </x:c>
      <x:c r="C417" t="str">
        <x:v>c</x:v>
      </x:c>
      <x:c r="D417" t="str">
        <x:v>g20e4ab7e-e3e7-4b89-ba9f-2a79b22a9a8b</x:v>
      </x:c>
      <x:c r="E417" t="str">
        <x:v>g2d867e61-2613-42e4-9f25-2827938915c7</x:v>
      </x:c>
      <x:c r="F417" t="str">
        <x:v>https://www.webonary.org/marubo/g2d867e61-2613-42e4-9f25-2827938915c7/</x:v>
      </x:c>
      <x:c r="G417" s="20" t="n">
        <x:v>46003.93479238426</x:v>
      </x:c>
    </x:row>
    <x:row r="418">
      <x:c r="A418" t="str">
        <x:v>careca</x:v>
      </x:c>
      <x:c r="B418" t="str">
        <x:v>mãkoa</x:v>
      </x:c>
      <x:c r="C418" t="str">
        <x:v>c</x:v>
      </x:c>
      <x:c r="D418" t="str">
        <x:v>gd85f8527-b96d-43d3-8b9d-b2974130e558</x:v>
      </x:c>
      <x:c r="E418" t="str">
        <x:v>g76a40815-239a-45d8-b6da-2e85eee98fad</x:v>
      </x:c>
      <x:c r="F418" t="str">
        <x:v>https://www.webonary.org/marubo/g76a40815-239a-45d8-b6da-2e85eee98fad/</x:v>
      </x:c>
      <x:c r="G418" s="20" t="n">
        <x:v>46003.93479238426</x:v>
      </x:c>
    </x:row>
    <x:row r="419">
      <x:c r="A419" t="str">
        <x:v>carne</x:v>
      </x:c>
      <x:c r="B419" t="str">
        <x:v>nami</x:v>
      </x:c>
      <x:c r="C419" t="str">
        <x:v>c</x:v>
      </x:c>
      <x:c r="D419" t="str">
        <x:v>g28c29b34-7b89-4ea5-afab-fd64199ea8e8</x:v>
      </x:c>
      <x:c r="E419" t="str">
        <x:v>g4b5d9f1d-8ec4-4bcd-8c5f-94a2225abb2f</x:v>
      </x:c>
      <x:c r="F419" t="str">
        <x:v>https://www.webonary.org/marubo/g4b5d9f1d-8ec4-4bcd-8c5f-94a2225abb2f/</x:v>
      </x:c>
      <x:c r="G419" s="20" t="n">
        <x:v>46003.93479238426</x:v>
      </x:c>
    </x:row>
    <x:row r="420">
      <x:c r="A420" t="str">
        <x:v>caro</x:v>
      </x:c>
      <x:c r="B420" t="str">
        <x:v>oraka</x:v>
      </x:c>
      <x:c r="C420" t="str">
        <x:v>c</x:v>
      </x:c>
      <x:c r="D420" t="str">
        <x:v>ge02e9521-82e4-412e-81aa-fe19dfbe658e</x:v>
      </x:c>
      <x:c r="E420" t="str">
        <x:v>g728c4334-b625-49c9-bc66-0dce75e319c2</x:v>
      </x:c>
      <x:c r="F420" t="str">
        <x:v>https://www.webonary.org/marubo/g728c4334-b625-49c9-bc66-0dce75e319c2/</x:v>
      </x:c>
      <x:c r="G420" s="20" t="n">
        <x:v>46003.93479238426</x:v>
      </x:c>
    </x:row>
    <x:row r="421">
      <x:c r="A421" t="str">
        <x:v>caroço</x:v>
      </x:c>
      <x:c r="B421" t="str">
        <x:v>eshe</x:v>
      </x:c>
      <x:c r="C421" t="str">
        <x:v>c</x:v>
      </x:c>
      <x:c r="D421" t="str">
        <x:v>g34a90726-ce89-4973-8970-85ce8375a520</x:v>
      </x:c>
      <x:c r="E421" t="str">
        <x:v>gddbd84c9-2acd-43e4-a55e-0badb3d5d574</x:v>
      </x:c>
      <x:c r="F421" t="str">
        <x:v>https://www.webonary.org/marubo/gddbd84c9-2acd-43e4-a55e-0badb3d5d574/</x:v>
      </x:c>
      <x:c r="G421" s="20" t="n">
        <x:v>46003.93479238426</x:v>
      </x:c>
    </x:row>
    <x:row r="422">
      <x:c r="A422" t="str">
        <x:v>carrapato</x:v>
      </x:c>
      <x:c r="B422" t="str">
        <x:v>yanã</x:v>
      </x:c>
      <x:c r="C422" t="str">
        <x:v>c</x:v>
      </x:c>
      <x:c r="D422" t="str">
        <x:v>g2b776158-4c4d-4801-9690-61462ca73d15</x:v>
      </x:c>
      <x:c r="E422" t="str">
        <x:v>gd0a60ae9-effa-4d39-ac89-d8032fa120b6</x:v>
      </x:c>
      <x:c r="F422" t="str">
        <x:v>https://www.webonary.org/marubo/gd0a60ae9-effa-4d39-ac89-d8032fa120b6/</x:v>
      </x:c>
      <x:c r="G422" s="20" t="n">
        <x:v>46003.93479238426</x:v>
      </x:c>
    </x:row>
    <x:row r="423">
      <x:c r="A423" t="str">
        <x:v>carregar de mochila</x:v>
      </x:c>
      <x:c r="B423" t="str">
        <x:v>tetõa</x:v>
      </x:c>
      <x:c r="C423" t="str">
        <x:v>c</x:v>
      </x:c>
      <x:c r="D423" t="str">
        <x:v>g932a4ad7-8566-4737-a1db-d8da5c78da72</x:v>
      </x:c>
      <x:c r="E423" t="str">
        <x:v>gc0fae3da-7e0f-4e74-aa59-1b11826581d9</x:v>
      </x:c>
      <x:c r="F423" t="str">
        <x:v>https://www.webonary.org/marubo/gc0fae3da-7e0f-4e74-aa59-1b11826581d9/</x:v>
      </x:c>
      <x:c r="G423" s="20" t="n">
        <x:v>46003.93479238426</x:v>
      </x:c>
    </x:row>
    <x:row r="424">
      <x:c r="A424" t="str">
        <x:v>carregar muitas coisas</x:v>
      </x:c>
      <x:c r="B424" t="str">
        <x:v>kawia</x:v>
      </x:c>
      <x:c r="C424" t="str">
        <x:v>c</x:v>
      </x:c>
      <x:c r="D424" t="str">
        <x:v>g0b9f63b0-83b0-43ec-a056-a6fb4af511d4</x:v>
      </x:c>
      <x:c r="E424" t="str">
        <x:v>ga0203071-1a2f-4c54-a686-dfcee3536768</x:v>
      </x:c>
      <x:c r="F424" t="str">
        <x:v>https://www.webonary.org/marubo/ga0203071-1a2f-4c54-a686-dfcee3536768/</x:v>
      </x:c>
      <x:c r="G424" s="20" t="n">
        <x:v>46003.93479238426</x:v>
      </x:c>
    </x:row>
    <x:row r="425">
      <x:c r="A425" t="str">
        <x:v>carregar nas costas</x:v>
      </x:c>
      <x:c r="B425" t="str">
        <x:v>papia</x:v>
      </x:c>
      <x:c r="C425" t="str">
        <x:v>c</x:v>
      </x:c>
      <x:c r="D425" t="str">
        <x:v>ge0c97a9a-f79c-433d-8910-5e23085af0e2</x:v>
      </x:c>
      <x:c r="E425" t="str">
        <x:v>gfab60567-5350-44e0-8ec4-49ddac40f547</x:v>
      </x:c>
      <x:c r="F425" t="str">
        <x:v>https://www.webonary.org/marubo/gfab60567-5350-44e0-8ec4-49ddac40f547/</x:v>
      </x:c>
      <x:c r="G425" s="20" t="n">
        <x:v>46003.93479238426</x:v>
      </x:c>
    </x:row>
    <x:row r="426">
      <x:c r="A426" t="str">
        <x:v>carregar nos ombros</x:v>
      </x:c>
      <x:c r="B426" t="str">
        <x:v>ya</x:v>
      </x:c>
      <x:c r="C426" t="str">
        <x:v>c</x:v>
      </x:c>
      <x:c r="D426" t="str">
        <x:v>g5156d816-e632-444b-83f5-8f78d2919927</x:v>
      </x:c>
      <x:c r="E426" t="str">
        <x:v>gc0181172-99bf-47c7-b594-1058aee19ae6</x:v>
      </x:c>
      <x:c r="F426" t="str">
        <x:v>https://www.webonary.org/marubo/gc0181172-99bf-47c7-b594-1058aee19ae6/</x:v>
      </x:c>
      <x:c r="G426" s="20" t="n">
        <x:v>46003.93479238426</x:v>
      </x:c>
    </x:row>
    <x:row r="427">
      <x:c r="A427" t="str">
        <x:v>carteira</x:v>
      </x:c>
      <x:c r="B427" t="str">
        <x:v>kopímati shaka</x:v>
      </x:c>
      <x:c r="C427" t="str">
        <x:v>c</x:v>
      </x:c>
      <x:c r="D427" t="str">
        <x:v>gb3f13831-943d-478f-a121-1b42caf817fd</x:v>
      </x:c>
      <x:c r="E427" t="str">
        <x:v>g0665b667-a107-4d8e-b9eb-81b173bd4daa</x:v>
      </x:c>
      <x:c r="F427" t="str">
        <x:v>https://www.webonary.org/marubo/g0665b667-a107-4d8e-b9eb-81b173bd4daa/</x:v>
      </x:c>
      <x:c r="G427" s="20" t="n">
        <x:v>46003.93479238426</x:v>
      </x:c>
    </x:row>
    <x:row r="428">
      <x:c r="A428" t="str">
        <x:v>cartucho</x:v>
      </x:c>
      <x:c r="B428" t="str">
        <x:v>mara eshe</x:v>
      </x:c>
      <x:c r="C428" t="str">
        <x:v>c</x:v>
      </x:c>
      <x:c r="D428" t="str">
        <x:v>g7260ee43-0a57-4edf-87e0-6277ee04ee07</x:v>
      </x:c>
      <x:c r="E428" t="str">
        <x:v>g436a5061-1ab2-457d-b32a-949bb7025a15</x:v>
      </x:c>
      <x:c r="F428" t="str">
        <x:v>https://www.webonary.org/marubo/g436a5061-1ab2-457d-b32a-949bb7025a15/</x:v>
      </x:c>
      <x:c r="G428" s="20" t="n">
        <x:v>46003.93479238426</x:v>
      </x:c>
    </x:row>
    <x:row r="429">
      <x:c r="A429" t="str">
        <x:v>carvão</x:v>
      </x:c>
      <x:c r="B429" t="str">
        <x:v>tsiste</x:v>
      </x:c>
      <x:c r="C429" t="str">
        <x:v>c</x:v>
      </x:c>
      <x:c r="D429" t="str">
        <x:v>gce534d7f-8dec-460a-abc8-45b68fd38432</x:v>
      </x:c>
      <x:c r="E429" t="str">
        <x:v>g150fdfe6-1aa4-4df6-b3b2-97a20f2dd18f</x:v>
      </x:c>
      <x:c r="F429" t="str">
        <x:v>https://www.webonary.org/marubo/g150fdfe6-1aa4-4df6-b3b2-97a20f2dd18f/</x:v>
      </x:c>
      <x:c r="G429" s="20" t="n">
        <x:v>46003.93479238426</x:v>
      </x:c>
    </x:row>
    <x:row r="430">
      <x:c r="A430" t="str">
        <x:v>casada</x:v>
      </x:c>
      <x:c r="B430" t="str">
        <x:v>veneya</x:v>
      </x:c>
      <x:c r="C430" t="str">
        <x:v>c</x:v>
      </x:c>
      <x:c r="D430" t="str">
        <x:v>ga5aef963-8f41-4014-bd9f-bbea8d4cff67</x:v>
      </x:c>
      <x:c r="E430" t="str">
        <x:v>g8695476e-1ca3-4934-abc5-86cb661a467c</x:v>
      </x:c>
      <x:c r="F430" t="str">
        <x:v>https://www.webonary.org/marubo/g8695476e-1ca3-4934-abc5-86cb661a467c/</x:v>
      </x:c>
      <x:c r="G430" s="20" t="n">
        <x:v>46003.93479238426</x:v>
      </x:c>
    </x:row>
    <x:row r="431">
      <x:c r="A431" t="str">
        <x:v>casca</x:v>
      </x:c>
      <x:c r="B431" t="str">
        <x:v>shaká</x:v>
      </x:c>
      <x:c r="C431" t="str">
        <x:v>c</x:v>
      </x:c>
      <x:c r="D431" t="str">
        <x:v>g2b59aa09-e459-49a8-b953-4a9a4f1073cf</x:v>
      </x:c>
      <x:c r="E431" t="str">
        <x:v>g561f8ce3-77a1-49cf-9f8b-73af31af086a</x:v>
      </x:c>
      <x:c r="F431" t="str">
        <x:v>https://www.webonary.org/marubo/g561f8ce3-77a1-49cf-9f8b-73af31af086a/</x:v>
      </x:c>
      <x:c r="G431" s="20" t="n">
        <x:v>46003.93479238426</x:v>
      </x:c>
    </x:row>
    <x:row r="432">
      <x:c r="A432" t="str">
        <x:v>casho de banana</x:v>
      </x:c>
      <x:c r="B432" t="str">
        <x:v>mani tasho</x:v>
      </x:c>
      <x:c r="C432" t="str">
        <x:v>c</x:v>
      </x:c>
      <x:c r="D432" t="str">
        <x:v>g2302e52a-f1d7-4bbb-8c09-812eb3b5a749</x:v>
      </x:c>
      <x:c r="E432" t="str">
        <x:v>g432331a6-cbb2-451e-b978-baf9c5de7c01</x:v>
      </x:c>
      <x:c r="F432" t="str">
        <x:v>https://www.webonary.org/marubo/g432331a6-cbb2-451e-b978-baf9c5de7c01/</x:v>
      </x:c>
      <x:c r="G432" s="20" t="n">
        <x:v>46003.93479238426</x:v>
      </x:c>
    </x:row>
    <x:row r="433">
      <x:c r="A433" t="str">
        <x:v>castanho?</x:v>
      </x:c>
      <x:c r="B433" t="str">
        <x:v>nokáka</x:v>
      </x:c>
      <x:c r="C433" t="str">
        <x:v>c</x:v>
      </x:c>
      <x:c r="D433" t="str">
        <x:v>g109a93c6-dcd5-472a-acea-f07fe8d82040</x:v>
      </x:c>
      <x:c r="E433" t="str">
        <x:v>g30f2f308-03a2-493e-9494-62e3da755845</x:v>
      </x:c>
      <x:c r="F433" t="str">
        <x:v>https://www.webonary.org/marubo/g30f2f308-03a2-493e-9494-62e3da755845/</x:v>
      </x:c>
      <x:c r="G433" s="20" t="n">
        <x:v>46003.93479238426</x:v>
      </x:c>
    </x:row>
    <x:row r="434">
      <x:c r="A434" t="str">
        <x:v>catitu</x:v>
      </x:c>
      <x:c r="B434" t="str">
        <x:v>ono</x:v>
      </x:c>
      <x:c r="C434" t="str">
        <x:v>c</x:v>
      </x:c>
      <x:c r="D434" t="str">
        <x:v>gb5b0a3c9-4116-4ae9-ab29-918a425db1e9</x:v>
      </x:c>
      <x:c r="E434" t="str">
        <x:v>g0ecaaa96-feec-48bd-af04-42f3185406f6</x:v>
      </x:c>
      <x:c r="F434" t="str">
        <x:v>https://www.webonary.org/marubo/g0ecaaa96-feec-48bd-af04-42f3185406f6/</x:v>
      </x:c>
      <x:c r="G434" s="20" t="n">
        <x:v>46003.93479238426</x:v>
      </x:c>
    </x:row>
    <x:row r="435">
      <x:c r="A435" t="str">
        <x:v>catitu</x:v>
      </x:c>
      <x:c r="B435" t="str">
        <x:v>1</x:v>
      </x:c>
      <x:c r="C435" t="str">
        <x:v>c</x:v>
      </x:c>
      <x:c r="D435" t="str">
        <x:v>gb5b0a3c9-4116-4ae9-ab29-918a425db1e9</x:v>
      </x:c>
      <x:c r="E435" t="str">
        <x:v>g0ecaaa96-feec-48bd-af04-42f3185406f6</x:v>
      </x:c>
      <x:c r="F435" t="str">
        <x:v>https://www.webonary.org/marubo/g0ecaaa96-feec-48bd-af04-42f3185406f6/</x:v>
      </x:c>
      <x:c r="G435" s="20" t="n">
        <x:v>46003.93479238426</x:v>
      </x:c>
    </x:row>
    <x:row r="436">
      <x:c r="A436" t="str">
        <x:v>CAUS</x:v>
      </x:c>
      <x:c r="B436" t="str">
        <x:v>-̃</x:v>
      </x:c>
      <x:c r="C436" t="str">
        <x:v>c</x:v>
      </x:c>
      <x:c r="D436" t="str">
        <x:v>g97265993-1d6b-468f-92c5-b3d44a6ed2c8</x:v>
      </x:c>
      <x:c r="E436" t="str">
        <x:v>g34ff824c-d5ac-4646-9e81-a2f9235d3016</x:v>
      </x:c>
      <x:c r="F436" t="str">
        <x:v>https://www.webonary.org/marubo/g34ff824c-d5ac-4646-9e81-a2f9235d3016/</x:v>
      </x:c>
      <x:c r="G436" s="20" t="n">
        <x:v>46003.93479238426</x:v>
      </x:c>
    </x:row>
    <x:row r="437">
      <x:c r="A437" t="str">
        <x:v>CAUS</x:v>
      </x:c>
      <x:c r="B437" t="str">
        <x:v>5</x:v>
      </x:c>
      <x:c r="C437" t="str">
        <x:v>c</x:v>
      </x:c>
      <x:c r="D437" t="str">
        <x:v>g97265993-1d6b-468f-92c5-b3d44a6ed2c8</x:v>
      </x:c>
      <x:c r="E437" t="str">
        <x:v>g34ff824c-d5ac-4646-9e81-a2f9235d3016</x:v>
      </x:c>
      <x:c r="F437" t="str">
        <x:v>https://www.webonary.org/marubo/g34ff824c-d5ac-4646-9e81-a2f9235d3016/</x:v>
      </x:c>
      <x:c r="G437" s="20" t="n">
        <x:v>46003.93479238426</x:v>
      </x:c>
    </x:row>
    <x:row r="438">
      <x:c r="A438" t="str">
        <x:v>CAUS</x:v>
      </x:c>
      <x:c r="B438" t="str">
        <x:v>-mẽ</x:v>
      </x:c>
      <x:c r="C438" t="str">
        <x:v>c</x:v>
      </x:c>
      <x:c r="D438" t="str">
        <x:v>g97265993-1d6b-468f-92c5-b3d44a6ed2c8</x:v>
      </x:c>
      <x:c r="E438" t="str">
        <x:v>g134e80e2-421e-4bd2-b773-ff6abbd18743</x:v>
      </x:c>
      <x:c r="F438" t="str">
        <x:v>https://www.webonary.org/marubo/g134e80e2-421e-4bd2-b773-ff6abbd18743/</x:v>
      </x:c>
      <x:c r="G438" s="20" t="n">
        <x:v>46003.93479238426</x:v>
      </x:c>
    </x:row>
    <x:row r="439">
      <x:c r="A439" t="str">
        <x:v>CAUS</x:v>
      </x:c>
      <x:c r="B439" t="str">
        <x:v>-ma</x:v>
      </x:c>
      <x:c r="C439" t="str">
        <x:v>c</x:v>
      </x:c>
      <x:c r="D439" t="str">
        <x:v>g97265993-1d6b-468f-92c5-b3d44a6ed2c8</x:v>
      </x:c>
      <x:c r="E439" t="str">
        <x:v>g707b4c3c-400f-43b8-a8e5-7a67153e6798</x:v>
      </x:c>
      <x:c r="F439" t="str">
        <x:v>https://www.webonary.org/marubo/g707b4c3c-400f-43b8-a8e5-7a67153e6798/</x:v>
      </x:c>
      <x:c r="G439" s="20" t="n">
        <x:v>46003.93479238426</x:v>
      </x:c>
    </x:row>
    <x:row r="440">
      <x:c r="A440" t="str">
        <x:v>CAUS</x:v>
      </x:c>
      <x:c r="B440" t="str">
        <x:v>1</x:v>
      </x:c>
      <x:c r="C440" t="str">
        <x:v>c</x:v>
      </x:c>
      <x:c r="D440" t="str">
        <x:v>g97265993-1d6b-468f-92c5-b3d44a6ed2c8</x:v>
      </x:c>
      <x:c r="E440" t="str">
        <x:v>g707b4c3c-400f-43b8-a8e5-7a67153e6798</x:v>
      </x:c>
      <x:c r="F440" t="str">
        <x:v>https://www.webonary.org/marubo/g707b4c3c-400f-43b8-a8e5-7a67153e6798/</x:v>
      </x:c>
      <x:c r="G440" s="20" t="n">
        <x:v>46003.93479238426</x:v>
      </x:c>
    </x:row>
    <x:row r="441">
      <x:c r="A441" t="str">
        <x:v>causa</x:v>
      </x:c>
      <x:c r="B441" t="str">
        <x:v>-tõʂo</x:v>
      </x:c>
      <x:c r="C441" t="str">
        <x:v>c</x:v>
      </x:c>
      <x:c r="D441" t="str">
        <x:v>g16d4e39a-de6f-423d-b6d7-379dc19d8e34</x:v>
      </x:c>
      <x:c r="E441" t="str">
        <x:v>g8cff60ec-eec9-4532-85bb-f9b1c4fe46f8</x:v>
      </x:c>
      <x:c r="F441" t="str">
        <x:v>https://www.webonary.org/marubo/g8cff60ec-eec9-4532-85bb-f9b1c4fe46f8/</x:v>
      </x:c>
      <x:c r="G441" s="20" t="n">
        <x:v>46003.93479238426</x:v>
      </x:c>
    </x:row>
    <x:row r="442">
      <x:c r="A442" t="str">
        <x:v>CAUSAL</x:v>
      </x:c>
      <x:c r="B442" t="str">
        <x:v>-nõ</x:v>
      </x:c>
      <x:c r="C442" t="str">
        <x:v>c</x:v>
      </x:c>
      <x:c r="D442" t="str">
        <x:v>ge2a8031d-05e3-45bd-af22-ea5dce8981d4</x:v>
      </x:c>
      <x:c r="E442" t="str">
        <x:v>gb5e9faaa-8f31-4a1d-aa58-52c2b16fa285</x:v>
      </x:c>
      <x:c r="F442" t="str">
        <x:v>https://www.webonary.org/marubo/gb5e9faaa-8f31-4a1d-aa58-52c2b16fa285/</x:v>
      </x:c>
      <x:c r="G442" s="20" t="n">
        <x:v>46003.93479238426</x:v>
      </x:c>
    </x:row>
    <x:row r="443">
      <x:c r="A443" t="str">
        <x:v>CAUSAL</x:v>
      </x:c>
      <x:c r="B443" t="str">
        <x:v>2</x:v>
      </x:c>
      <x:c r="C443" t="str">
        <x:v>c</x:v>
      </x:c>
      <x:c r="D443" t="str">
        <x:v>ge2a8031d-05e3-45bd-af22-ea5dce8981d4</x:v>
      </x:c>
      <x:c r="E443" t="str">
        <x:v>gb5e9faaa-8f31-4a1d-aa58-52c2b16fa285</x:v>
      </x:c>
      <x:c r="F443" t="str">
        <x:v>https://www.webonary.org/marubo/gb5e9faaa-8f31-4a1d-aa58-52c2b16fa285/</x:v>
      </x:c>
      <x:c r="G443" s="20" t="n">
        <x:v>46003.93479238426</x:v>
      </x:c>
    </x:row>
    <x:row r="444">
      <x:c r="A444" t="str">
        <x:v>cavadeira</x:v>
      </x:c>
      <x:c r="B444" t="str">
        <x:v>txipá</x:v>
      </x:c>
      <x:c r="C444" t="str">
        <x:v>c</x:v>
      </x:c>
      <x:c r="D444" t="str">
        <x:v>gf45e845e-e26e-42ec-8cc7-056e0474ccb8</x:v>
      </x:c>
      <x:c r="E444" t="str">
        <x:v>ge3df7548-3f2c-4a41-8c2f-665628c00eb2</x:v>
      </x:c>
      <x:c r="F444" t="str">
        <x:v>https://www.webonary.org/marubo/ge3df7548-3f2c-4a41-8c2f-665628c00eb2/</x:v>
      </x:c>
      <x:c r="G444" s="20" t="n">
        <x:v>46003.93479238426</x:v>
      </x:c>
    </x:row>
    <x:row r="445">
      <x:c r="A445" t="str">
        <x:v>cavalo</x:v>
      </x:c>
      <x:c r="B445" t="str">
        <x:v>kavátxo</x:v>
      </x:c>
      <x:c r="C445" t="str">
        <x:v>c</x:v>
      </x:c>
      <x:c r="D445" t="str">
        <x:v>g42cd4b48-0ffb-4858-a20f-e0b193681801</x:v>
      </x:c>
      <x:c r="E445" t="str">
        <x:v>g45e7a97c-5839-4a65-a607-33fef9be78f2</x:v>
      </x:c>
      <x:c r="F445" t="str">
        <x:v>https://www.webonary.org/marubo/g45e7a97c-5839-4a65-a607-33fef9be78f2/</x:v>
      </x:c>
      <x:c r="G445" s="20" t="n">
        <x:v>46003.93479238426</x:v>
      </x:c>
    </x:row>
    <x:row r="446">
      <x:c r="A446" t="str">
        <x:v>cavar buraco</x:v>
      </x:c>
      <x:c r="B446" t="str">
        <x:v>pokĩa</x:v>
      </x:c>
      <x:c r="C446" t="str">
        <x:v>c</x:v>
      </x:c>
      <x:c r="D446" t="str">
        <x:v>g14959b17-c309-463c-b10b-70d108783df9</x:v>
      </x:c>
      <x:c r="E446" t="str">
        <x:v>gd5501bb9-9003-4f4e-9617-f12f913d0ef3</x:v>
      </x:c>
      <x:c r="F446" t="str">
        <x:v>https://www.webonary.org/marubo/gd5501bb9-9003-4f4e-9617-f12f913d0ef3/</x:v>
      </x:c>
      <x:c r="G446" s="20" t="n">
        <x:v>46003.93479238426</x:v>
      </x:c>
    </x:row>
    <x:row r="447">
      <x:c r="A447" t="str">
        <x:v>caxiado</x:v>
      </x:c>
      <x:c r="B447" t="str">
        <x:v>txomíka</x:v>
      </x:c>
      <x:c r="C447" t="str">
        <x:v>c</x:v>
      </x:c>
      <x:c r="D447" t="str">
        <x:v>g4559f60c-6fa9-4159-a17c-2451dfac51a8</x:v>
      </x:c>
      <x:c r="E447" t="str">
        <x:v>ge92cd614-d9b6-40ed-b339-80a0eb288b90</x:v>
      </x:c>
      <x:c r="F447" t="str">
        <x:v>https://www.webonary.org/marubo/ge92cd614-d9b6-40ed-b339-80a0eb288b90/</x:v>
      </x:c>
      <x:c r="G447" s="20" t="n">
        <x:v>46003.93479238426</x:v>
      </x:c>
    </x:row>
    <x:row r="448">
      <x:c r="A448" t="str">
        <x:v>cedro</x:v>
      </x:c>
      <x:c r="B448" t="str">
        <x:v>kõshã́</x:v>
      </x:c>
      <x:c r="C448" t="str">
        <x:v>c</x:v>
      </x:c>
      <x:c r="D448" t="str">
        <x:v>gb8d22834-24e4-4815-91d5-3f1d3cbf8a05</x:v>
      </x:c>
      <x:c r="E448" t="str">
        <x:v>ga97c1b38-0815-4d61-ae19-6f2dfad187a9</x:v>
      </x:c>
      <x:c r="F448" t="str">
        <x:v>https://www.webonary.org/marubo/ga97c1b38-0815-4d61-ae19-6f2dfad187a9/</x:v>
      </x:c>
      <x:c r="G448" s="20" t="n">
        <x:v>46003.93479238426</x:v>
      </x:c>
    </x:row>
    <x:row r="449">
      <x:c r="A449" t="str">
        <x:v>cedro</x:v>
      </x:c>
      <x:c r="B449" t="str">
        <x:v>kõshã</x:v>
      </x:c>
      <x:c r="C449" t="str">
        <x:v>c</x:v>
      </x:c>
      <x:c r="D449" t="str">
        <x:v>gb8d22834-24e4-4815-91d5-3f1d3cbf8a05</x:v>
      </x:c>
      <x:c r="E449" t="str">
        <x:v>g36500731-1c6b-40bd-900e-5fc27f943a92</x:v>
      </x:c>
      <x:c r="F449" t="str">
        <x:v>https://www.webonary.org/marubo/g36500731-1c6b-40bd-900e-5fc27f943a92/</x:v>
      </x:c>
      <x:c r="G449" s="20" t="n">
        <x:v>46003.93479238426</x:v>
      </x:c>
    </x:row>
    <x:row r="450">
      <x:c r="A450" t="str">
        <x:v>cegar</x:v>
      </x:c>
      <x:c r="B450" t="str">
        <x:v>kẽtoa</x:v>
      </x:c>
      <x:c r="C450" t="str">
        <x:v>c</x:v>
      </x:c>
      <x:c r="D450" t="str">
        <x:v>g7fe755da-fc79-4201-91f9-66f6d267cf3a</x:v>
      </x:c>
      <x:c r="E450" t="str">
        <x:v>g265f68b8-e0d3-425a-b18c-a298c58bb829</x:v>
      </x:c>
      <x:c r="F450" t="str">
        <x:v>https://www.webonary.org/marubo/g265f68b8-e0d3-425a-b18c-a298c58bb829/</x:v>
      </x:c>
      <x:c r="G450" s="20" t="n">
        <x:v>46003.93479238426</x:v>
      </x:c>
    </x:row>
    <x:row r="451">
      <x:c r="A451" t="str">
        <x:v>cego</x:v>
      </x:c>
      <x:c r="B451" t="str">
        <x:v>veshoa</x:v>
      </x:c>
      <x:c r="C451" t="str">
        <x:v>c</x:v>
      </x:c>
      <x:c r="D451" t="str">
        <x:v>ga6945eb4-07d1-4d17-9ad9-54201d30e596</x:v>
      </x:c>
      <x:c r="E451" t="str">
        <x:v>ga2c9bb80-8294-4220-804b-673a0021d421</x:v>
      </x:c>
      <x:c r="F451" t="str">
        <x:v>https://www.webonary.org/marubo/ga2c9bb80-8294-4220-804b-673a0021d421/</x:v>
      </x:c>
      <x:c r="G451" s="20" t="n">
        <x:v>46003.93479238426</x:v>
      </x:c>
    </x:row>
    <x:row r="452">
      <x:c r="A452" t="str">
        <x:v>cego</x:v>
      </x:c>
      <x:c r="B452" t="str">
        <x:v>kẽtoka</x:v>
      </x:c>
      <x:c r="C452" t="str">
        <x:v>c</x:v>
      </x:c>
      <x:c r="D452" t="str">
        <x:v>ga6945eb4-07d1-4d17-9ad9-54201d30e596</x:v>
      </x:c>
      <x:c r="E452" t="str">
        <x:v>gc8e37352-aa6d-4e0f-808a-4ea62f561ac9</x:v>
      </x:c>
      <x:c r="F452" t="str">
        <x:v>https://www.webonary.org/marubo/gc8e37352-aa6d-4e0f-808a-4ea62f561ac9/</x:v>
      </x:c>
      <x:c r="G452" s="20" t="n">
        <x:v>46003.93479238426</x:v>
      </x:c>
    </x:row>
    <x:row r="453">
      <x:c r="A453" t="str">
        <x:v>ceira do mel</x:v>
      </x:c>
      <x:c r="B453" t="str">
        <x:v>vona voi</x:v>
      </x:c>
      <x:c r="C453" t="str">
        <x:v>c</x:v>
      </x:c>
      <x:c r="D453" t="str">
        <x:v>g42999dd9-583a-49a8-b721-0e208039c98f</x:v>
      </x:c>
      <x:c r="E453" t="str">
        <x:v>gdbefdecf-4371-44cc-b8bc-4d488c675c9a</x:v>
      </x:c>
      <x:c r="F453" t="str">
        <x:v>https://www.webonary.org/marubo/gdbefdecf-4371-44cc-b8bc-4d488c675c9a/</x:v>
      </x:c>
      <x:c r="G453" s="20" t="n">
        <x:v>46003.93479946759</x:v>
      </x:c>
    </x:row>
    <x:row r="454">
      <x:c r="A454" t="str">
        <x:v>cera dos ouvidos</x:v>
      </x:c>
      <x:c r="B454" t="str">
        <x:v>pave eshe</x:v>
      </x:c>
      <x:c r="C454" t="str">
        <x:v>c</x:v>
      </x:c>
      <x:c r="D454" t="str">
        <x:v>g2c76b47f-182e-463a-87c9-06f07dd9839e</x:v>
      </x:c>
      <x:c r="E454" t="str">
        <x:v>g355455d3-d475-424b-a720-da29a3693b4d</x:v>
      </x:c>
      <x:c r="F454" t="str">
        <x:v>https://www.webonary.org/marubo/g355455d3-d475-424b-a720-da29a3693b4d/</x:v>
      </x:c>
      <x:c r="G454" s="20" t="n">
        <x:v>46003.93479946759</x:v>
      </x:c>
    </x:row>
    <x:row r="455">
      <x:c r="A455" t="str">
        <x:v>cerca</x:v>
      </x:c>
      <x:c r="B455" t="str">
        <x:v>kene</x:v>
      </x:c>
      <x:c r="C455" t="str">
        <x:v>c</x:v>
      </x:c>
      <x:c r="D455" t="str">
        <x:v>ga7dce402-bd8a-4c35-8f0e-8e554500a4b7</x:v>
      </x:c>
      <x:c r="E455" t="str">
        <x:v>g32974d52-a3e4-4779-a61d-2f7fbb3a0be8</x:v>
      </x:c>
      <x:c r="F455" t="str">
        <x:v>https://www.webonary.org/marubo/g32974d52-a3e4-4779-a61d-2f7fbb3a0be8/</x:v>
      </x:c>
      <x:c r="G455" s="20" t="n">
        <x:v>46003.93479946759</x:v>
      </x:c>
    </x:row>
    <x:row r="456">
      <x:c r="A456" t="str">
        <x:v>cerebro</x:v>
      </x:c>
      <x:c r="B456" t="str">
        <x:v>mapo resó</x:v>
      </x:c>
      <x:c r="C456" t="str">
        <x:v>c</x:v>
      </x:c>
      <x:c r="D456" t="str">
        <x:v>g94a5422d-59a2-442e-b10a-58144560f6a5</x:v>
      </x:c>
      <x:c r="E456" t="str">
        <x:v>gf5f4dc73-814a-4f00-983c-2411df50c17c</x:v>
      </x:c>
      <x:c r="F456" t="str">
        <x:v>https://www.webonary.org/marubo/gf5f4dc73-814a-4f00-983c-2411df50c17c/</x:v>
      </x:c>
      <x:c r="G456" s="20" t="n">
        <x:v>46003.93479946759</x:v>
      </x:c>
    </x:row>
    <x:row r="457">
      <x:c r="A457" t="str">
        <x:v>ceremonio quando criaça morreu</x:v>
      </x:c>
      <x:c r="B457" t="str">
        <x:v>wacha</x:v>
      </x:c>
      <x:c r="C457" t="str">
        <x:v>c</x:v>
      </x:c>
      <x:c r="D457" t="str">
        <x:v>g95038108-7366-4981-996f-54e85507e768</x:v>
      </x:c>
      <x:c r="E457" t="str">
        <x:v>g7d3169ee-2c30-468f-be99-19127330fff6</x:v>
      </x:c>
      <x:c r="F457" t="str">
        <x:v>https://www.webonary.org/marubo/g7d3169ee-2c30-468f-be99-19127330fff6/</x:v>
      </x:c>
      <x:c r="G457" s="20" t="n">
        <x:v>46003.93479946759</x:v>
      </x:c>
    </x:row>
    <x:row r="458">
      <x:c r="A458" t="str">
        <x:v>certeza</x:v>
      </x:c>
      <x:c r="B458" t="str">
        <x:v>-visi</x:v>
      </x:c>
      <x:c r="C458" t="str">
        <x:v>c</x:v>
      </x:c>
      <x:c r="D458" t="str">
        <x:v>g1b3bb6e4-5908-4d97-9bea-6ef93f0cc9cc</x:v>
      </x:c>
      <x:c r="E458" t="str">
        <x:v>g29cb6fac-1ebb-4b9d-8427-fd34f99976d4</x:v>
      </x:c>
      <x:c r="F458" t="str">
        <x:v>https://www.webonary.org/marubo/g29cb6fac-1ebb-4b9d-8427-fd34f99976d4/</x:v>
      </x:c>
      <x:c r="G458" s="20" t="n">
        <x:v>46003.93479946759</x:v>
      </x:c>
    </x:row>
    <x:row r="459">
      <x:c r="A459" t="str">
        <x:v>cesto</x:v>
      </x:c>
      <x:c r="B459" t="str">
        <x:v>txitxã</x:v>
      </x:c>
      <x:c r="C459" t="str">
        <x:v>c</x:v>
      </x:c>
      <x:c r="D459" t="str">
        <x:v>g7b46e842-33fb-4431-9eaa-a772321254ab</x:v>
      </x:c>
      <x:c r="E459" t="str">
        <x:v>gf011e366-68f4-4ce6-a807-500589fc9363</x:v>
      </x:c>
      <x:c r="F459" t="str">
        <x:v>https://www.webonary.org/marubo/gf011e366-68f4-4ce6-a807-500589fc9363/</x:v>
      </x:c>
      <x:c r="G459" s="20" t="n">
        <x:v>46003.93479946759</x:v>
      </x:c>
    </x:row>
    <x:row r="460">
      <x:c r="A460" t="str">
        <x:v>cesto</x:v>
      </x:c>
      <x:c r="B460" t="str">
        <x:v>kokí</x:v>
      </x:c>
      <x:c r="C460" t="str">
        <x:v>c</x:v>
      </x:c>
      <x:c r="D460" t="str">
        <x:v>g7b46e842-33fb-4431-9eaa-a772321254ab</x:v>
      </x:c>
      <x:c r="E460" t="str">
        <x:v>g2e8760f7-0d27-4163-8282-f3fe3c2dcc81</x:v>
      </x:c>
      <x:c r="F460" t="str">
        <x:v>https://www.webonary.org/marubo/g2e8760f7-0d27-4163-8282-f3fe3c2dcc81/</x:v>
      </x:c>
      <x:c r="G460" s="20" t="n">
        <x:v>46003.93479946759</x:v>
      </x:c>
    </x:row>
    <x:row r="461">
      <x:c r="A461" t="str">
        <x:v>céu</x:v>
      </x:c>
      <x:c r="B461" t="str">
        <x:v>nai</x:v>
      </x:c>
      <x:c r="C461" t="str">
        <x:v>c</x:v>
      </x:c>
      <x:c r="D461" t="str">
        <x:v>gb0f0ebfe-fd0e-4ef5-82f6-3e056cef10fe</x:v>
      </x:c>
      <x:c r="E461" t="str">
        <x:v>g970f89d5-7238-472e-a300-bde3f66a5786</x:v>
      </x:c>
      <x:c r="F461" t="str">
        <x:v>https://www.webonary.org/marubo/g970f89d5-7238-472e-a300-bde3f66a5786/</x:v>
      </x:c>
      <x:c r="G461" s="20" t="n">
        <x:v>46003.93479946759</x:v>
      </x:c>
    </x:row>
    <x:row r="462">
      <x:c r="A462" t="str">
        <x:v>céu coberto</x:v>
      </x:c>
      <x:c r="B462" t="str">
        <x:v>nai veshtaka</x:v>
      </x:c>
      <x:c r="C462" t="str">
        <x:v>c</x:v>
      </x:c>
      <x:c r="D462" t="str">
        <x:v>g969a0bba-8ec2-46b1-b6bf-bc4a61ca4b63</x:v>
      </x:c>
      <x:c r="E462" t="str">
        <x:v>gc163cff8-a7f6-4212-a28b-5f9b3aaf4175</x:v>
      </x:c>
      <x:c r="F462" t="str">
        <x:v>https://www.webonary.org/marubo/gc163cff8-a7f6-4212-a28b-5f9b3aaf4175/</x:v>
      </x:c>
      <x:c r="G462" s="20" t="n">
        <x:v>46003.93479946759</x:v>
      </x:c>
    </x:row>
    <x:row r="463">
      <x:c r="A463" t="str">
        <x:v>céu coberto</x:v>
      </x:c>
      <x:c r="B463" t="str">
        <x:v>nai veika</x:v>
      </x:c>
      <x:c r="C463" t="str">
        <x:v>c</x:v>
      </x:c>
      <x:c r="D463" t="str">
        <x:v>g969a0bba-8ec2-46b1-b6bf-bc4a61ca4b63</x:v>
      </x:c>
      <x:c r="E463" t="str">
        <x:v>gefbd138f-f27a-48b5-a66f-085547521343</x:v>
      </x:c>
      <x:c r="F463" t="str">
        <x:v>https://www.webonary.org/marubo/gefbd138f-f27a-48b5-a66f-085547521343/</x:v>
      </x:c>
      <x:c r="G463" s="20" t="n">
        <x:v>46003.93479946759</x:v>
      </x:c>
    </x:row>
    <x:row r="464">
      <x:c r="A464" t="str">
        <x:v>céu pronto para chover</x:v>
      </x:c>
      <x:c r="B464" t="str">
        <x:v>veshtaka</x:v>
      </x:c>
      <x:c r="C464" t="str">
        <x:v>c</x:v>
      </x:c>
      <x:c r="D464" t="str">
        <x:v>g59edecf9-dd93-4150-b325-f39642735c6f</x:v>
      </x:c>
      <x:c r="E464" t="str">
        <x:v>gee621ab2-5686-435f-8820-d84f080e74db</x:v>
      </x:c>
      <x:c r="F464" t="str">
        <x:v>https://www.webonary.org/marubo/gee621ab2-5686-435f-8820-d84f080e74db/</x:v>
      </x:c>
      <x:c r="G464" s="20" t="n">
        <x:v>46003.93479946759</x:v>
      </x:c>
    </x:row>
    <x:row r="465">
      <x:c r="A465" t="str">
        <x:v>chacoalhar</x:v>
      </x:c>
      <x:c r="B465" t="str">
        <x:v>shaiashaia aká</x:v>
      </x:c>
      <x:c r="C465" t="str">
        <x:v>c</x:v>
      </x:c>
      <x:c r="D465" t="str">
        <x:v>g60e7f844-eb35-423d-b7a3-c84205335c5c</x:v>
      </x:c>
      <x:c r="E465" t="str">
        <x:v>g53d83172-870a-4ab5-a856-fefa6d793560</x:v>
      </x:c>
      <x:c r="F465" t="str">
        <x:v>https://www.webonary.org/marubo/g53d83172-870a-4ab5-a856-fefa6d793560/</x:v>
      </x:c>
      <x:c r="G465" s="20" t="n">
        <x:v>46003.93479946759</x:v>
      </x:c>
    </x:row>
    <x:row r="466">
      <x:c r="A466" t="str">
        <x:v>chamado de grito</x:v>
      </x:c>
      <x:c r="B466" t="str">
        <x:v>paa ikí</x:v>
      </x:c>
      <x:c r="C466" t="str">
        <x:v>c</x:v>
      </x:c>
      <x:c r="D466" t="str">
        <x:v>g46b67883-0d16-4686-b8db-f568f76799d3</x:v>
      </x:c>
      <x:c r="E466" t="str">
        <x:v>gc69a81b1-36ea-48ea-9db5-f83689789849</x:v>
      </x:c>
      <x:c r="F466" t="str">
        <x:v>https://www.webonary.org/marubo/gc69a81b1-36ea-48ea-9db5-f83689789849/</x:v>
      </x:c>
      <x:c r="G466" s="20" t="n">
        <x:v>46003.93479946759</x:v>
      </x:c>
    </x:row>
    <x:row r="467">
      <x:c r="A467" t="str">
        <x:v>chamar</x:v>
      </x:c>
      <x:c r="B467" t="str">
        <x:v>kená</x:v>
      </x:c>
      <x:c r="C467" t="str">
        <x:v>c</x:v>
      </x:c>
      <x:c r="D467" t="str">
        <x:v>g14875e83-5113-4bd4-9406-ccd76f26e962</x:v>
      </x:c>
      <x:c r="E467" t="str">
        <x:v>gc9bf3215-f098-4690-b9d7-c393cfd8266d</x:v>
      </x:c>
      <x:c r="F467" t="str">
        <x:v>https://www.webonary.org/marubo/gc9bf3215-f098-4690-b9d7-c393cfd8266d/</x:v>
      </x:c>
      <x:c r="G467" s="20" t="n">
        <x:v>46003.93479946759</x:v>
      </x:c>
    </x:row>
    <x:row r="468">
      <x:c r="A468" t="str">
        <x:v>chamar com grito</x:v>
      </x:c>
      <x:c r="B468" t="str">
        <x:v>paa aká</x:v>
      </x:c>
      <x:c r="C468" t="str">
        <x:v>c</x:v>
      </x:c>
      <x:c r="D468" t="str">
        <x:v>g6978a437-915a-4659-88ba-79a554ead1cd</x:v>
      </x:c>
      <x:c r="E468" t="str">
        <x:v>gd5d0e72f-28dd-4268-9d05-dd5863446f9f</x:v>
      </x:c>
      <x:c r="F468" t="str">
        <x:v>https://www.webonary.org/marubo/gd5d0e72f-28dd-4268-9d05-dd5863446f9f/</x:v>
      </x:c>
      <x:c r="G468" s="20" t="n">
        <x:v>46003.93479946759</x:v>
      </x:c>
    </x:row>
    <x:row r="469">
      <x:c r="A469" t="str">
        <x:v>chapeu</x:v>
      </x:c>
      <x:c r="B469" t="str">
        <x:v>maiti</x:v>
      </x:c>
      <x:c r="C469" t="str">
        <x:v>c</x:v>
      </x:c>
      <x:c r="D469" t="str">
        <x:v>gb797584f-05e2-403b-baf8-34d0cf2ca1a9</x:v>
      </x:c>
      <x:c r="E469" t="str">
        <x:v>g63cf3836-efe2-4fe5-a5d6-b1bdb91092f6</x:v>
      </x:c>
      <x:c r="F469" t="str">
        <x:v>https://www.webonary.org/marubo/g63cf3836-efe2-4fe5-a5d6-b1bdb91092f6/</x:v>
      </x:c>
      <x:c r="G469" s="20" t="n">
        <x:v>46003.93479946759</x:v>
      </x:c>
    </x:row>
    <x:row r="470">
      <x:c r="A470" t="str">
        <x:v>chapeu de palha</x:v>
      </x:c>
      <x:c r="B470" t="str">
        <x:v>txitxã maiti</x:v>
      </x:c>
      <x:c r="C470" t="str">
        <x:v>c</x:v>
      </x:c>
      <x:c r="D470" t="str">
        <x:v>g162cedb0-5be1-465d-ae3c-69161bb7b87c</x:v>
      </x:c>
      <x:c r="E470" t="str">
        <x:v>g5abe0394-aaa4-4211-a2fd-855f5120636b</x:v>
      </x:c>
      <x:c r="F470" t="str">
        <x:v>https://www.webonary.org/marubo/g5abe0394-aaa4-4211-a2fd-855f5120636b/</x:v>
      </x:c>
      <x:c r="G470" s="20" t="n">
        <x:v>46003.93479946759</x:v>
      </x:c>
    </x:row>
    <x:row r="471">
      <x:c r="A471" t="str">
        <x:v>chave</x:v>
      </x:c>
      <x:c r="B471" t="str">
        <x:v>yavi</x:v>
      </x:c>
      <x:c r="C471" t="str">
        <x:v>c</x:v>
      </x:c>
      <x:c r="D471" t="str">
        <x:v>g80cd7241-98d1-492a-ba04-dadd3ca534b5</x:v>
      </x:c>
      <x:c r="E471" t="str">
        <x:v>g70e6a368-cd55-4f38-923f-440017d4b47e</x:v>
      </x:c>
      <x:c r="F471" t="str">
        <x:v>https://www.webonary.org/marubo/g70e6a368-cd55-4f38-923f-440017d4b47e/</x:v>
      </x:c>
      <x:c r="G471" s="20" t="n">
        <x:v>46003.93479946759</x:v>
      </x:c>
    </x:row>
    <x:row r="472">
      <x:c r="A472" t="str">
        <x:v>chefe</x:v>
      </x:c>
      <x:c r="B472" t="str">
        <x:v>kakáya</x:v>
      </x:c>
      <x:c r="C472" t="str">
        <x:v>c</x:v>
      </x:c>
      <x:c r="D472" t="str">
        <x:v>gf03479f7-b0b3-467b-b17b-4a774ab65afb</x:v>
      </x:c>
      <x:c r="E472" t="str">
        <x:v>g6d224a23-a109-465d-aa7e-4a85b88b0d81</x:v>
      </x:c>
      <x:c r="F472" t="str">
        <x:v>https://www.webonary.org/marubo/g6d224a23-a109-465d-aa7e-4a85b88b0d81/</x:v>
      </x:c>
      <x:c r="G472" s="20" t="n">
        <x:v>46003.93479946759</x:v>
      </x:c>
    </x:row>
    <x:row r="473">
      <x:c r="A473" t="str">
        <x:v>chegar</x:v>
      </x:c>
      <x:c r="B473" t="str">
        <x:v>nokoa</x:v>
      </x:c>
      <x:c r="C473" t="str">
        <x:v>c</x:v>
      </x:c>
      <x:c r="D473" t="str">
        <x:v>ged6769fd-5ca2-4d64-90e6-521f527e4c97</x:v>
      </x:c>
      <x:c r="E473" t="str">
        <x:v>gba8c5d8f-a91b-4054-b0bd-6af3fb4f34d7</x:v>
      </x:c>
      <x:c r="F473" t="str">
        <x:v>https://www.webonary.org/marubo/gba8c5d8f-a91b-4054-b0bd-6af3fb4f34d7/</x:v>
      </x:c>
      <x:c r="G473" s="20" t="n">
        <x:v>46003.93479946759</x:v>
      </x:c>
    </x:row>
    <x:row r="474">
      <x:c r="A474" t="str">
        <x:v>chegar perto</x:v>
      </x:c>
      <x:c r="B474" t="str">
        <x:v>oma</x:v>
      </x:c>
      <x:c r="C474" t="str">
        <x:v>c</x:v>
      </x:c>
      <x:c r="D474" t="str">
        <x:v>g9b107a20-7d16-4ed4-acb4-77312ff89614</x:v>
      </x:c>
      <x:c r="E474" t="str">
        <x:v>gaa0d34be-61f2-4969-bf53-c3630dc76dcb</x:v>
      </x:c>
      <x:c r="F474" t="str">
        <x:v>https://www.webonary.org/marubo/gaa0d34be-61f2-4969-bf53-c3630dc76dcb/</x:v>
      </x:c>
      <x:c r="G474" s="20" t="n">
        <x:v>46003.93479946759</x:v>
      </x:c>
    </x:row>
    <x:row r="475">
      <x:c r="A475" t="str">
        <x:v>chegar perto</x:v>
      </x:c>
      <x:c r="B475" t="str">
        <x:v>1</x:v>
      </x:c>
      <x:c r="C475" t="str">
        <x:v>c</x:v>
      </x:c>
      <x:c r="D475" t="str">
        <x:v>g9b107a20-7d16-4ed4-acb4-77312ff89614</x:v>
      </x:c>
      <x:c r="E475" t="str">
        <x:v>gaa0d34be-61f2-4969-bf53-c3630dc76dcb</x:v>
      </x:c>
      <x:c r="F475" t="str">
        <x:v>https://www.webonary.org/marubo/gaa0d34be-61f2-4969-bf53-c3630dc76dcb/</x:v>
      </x:c>
      <x:c r="G475" s="20" t="n">
        <x:v>46003.93479946759</x:v>
      </x:c>
    </x:row>
    <x:row r="476">
      <x:c r="A476" t="str">
        <x:v>cheio</x:v>
      </x:c>
      <x:c r="B476" t="str">
        <x:v>votseka</x:v>
      </x:c>
      <x:c r="C476" t="str">
        <x:v>c</x:v>
      </x:c>
      <x:c r="D476" t="str">
        <x:v>g27b33449-1e6b-4a03-a3d2-97542300fa9b</x:v>
      </x:c>
      <x:c r="E476" t="str">
        <x:v>g13e14b34-bd00-4962-ad24-b1a8017e2d02</x:v>
      </x:c>
      <x:c r="F476" t="str">
        <x:v>https://www.webonary.org/marubo/g13e14b34-bd00-4962-ad24-b1a8017e2d02/</x:v>
      </x:c>
      <x:c r="G476" s="20" t="n">
        <x:v>46003.93479946759</x:v>
      </x:c>
    </x:row>
    <x:row r="477">
      <x:c r="A477" t="str">
        <x:v>cheio</x:v>
      </x:c>
      <x:c r="B477" t="str">
        <x:v>matáka</x:v>
      </x:c>
      <x:c r="C477" t="str">
        <x:v>c</x:v>
      </x:c>
      <x:c r="D477" t="str">
        <x:v>g27b33449-1e6b-4a03-a3d2-97542300fa9b</x:v>
      </x:c>
      <x:c r="E477" t="str">
        <x:v>g4dc11fcc-95d1-4778-90b2-f29daa7f9b1b</x:v>
      </x:c>
      <x:c r="F477" t="str">
        <x:v>https://www.webonary.org/marubo/g4dc11fcc-95d1-4778-90b2-f29daa7f9b1b/</x:v>
      </x:c>
      <x:c r="G477" s="20" t="n">
        <x:v>46003.93479946759</x:v>
      </x:c>
    </x:row>
    <x:row r="478">
      <x:c r="A478" t="str">
        <x:v>cheio de buraco</x:v>
      </x:c>
      <x:c r="B478" t="str">
        <x:v>õsaka</x:v>
      </x:c>
      <x:c r="C478" t="str">
        <x:v>c</x:v>
      </x:c>
      <x:c r="D478" t="str">
        <x:v>g19bafecf-aa55-4660-a483-fb931fdb070b</x:v>
      </x:c>
      <x:c r="E478" t="str">
        <x:v>gc3b339b5-8d0b-425b-b060-3b557863c247</x:v>
      </x:c>
      <x:c r="F478" t="str">
        <x:v>https://www.webonary.org/marubo/gc3b339b5-8d0b-425b-b060-3b557863c247/</x:v>
      </x:c>
      <x:c r="G478" s="20" t="n">
        <x:v>46003.93479946759</x:v>
      </x:c>
    </x:row>
    <x:row r="479">
      <x:c r="A479" t="str">
        <x:v>cheio de caroço</x:v>
      </x:c>
      <x:c r="B479" t="str">
        <x:v>txoréshka</x:v>
      </x:c>
      <x:c r="C479" t="str">
        <x:v>c</x:v>
      </x:c>
      <x:c r="D479" t="str">
        <x:v>g8c4d7088-1990-45a9-920e-453d4057e1fa</x:v>
      </x:c>
      <x:c r="E479" t="str">
        <x:v>ge9d401c0-072f-433a-aabd-31ffa57b5cb2</x:v>
      </x:c>
      <x:c r="F479" t="str">
        <x:v>https://www.webonary.org/marubo/ge9d401c0-072f-433a-aabd-31ffa57b5cb2/</x:v>
      </x:c>
      <x:c r="G479" s="20" t="n">
        <x:v>46003.93479946759</x:v>
      </x:c>
    </x:row>
    <x:row r="480">
      <x:c r="A480" t="str">
        <x:v>cheio de nó</x:v>
      </x:c>
      <x:c r="B480" t="str">
        <x:v>txoreka</x:v>
      </x:c>
      <x:c r="C480" t="str">
        <x:v>c</x:v>
      </x:c>
      <x:c r="D480" t="str">
        <x:v>g683c80f1-acff-449c-98cc-35a2f4bef8ec</x:v>
      </x:c>
      <x:c r="E480" t="str">
        <x:v>g1c44d20d-8bdc-46db-96d8-ad4292fc10b3</x:v>
      </x:c>
      <x:c r="F480" t="str">
        <x:v>https://www.webonary.org/marubo/g1c44d20d-8bdc-46db-96d8-ad4292fc10b3/</x:v>
      </x:c>
      <x:c r="G480" s="20" t="n">
        <x:v>46003.93479946759</x:v>
      </x:c>
    </x:row>
    <x:row r="481">
      <x:c r="A481" t="str">
        <x:v>cheirar</x:v>
      </x:c>
      <x:c r="B481" t="str">
        <x:v>shetea</x:v>
      </x:c>
      <x:c r="C481" t="str">
        <x:v>c</x:v>
      </x:c>
      <x:c r="D481" t="str">
        <x:v>g73824ac8-3b51-4ee1-9b7b-ce050db4b0da</x:v>
      </x:c>
      <x:c r="E481" t="str">
        <x:v>g27949870-1382-493f-8302-f1ba389239e0</x:v>
      </x:c>
      <x:c r="F481" t="str">
        <x:v>https://www.webonary.org/marubo/g27949870-1382-493f-8302-f1ba389239e0/</x:v>
      </x:c>
      <x:c r="G481" s="20" t="n">
        <x:v>46003.93479946759</x:v>
      </x:c>
    </x:row>
    <x:row r="482">
      <x:c r="A482" t="str">
        <x:v>cheiro de urina</x:v>
      </x:c>
      <x:c r="B482" t="str">
        <x:v>ketxoka</x:v>
      </x:c>
      <x:c r="C482" t="str">
        <x:v>c</x:v>
      </x:c>
      <x:c r="D482" t="str">
        <x:v>g7b23010c-cebc-449e-9f9d-df394414ef76</x:v>
      </x:c>
      <x:c r="E482" t="str">
        <x:v>g791e3065-0e04-43b4-91a2-3ae5cd96af32</x:v>
      </x:c>
      <x:c r="F482" t="str">
        <x:v>https://www.webonary.org/marubo/g791e3065-0e04-43b4-91a2-3ae5cd96af32/</x:v>
      </x:c>
      <x:c r="G482" s="20" t="n">
        <x:v>46003.93479946759</x:v>
      </x:c>
    </x:row>
    <x:row r="483">
      <x:c r="A483" t="str">
        <x:v>cheiro depois de trabalhar no sol</x:v>
      </x:c>
      <x:c r="B483" t="str">
        <x:v>vari itsa</x:v>
      </x:c>
      <x:c r="C483" t="str">
        <x:v>c</x:v>
      </x:c>
      <x:c r="D483" t="str">
        <x:v>gc7620ac1-4f3a-47ad-85f1-67399ccd7be0</x:v>
      </x:c>
      <x:c r="E483" t="str">
        <x:v>g08a88835-22f3-4fe6-9142-19f217aaa12e</x:v>
      </x:c>
      <x:c r="F483" t="str">
        <x:v>https://www.webonary.org/marubo/g08a88835-22f3-4fe6-9142-19f217aaa12e/</x:v>
      </x:c>
      <x:c r="G483" s="20" t="n">
        <x:v>46003.93479946759</x:v>
      </x:c>
    </x:row>
    <x:row r="484">
      <x:c r="A484" t="str">
        <x:v>cheiro forte</x:v>
      </x:c>
      <x:c r="B484" t="str">
        <x:v>itsaka</x:v>
      </x:c>
      <x:c r="C484" t="str">
        <x:v>c</x:v>
      </x:c>
      <x:c r="D484" t="str">
        <x:v>g3bf675cc-a630-45c5-ac4c-ac8eb8e771ab</x:v>
      </x:c>
      <x:c r="E484" t="str">
        <x:v>gc48d9929-6c59-4fe9-933d-46fb51339a8d</x:v>
      </x:c>
      <x:c r="F484" t="str">
        <x:v>https://www.webonary.org/marubo/gc48d9929-6c59-4fe9-933d-46fb51339a8d/</x:v>
      </x:c>
      <x:c r="G484" s="20" t="n">
        <x:v>46003.93479946759</x:v>
      </x:c>
    </x:row>
    <x:row r="485">
      <x:c r="A485" t="str">
        <x:v>cheiro forte</x:v>
      </x:c>
      <x:c r="B485" t="str">
        <x:v>itsa</x:v>
      </x:c>
      <x:c r="C485" t="str">
        <x:v>c</x:v>
      </x:c>
      <x:c r="D485" t="str">
        <x:v>g3bf675cc-a630-45c5-ac4c-ac8eb8e771ab</x:v>
      </x:c>
      <x:c r="E485" t="str">
        <x:v>g5d051f01-5c60-4a1a-8e80-b56774d1a6d2</x:v>
      </x:c>
      <x:c r="F485" t="str">
        <x:v>https://www.webonary.org/marubo/g5d051f01-5c60-4a1a-8e80-b56774d1a6d2/</x:v>
      </x:c>
      <x:c r="G485" s="20" t="n">
        <x:v>46003.93479946759</x:v>
      </x:c>
    </x:row>
    <x:row r="486">
      <x:c r="A486" t="str">
        <x:v>cheiro forte</x:v>
      </x:c>
      <x:c r="B486" t="str">
        <x:v>2</x:v>
      </x:c>
      <x:c r="C486" t="str">
        <x:v>c</x:v>
      </x:c>
      <x:c r="D486" t="str">
        <x:v>g3bf675cc-a630-45c5-ac4c-ac8eb8e771ab</x:v>
      </x:c>
      <x:c r="E486" t="str">
        <x:v>g5d051f01-5c60-4a1a-8e80-b56774d1a6d2</x:v>
      </x:c>
      <x:c r="F486" t="str">
        <x:v>https://www.webonary.org/marubo/g5d051f01-5c60-4a1a-8e80-b56774d1a6d2/</x:v>
      </x:c>
      <x:c r="G486" s="20" t="n">
        <x:v>46003.93479946759</x:v>
      </x:c>
    </x:row>
    <x:row r="487">
      <x:c r="A487" t="str">
        <x:v>cheiroso</x:v>
      </x:c>
      <x:c r="B487" t="str">
        <x:v>inĩka</x:v>
      </x:c>
      <x:c r="C487" t="str">
        <x:v>c</x:v>
      </x:c>
      <x:c r="D487" t="str">
        <x:v>g35b4635e-0dc4-43f7-9676-55c24c25c20f</x:v>
      </x:c>
      <x:c r="E487" t="str">
        <x:v>g27fafb7d-0433-4322-b446-88880c13b377</x:v>
      </x:c>
      <x:c r="F487" t="str">
        <x:v>https://www.webonary.org/marubo/g27fafb7d-0433-4322-b446-88880c13b377/</x:v>
      </x:c>
      <x:c r="G487" s="20" t="n">
        <x:v>46003.93479946759</x:v>
      </x:c>
    </x:row>
    <x:row r="488">
      <x:c r="A488" t="str">
        <x:v>chifre</x:v>
      </x:c>
      <x:c r="B488" t="str">
        <x:v>mãsho</x:v>
      </x:c>
      <x:c r="C488" t="str">
        <x:v>c</x:v>
      </x:c>
      <x:c r="D488" t="str">
        <x:v>g99496378-d889-43f8-9af1-2dffce2fdb47</x:v>
      </x:c>
      <x:c r="E488" t="str">
        <x:v>gcdc64d93-a5b9-4944-8927-e66f10dadeec</x:v>
      </x:c>
      <x:c r="F488" t="str">
        <x:v>https://www.webonary.org/marubo/gcdc64d93-a5b9-4944-8927-e66f10dadeec/</x:v>
      </x:c>
      <x:c r="G488" s="20" t="n">
        <x:v>46003.93479946759</x:v>
      </x:c>
    </x:row>
    <x:row r="489">
      <x:c r="A489" t="str">
        <x:v>chocalhar</x:v>
      </x:c>
      <x:c r="B489" t="str">
        <x:v>shaasha aká</x:v>
      </x:c>
      <x:c r="C489" t="str">
        <x:v>c</x:v>
      </x:c>
      <x:c r="D489" t="str">
        <x:v>g3276fc73-ad30-46c9-857b-eeaa81230be0</x:v>
      </x:c>
      <x:c r="E489" t="str">
        <x:v>g50b95602-4420-4733-aaeb-8bf4f7e5dc93</x:v>
      </x:c>
      <x:c r="F489" t="str">
        <x:v>https://www.webonary.org/marubo/g50b95602-4420-4733-aaeb-8bf4f7e5dc93/</x:v>
      </x:c>
      <x:c r="G489" s="20" t="n">
        <x:v>46003.93479946759</x:v>
      </x:c>
    </x:row>
    <x:row r="490">
      <x:c r="A490" t="str">
        <x:v>choque na cabeça</x:v>
      </x:c>
      <x:c r="B490" t="str">
        <x:v>vosẽnkẽwa</x:v>
      </x:c>
      <x:c r="C490" t="str">
        <x:v>c</x:v>
      </x:c>
      <x:c r="D490" t="str">
        <x:v>g62593c33-a104-4368-8c64-4dd4935c23a5</x:v>
      </x:c>
      <x:c r="E490" t="str">
        <x:v>g99168169-73b5-4357-a525-76247467ce25</x:v>
      </x:c>
      <x:c r="F490" t="str">
        <x:v>https://www.webonary.org/marubo/g99168169-73b5-4357-a525-76247467ce25/</x:v>
      </x:c>
      <x:c r="G490" s="20" t="n">
        <x:v>46003.93479946759</x:v>
      </x:c>
    </x:row>
    <x:row r="491">
      <x:c r="A491" t="str">
        <x:v>chorar</x:v>
      </x:c>
      <x:c r="B491" t="str">
        <x:v>wai ikí</x:v>
      </x:c>
      <x:c r="C491" t="str">
        <x:v>c</x:v>
      </x:c>
      <x:c r="D491" t="str">
        <x:v>g365ecc6d-3712-45f4-80c2-9bfc14e081e3</x:v>
      </x:c>
      <x:c r="E491" t="str">
        <x:v>g1920b07d-c4d1-4c2f-bb87-b9e4c4dfd1e0</x:v>
      </x:c>
      <x:c r="F491" t="str">
        <x:v>https://www.webonary.org/marubo/g1920b07d-c4d1-4c2f-bb87-b9e4c4dfd1e0/</x:v>
      </x:c>
      <x:c r="G491" s="20" t="n">
        <x:v>46003.93479946759</x:v>
      </x:c>
    </x:row>
    <x:row r="492">
      <x:c r="A492" t="str">
        <x:v>chumbo</x:v>
      </x:c>
      <x:c r="B492" t="str">
        <x:v>mara</x:v>
      </x:c>
      <x:c r="C492" t="str">
        <x:v>c</x:v>
      </x:c>
      <x:c r="D492" t="str">
        <x:v>g388acf36-2b88-43f3-8cc9-fbe67c462a80</x:v>
      </x:c>
      <x:c r="E492" t="str">
        <x:v>g02329b81-ae9c-426b-8f64-09831f0f1a74</x:v>
      </x:c>
      <x:c r="F492" t="str">
        <x:v>https://www.webonary.org/marubo/g02329b81-ae9c-426b-8f64-09831f0f1a74/</x:v>
      </x:c>
      <x:c r="G492" s="20" t="n">
        <x:v>46003.93479946759</x:v>
      </x:c>
    </x:row>
    <x:row r="493">
      <x:c r="A493" t="str">
        <x:v>chupar</x:v>
      </x:c>
      <x:c r="B493" t="str">
        <x:v>tsoo aká</x:v>
      </x:c>
      <x:c r="C493" t="str">
        <x:v>c</x:v>
      </x:c>
      <x:c r="D493" t="str">
        <x:v>gc5ae52e6-44e7-4aab-9ab2-3e9af300699b</x:v>
      </x:c>
      <x:c r="E493" t="str">
        <x:v>gaf3fd3d7-f499-4a81-a2a0-a2b17ddebad5</x:v>
      </x:c>
      <x:c r="F493" t="str">
        <x:v>https://www.webonary.org/marubo/gaf3fd3d7-f499-4a81-a2a0-a2b17ddebad5/</x:v>
      </x:c>
      <x:c r="G493" s="20" t="n">
        <x:v>46003.93479946759</x:v>
      </x:c>
    </x:row>
    <x:row r="494">
      <x:c r="A494" t="str">
        <x:v>chupar</x:v>
      </x:c>
      <x:c r="B494" t="str">
        <x:v>oyóa</x:v>
      </x:c>
      <x:c r="C494" t="str">
        <x:v>c</x:v>
      </x:c>
      <x:c r="D494" t="str">
        <x:v>gc5ae52e6-44e7-4aab-9ab2-3e9af300699b</x:v>
      </x:c>
      <x:c r="E494" t="str">
        <x:v>gb098e55f-46a6-4631-b8d9-f312cc47d52a</x:v>
      </x:c>
      <x:c r="F494" t="str">
        <x:v>https://www.webonary.org/marubo/gb098e55f-46a6-4631-b8d9-f312cc47d52a/</x:v>
      </x:c>
      <x:c r="G494" s="20" t="n">
        <x:v>46003.93479946759</x:v>
      </x:c>
    </x:row>
    <x:row r="495">
      <x:c r="A495" t="str">
        <x:v>chupar</x:v>
      </x:c>
      <x:c r="B495" t="str">
        <x:v>kokoa</x:v>
      </x:c>
      <x:c r="C495" t="str">
        <x:v>c</x:v>
      </x:c>
      <x:c r="D495" t="str">
        <x:v>gc5ae52e6-44e7-4aab-9ab2-3e9af300699b</x:v>
      </x:c>
      <x:c r="E495" t="str">
        <x:v>ge050a821-493b-4d94-ada2-c965ff420e44</x:v>
      </x:c>
      <x:c r="F495" t="str">
        <x:v>https://www.webonary.org/marubo/ge050a821-493b-4d94-ada2-c965ff420e44/</x:v>
      </x:c>
      <x:c r="G495" s="20" t="n">
        <x:v>46003.93479946759</x:v>
      </x:c>
    </x:row>
    <x:row r="496">
      <x:c r="A496" t="str">
        <x:v>chutar</x:v>
      </x:c>
      <x:c r="B496" t="str">
        <x:v>tis aká</x:v>
      </x:c>
      <x:c r="C496" t="str">
        <x:v>c</x:v>
      </x:c>
      <x:c r="D496" t="str">
        <x:v>gea94e934-2789-454d-a905-9b380648fc36</x:v>
      </x:c>
      <x:c r="E496" t="str">
        <x:v>g97c63765-ade1-46cc-8127-22ae60a9ed85</x:v>
      </x:c>
      <x:c r="F496" t="str">
        <x:v>https://www.webonary.org/marubo/g97c63765-ade1-46cc-8127-22ae60a9ed85/</x:v>
      </x:c>
      <x:c r="G496" s="20" t="n">
        <x:v>46003.93479946759</x:v>
      </x:c>
    </x:row>
    <x:row r="497">
      <x:c r="A497" t="str">
        <x:v>chuva</x:v>
      </x:c>
      <x:c r="B497" t="str">
        <x:v>oi</x:v>
      </x:c>
      <x:c r="C497" t="str">
        <x:v>c</x:v>
      </x:c>
      <x:c r="D497" t="str">
        <x:v>gfb016693-a3ec-4bcf-891c-a2ce0d7b0133</x:v>
      </x:c>
      <x:c r="E497" t="str">
        <x:v>g06d3fb35-bfbc-45b8-ae13-814db53e9f02</x:v>
      </x:c>
      <x:c r="F497" t="str">
        <x:v>https://www.webonary.org/marubo/g06d3fb35-bfbc-45b8-ae13-814db53e9f02/</x:v>
      </x:c>
      <x:c r="G497" s="20" t="n">
        <x:v>46003.93479946759</x:v>
      </x:c>
    </x:row>
    <x:row r="498">
      <x:c r="A498" t="str">
        <x:v>chuviscar</x:v>
      </x:c>
      <x:c r="B498" t="str">
        <x:v>oi ase ikí</x:v>
      </x:c>
      <x:c r="C498" t="str">
        <x:v>c</x:v>
      </x:c>
      <x:c r="D498" t="str">
        <x:v>g5b83505f-c414-4045-80dd-d32da8c0eeed</x:v>
      </x:c>
      <x:c r="E498" t="str">
        <x:v>ge536596c-3699-48ad-bdc9-9ffd5e62699e</x:v>
      </x:c>
      <x:c r="F498" t="str">
        <x:v>https://www.webonary.org/marubo/ge536596c-3699-48ad-bdc9-9ffd5e62699e/</x:v>
      </x:c>
      <x:c r="G498" s="20" t="n">
        <x:v>46003.93479946759</x:v>
      </x:c>
    </x:row>
    <x:row r="499">
      <x:c r="A499" t="str">
        <x:v>chuviscar</x:v>
      </x:c>
      <x:c r="B499" t="str">
        <x:v>oi poto ikí</x:v>
      </x:c>
      <x:c r="C499" t="str">
        <x:v>c</x:v>
      </x:c>
      <x:c r="D499" t="str">
        <x:v>g5b83505f-c414-4045-80dd-d32da8c0eeed</x:v>
      </x:c>
      <x:c r="E499" t="str">
        <x:v>gd344f1c7-c249-4fc1-80d3-b101f963830d</x:v>
      </x:c>
      <x:c r="F499" t="str">
        <x:v>https://www.webonary.org/marubo/gd344f1c7-c249-4fc1-80d3-b101f963830d/</x:v>
      </x:c>
      <x:c r="G499" s="20" t="n">
        <x:v>46003.93479946759</x:v>
      </x:c>
    </x:row>
    <x:row r="500">
      <x:c r="A500" t="str">
        <x:v>cidra</x:v>
      </x:c>
      <x:c r="B500" t="str">
        <x:v>rimõ katxaka</x:v>
      </x:c>
      <x:c r="C500" t="str">
        <x:v>c</x:v>
      </x:c>
      <x:c r="D500" t="str">
        <x:v>gdb6eb01a-46c4-406f-a0d5-bd0f06ae7e91</x:v>
      </x:c>
      <x:c r="E500" t="str">
        <x:v>g3122e7ee-f3bb-4d79-8424-a36917619f4f</x:v>
      </x:c>
      <x:c r="F500" t="str">
        <x:v>https://www.webonary.org/marubo/g3122e7ee-f3bb-4d79-8424-a36917619f4f/</x:v>
      </x:c>
      <x:c r="G500" s="20" t="n">
        <x:v>46003.93479946759</x:v>
      </x:c>
    </x:row>
    <x:row r="501">
      <x:c r="A501" t="str">
        <x:v>cigarra</x:v>
      </x:c>
      <x:c r="B501" t="str">
        <x:v>tseo</x:v>
      </x:c>
      <x:c r="C501" t="str">
        <x:v>c</x:v>
      </x:c>
      <x:c r="D501" t="str">
        <x:v>gccbd5ade-57b8-48c6-8519-14046b4e71bd</x:v>
      </x:c>
      <x:c r="E501" t="str">
        <x:v>g7bbb98b9-f143-45a1-bd46-d7b3b4bddbf3</x:v>
      </x:c>
      <x:c r="F501" t="str">
        <x:v>https://www.webonary.org/marubo/g7bbb98b9-f143-45a1-bd46-d7b3b4bddbf3/</x:v>
      </x:c>
      <x:c r="G501" s="20" t="n">
        <x:v>46003.93479946759</x:v>
      </x:c>
    </x:row>
    <x:row r="502">
      <x:c r="A502" t="str">
        <x:v>cigarra</x:v>
      </x:c>
      <x:c r="B502" t="str">
        <x:v>yene</x:v>
      </x:c>
      <x:c r="C502" t="str">
        <x:v>c</x:v>
      </x:c>
      <x:c r="D502" t="str">
        <x:v>gccbd5ade-57b8-48c6-8519-14046b4e71bd</x:v>
      </x:c>
      <x:c r="E502" t="str">
        <x:v>gb23698b0-aea2-4bb7-93c5-3c25c9556379</x:v>
      </x:c>
      <x:c r="F502" t="str">
        <x:v>https://www.webonary.org/marubo/gb23698b0-aea2-4bb7-93c5-3c25c9556379/</x:v>
      </x:c>
      <x:c r="G502" s="20" t="n">
        <x:v>46003.93479946759</x:v>
      </x:c>
    </x:row>
    <x:row r="503">
      <x:c r="A503" t="str">
        <x:v>cílios</x:v>
      </x:c>
      <x:c r="B503" t="str">
        <x:v>vero keshni</x:v>
      </x:c>
      <x:c r="C503" t="str">
        <x:v>c</x:v>
      </x:c>
      <x:c r="D503" t="str">
        <x:v>g50325cf8-0872-4628-967f-da051a4fa719</x:v>
      </x:c>
      <x:c r="E503" t="str">
        <x:v>gab6b487b-73b1-4a59-9d08-548d42cac76f</x:v>
      </x:c>
      <x:c r="F503" t="str">
        <x:v>https://www.webonary.org/marubo/gab6b487b-73b1-4a59-9d08-548d42cac76f/</x:v>
      </x:c>
      <x:c r="G503" s="20" t="n">
        <x:v>46003.93479946759</x:v>
      </x:c>
    </x:row>
    <x:row r="504">
      <x:c r="A504" t="str">
        <x:v>cinza</x:v>
      </x:c>
      <x:c r="B504" t="str">
        <x:v>koroka</x:v>
      </x:c>
      <x:c r="C504" t="str">
        <x:v>c</x:v>
      </x:c>
      <x:c r="D504" t="str">
        <x:v>g026558c2-2581-4c15-92c4-d9ed934ecc01</x:v>
      </x:c>
      <x:c r="E504" t="str">
        <x:v>gea0d204c-ccc4-40e7-9995-5ca6161b080f</x:v>
      </x:c>
      <x:c r="F504" t="str">
        <x:v>https://www.webonary.org/marubo/gea0d204c-ccc4-40e7-9995-5ca6161b080f/</x:v>
      </x:c>
      <x:c r="G504" s="20" t="n">
        <x:v>46003.93479946759</x:v>
      </x:c>
    </x:row>
    <x:row r="505">
      <x:c r="A505" t="str">
        <x:v>cipo titika (see what kind for ako)</x:v>
      </x:c>
      <x:c r="B505" t="str">
        <x:v>ayáshe</x:v>
      </x:c>
      <x:c r="C505" t="str">
        <x:v>c</x:v>
      </x:c>
      <x:c r="D505" t="str">
        <x:v>g32c349c1-e93a-43f8-966d-87642231015e</x:v>
      </x:c>
      <x:c r="E505" t="str">
        <x:v>gbd1df3f3-02a8-40b6-8d98-3b343e0b3a67</x:v>
      </x:c>
      <x:c r="F505" t="str">
        <x:v>https://www.webonary.org/marubo/gbd1df3f3-02a8-40b6-8d98-3b343e0b3a67/</x:v>
      </x:c>
      <x:c r="G505" s="20" t="n">
        <x:v>46003.93479946759</x:v>
      </x:c>
    </x:row>
    <x:row r="506">
      <x:c r="A506" t="str">
        <x:v>clã da onça</x:v>
      </x:c>
      <x:c r="B506" t="str">
        <x:v>inonawavo</x:v>
      </x:c>
      <x:c r="C506" t="str">
        <x:v>c</x:v>
      </x:c>
      <x:c r="D506" t="str">
        <x:v>g629196ea-8efa-4a27-8821-d2449b4cc7b7</x:v>
      </x:c>
      <x:c r="E506" t="str">
        <x:v>g808d7326-0aeb-40b7-8fa9-87d160609aee</x:v>
      </x:c>
      <x:c r="F506" t="str">
        <x:v>https://www.webonary.org/marubo/g808d7326-0aeb-40b7-8fa9-87d160609aee/</x:v>
      </x:c>
      <x:c r="G506" s="20" t="n">
        <x:v>46003.93479946759</x:v>
      </x:c>
    </x:row>
    <x:row r="507">
      <x:c r="A507" t="str">
        <x:v>claro</x:v>
      </x:c>
      <x:c r="B507" t="str">
        <x:v>nevãka</x:v>
      </x:c>
      <x:c r="C507" t="str">
        <x:v>c</x:v>
      </x:c>
      <x:c r="D507" t="str">
        <x:v>ge34bab21-64d2-4b10-be64-101c6ebe4e6e</x:v>
      </x:c>
      <x:c r="E507" t="str">
        <x:v>gd30111cc-e7ae-4ddc-abb0-16ad8970a9c9</x:v>
      </x:c>
      <x:c r="F507" t="str">
        <x:v>https://www.webonary.org/marubo/gd30111cc-e7ae-4ddc-abb0-16ad8970a9c9/</x:v>
      </x:c>
      <x:c r="G507" s="20" t="n">
        <x:v>46003.93479946759</x:v>
      </x:c>
    </x:row>
    <x:row r="508">
      <x:c r="A508" t="str">
        <x:v>clavícula</x:v>
      </x:c>
      <x:c r="B508" t="str">
        <x:v>shawã paiti</x:v>
      </x:c>
      <x:c r="C508" t="str">
        <x:v>c</x:v>
      </x:c>
      <x:c r="D508" t="str">
        <x:v>g3d4ceca3-b493-4a3e-9c19-a1fdea9e0581</x:v>
      </x:c>
      <x:c r="E508" t="str">
        <x:v>gb0bd655c-a31d-4eca-8b26-6531e46728ef</x:v>
      </x:c>
      <x:c r="F508" t="str">
        <x:v>https://www.webonary.org/marubo/gb0bd655c-a31d-4eca-8b26-6531e46728ef/</x:v>
      </x:c>
      <x:c r="G508" s="20" t="n">
        <x:v>46003.93479946759</x:v>
      </x:c>
    </x:row>
    <x:row r="509">
      <x:c r="A509" t="str">
        <x:v>coandu</x:v>
      </x:c>
      <x:c r="B509" t="str">
        <x:v>isa</x:v>
      </x:c>
      <x:c r="C509" t="str">
        <x:v>c</x:v>
      </x:c>
      <x:c r="D509" t="str">
        <x:v>g9be99c90-0ea6-42e1-ad94-f7b5fa659793</x:v>
      </x:c>
      <x:c r="E509" t="str">
        <x:v>g0f9d1d86-bcc7-4069-86c9-3c7ffae4b30e</x:v>
      </x:c>
      <x:c r="F509" t="str">
        <x:v>https://www.webonary.org/marubo/g0f9d1d86-bcc7-4069-86c9-3c7ffae4b30e/</x:v>
      </x:c>
      <x:c r="G509" s="20" t="n">
        <x:v>46003.93479946759</x:v>
      </x:c>
    </x:row>
    <x:row r="510">
      <x:c r="A510" t="str">
        <x:v>coati</x:v>
      </x:c>
      <x:c r="B510" t="str">
        <x:v>chichi</x:v>
      </x:c>
      <x:c r="C510" t="str">
        <x:v>c</x:v>
      </x:c>
      <x:c r="D510" t="str">
        <x:v>g31716020-f2ac-44be-8ad2-28a1d0b027b2</x:v>
      </x:c>
      <x:c r="E510" t="str">
        <x:v>g17ea03a8-4e08-4bd7-805c-b2c58b7e54ca</x:v>
      </x:c>
      <x:c r="F510" t="str">
        <x:v>https://www.webonary.org/marubo/g17ea03a8-4e08-4bd7-805c-b2c58b7e54ca/</x:v>
      </x:c>
      <x:c r="G510" s="20" t="n">
        <x:v>46003.93479946759</x:v>
      </x:c>
    </x:row>
    <x:row r="511">
      <x:c r="A511" t="str">
        <x:v>coati</x:v>
      </x:c>
      <x:c r="B511" t="str">
        <x:v>1</x:v>
      </x:c>
      <x:c r="C511" t="str">
        <x:v>c</x:v>
      </x:c>
      <x:c r="D511" t="str">
        <x:v>g31716020-f2ac-44be-8ad2-28a1d0b027b2</x:v>
      </x:c>
      <x:c r="E511" t="str">
        <x:v>g17ea03a8-4e08-4bd7-805c-b2c58b7e54ca</x:v>
      </x:c>
      <x:c r="F511" t="str">
        <x:v>https://www.webonary.org/marubo/g17ea03a8-4e08-4bd7-805c-b2c58b7e54ca/</x:v>
      </x:c>
      <x:c r="G511" s="20" t="n">
        <x:v>46003.93479946759</x:v>
      </x:c>
    </x:row>
    <x:row r="512">
      <x:c r="A512" t="str">
        <x:v>cobiçar</x:v>
      </x:c>
      <x:c r="B512" t="str">
        <x:v>kẽv aká</x:v>
      </x:c>
      <x:c r="C512" t="str">
        <x:v>c</x:v>
      </x:c>
      <x:c r="D512" t="str">
        <x:v>g4e6ed64f-474c-48af-a829-d19838e4eaa9</x:v>
      </x:c>
      <x:c r="E512" t="str">
        <x:v>g1f706521-e02a-4d5e-8549-ce360322cb0a</x:v>
      </x:c>
      <x:c r="F512" t="str">
        <x:v>https://www.webonary.org/marubo/g1f706521-e02a-4d5e-8549-ce360322cb0a/</x:v>
      </x:c>
      <x:c r="G512" s="20" t="n">
        <x:v>46003.93479946759</x:v>
      </x:c>
    </x:row>
    <x:row r="513">
      <x:c r="A513" t="str">
        <x:v>cobio (fruta plantado)</x:v>
      </x:c>
      <x:c r="B513" t="str">
        <x:v>popó</x:v>
      </x:c>
      <x:c r="C513" t="str">
        <x:v>c</x:v>
      </x:c>
      <x:c r="D513" t="str">
        <x:v>g8e2934db-4087-468f-a96a-ac5d4eba87ce</x:v>
      </x:c>
      <x:c r="E513" t="str">
        <x:v>g329d1e0f-4fdd-4f77-aab6-a341cc2a8173</x:v>
      </x:c>
      <x:c r="F513" t="str">
        <x:v>https://www.webonary.org/marubo/g329d1e0f-4fdd-4f77-aab6-a341cc2a8173/</x:v>
      </x:c>
      <x:c r="G513" s="20" t="n">
        <x:v>46003.93479946759</x:v>
      </x:c>
    </x:row>
    <x:row r="514">
      <x:c r="A514" t="str">
        <x:v>cobra</x:v>
      </x:c>
      <x:c r="B514" t="str">
        <x:v>txashoro</x:v>
      </x:c>
      <x:c r="C514" t="str">
        <x:v>c</x:v>
      </x:c>
      <x:c r="D514" t="str">
        <x:v>g226091bd-2f21-4732-a3ef-47c37ef5d5ba</x:v>
      </x:c>
      <x:c r="E514" t="str">
        <x:v>ge767f9a4-7230-432c-aabe-34dc61415fa2</x:v>
      </x:c>
      <x:c r="F514" t="str">
        <x:v>https://www.webonary.org/marubo/ge767f9a4-7230-432c-aabe-34dc61415fa2/</x:v>
      </x:c>
      <x:c r="G514" s="20" t="n">
        <x:v>46003.934806550926</x:v>
      </x:c>
    </x:row>
    <x:row r="515">
      <x:c r="A515" t="str">
        <x:v>cobra</x:v>
      </x:c>
      <x:c r="B515" t="str">
        <x:v>rono</x:v>
      </x:c>
      <x:c r="C515" t="str">
        <x:v>c</x:v>
      </x:c>
      <x:c r="D515" t="str">
        <x:v>g226091bd-2f21-4732-a3ef-47c37ef5d5ba</x:v>
      </x:c>
      <x:c r="E515" t="str">
        <x:v>g7e6c9d94-6e65-44a4-ab8a-b2c380086123</x:v>
      </x:c>
      <x:c r="F515" t="str">
        <x:v>https://www.webonary.org/marubo/g7e6c9d94-6e65-44a4-ab8a-b2c380086123/</x:v>
      </x:c>
      <x:c r="G515" s="20" t="n">
        <x:v>46003.934806550926</x:v>
      </x:c>
    </x:row>
    <x:row r="516">
      <x:c r="A516" t="str">
        <x:v>cobra</x:v>
      </x:c>
      <x:c r="B516" t="str">
        <x:v>ĩpá</x:v>
      </x:c>
      <x:c r="C516" t="str">
        <x:v>c</x:v>
      </x:c>
      <x:c r="D516" t="str">
        <x:v>g226091bd-2f21-4732-a3ef-47c37ef5d5ba</x:v>
      </x:c>
      <x:c r="E516" t="str">
        <x:v>ga7a92129-fc2b-4134-9e1a-b88d071257bb</x:v>
      </x:c>
      <x:c r="F516" t="str">
        <x:v>https://www.webonary.org/marubo/ga7a92129-fc2b-4134-9e1a-b88d071257bb/</x:v>
      </x:c>
      <x:c r="G516" s="20" t="n">
        <x:v>46003.934806550926</x:v>
      </x:c>
    </x:row>
    <x:row r="517">
      <x:c r="A517" t="str">
        <x:v>cobra</x:v>
      </x:c>
      <x:c r="B517" t="str">
        <x:v>mani rono</x:v>
      </x:c>
      <x:c r="C517" t="str">
        <x:v>c</x:v>
      </x:c>
      <x:c r="D517" t="str">
        <x:v>g226091bd-2f21-4732-a3ef-47c37ef5d5ba</x:v>
      </x:c>
      <x:c r="E517" t="str">
        <x:v>g5d6adb65-20e5-43d7-adb3-9397849df293</x:v>
      </x:c>
      <x:c r="F517" t="str">
        <x:v>https://www.webonary.org/marubo/g5d6adb65-20e5-43d7-adb3-9397849df293/</x:v>
      </x:c>
      <x:c r="G517" s="20" t="n">
        <x:v>46003.934806550926</x:v>
      </x:c>
    </x:row>
    <x:row r="518">
      <x:c r="A518" t="str">
        <x:v>cobra assassina (preta)</x:v>
      </x:c>
      <x:c r="B518" t="str">
        <x:v>yama rono</x:v>
      </x:c>
      <x:c r="C518" t="str">
        <x:v>c</x:v>
      </x:c>
      <x:c r="D518" t="str">
        <x:v>gbfd77c0d-0f3b-4869-983c-b9c0013d761a</x:v>
      </x:c>
      <x:c r="E518" t="str">
        <x:v>g08f0e4a4-2c46-4930-802c-e884bf42ca22</x:v>
      </x:c>
      <x:c r="F518" t="str">
        <x:v>https://www.webonary.org/marubo/g08f0e4a4-2c46-4930-802c-e884bf42ca22/</x:v>
      </x:c>
      <x:c r="G518" s="20" t="n">
        <x:v>46003.934806550926</x:v>
      </x:c>
    </x:row>
    <x:row r="519">
      <x:c r="A519" t="str">
        <x:v>cobra coral</x:v>
      </x:c>
      <x:c r="B519" t="str">
        <x:v>shawã rono</x:v>
      </x:c>
      <x:c r="C519" t="str">
        <x:v>c</x:v>
      </x:c>
      <x:c r="D519" t="str">
        <x:v>g7200ec13-fcd2-471a-bde6-41c3468fa49b</x:v>
      </x:c>
      <x:c r="E519" t="str">
        <x:v>gbd1858e0-9c5f-40ba-9587-1333e94fb334</x:v>
      </x:c>
      <x:c r="F519" t="str">
        <x:v>https://www.webonary.org/marubo/gbd1858e0-9c5f-40ba-9587-1333e94fb334/</x:v>
      </x:c>
      <x:c r="G519" s="20" t="n">
        <x:v>46003.934806550926</x:v>
      </x:c>
    </x:row>
    <x:row r="520">
      <x:c r="A520" t="str">
        <x:v>cobra da arvore</x:v>
      </x:c>
      <x:c r="B520" t="str">
        <x:v>kaya rono</x:v>
      </x:c>
      <x:c r="C520" t="str">
        <x:v>c</x:v>
      </x:c>
      <x:c r="D520" t="str">
        <x:v>ga569e76b-f263-4b4a-8112-d4756ef9b2c6</x:v>
      </x:c>
      <x:c r="E520" t="str">
        <x:v>g4d03cc6d-b8f1-4738-a21c-26355a96746a</x:v>
      </x:c>
      <x:c r="F520" t="str">
        <x:v>https://www.webonary.org/marubo/g4d03cc6d-b8f1-4738-a21c-26355a96746a/</x:v>
      </x:c>
      <x:c r="G520" s="20" t="n">
        <x:v>46003.934806550926</x:v>
      </x:c>
    </x:row>
    <x:row r="521">
      <x:c r="A521" t="str">
        <x:v>cobrir</x:v>
      </x:c>
      <x:c r="B521" t="str">
        <x:v>rakoa</x:v>
      </x:c>
      <x:c r="C521" t="str">
        <x:v>c</x:v>
      </x:c>
      <x:c r="D521" t="str">
        <x:v>g86a54af5-be4b-41aa-b197-bb1ff7d1b9f9</x:v>
      </x:c>
      <x:c r="E521" t="str">
        <x:v>g97c85b17-13a2-44b0-af27-33db21704467</x:v>
      </x:c>
      <x:c r="F521" t="str">
        <x:v>https://www.webonary.org/marubo/g97c85b17-13a2-44b0-af27-33db21704467/</x:v>
      </x:c>
      <x:c r="G521" s="20" t="n">
        <x:v>46003.934806550926</x:v>
      </x:c>
    </x:row>
    <x:row r="522">
      <x:c r="A522" t="str">
        <x:v>cobrir</x:v>
      </x:c>
      <x:c r="B522" t="str">
        <x:v>iwa</x:v>
      </x:c>
      <x:c r="C522" t="str">
        <x:v>c</x:v>
      </x:c>
      <x:c r="D522" t="str">
        <x:v>g86a54af5-be4b-41aa-b197-bb1ff7d1b9f9</x:v>
      </x:c>
      <x:c r="E522" t="str">
        <x:v>g4454ebd2-aa95-4f93-b633-0f409c94156b</x:v>
      </x:c>
      <x:c r="F522" t="str">
        <x:v>https://www.webonary.org/marubo/g4454ebd2-aa95-4f93-b633-0f409c94156b/</x:v>
      </x:c>
      <x:c r="G522" s="20" t="n">
        <x:v>46003.934806550926</x:v>
      </x:c>
    </x:row>
    <x:row r="523">
      <x:c r="A523" t="str">
        <x:v>coçar</x:v>
      </x:c>
      <x:c r="B523" t="str">
        <x:v>torésh ikí</x:v>
      </x:c>
      <x:c r="C523" t="str">
        <x:v>c</x:v>
      </x:c>
      <x:c r="D523" t="str">
        <x:v>g3d751f13-0797-43a9-b336-2b678e59ccb8</x:v>
      </x:c>
      <x:c r="E523" t="str">
        <x:v>ge90fc2aa-d7c5-4914-9d80-b93ffc5369d1</x:v>
      </x:c>
      <x:c r="F523" t="str">
        <x:v>https://www.webonary.org/marubo/ge90fc2aa-d7c5-4914-9d80-b93ffc5369d1/</x:v>
      </x:c>
      <x:c r="G523" s="20" t="n">
        <x:v>46003.934806550926</x:v>
      </x:c>
    </x:row>
    <x:row r="524">
      <x:c r="A524" t="str">
        <x:v>coçar</x:v>
      </x:c>
      <x:c r="B524" t="str">
        <x:v>oá aká</x:v>
      </x:c>
      <x:c r="C524" t="str">
        <x:v>c</x:v>
      </x:c>
      <x:c r="D524" t="str">
        <x:v>g3d751f13-0797-43a9-b336-2b678e59ccb8</x:v>
      </x:c>
      <x:c r="E524" t="str">
        <x:v>g35188511-dab4-4041-84c4-b164a68020ea</x:v>
      </x:c>
      <x:c r="F524" t="str">
        <x:v>https://www.webonary.org/marubo/g35188511-dab4-4041-84c4-b164a68020ea/</x:v>
      </x:c>
      <x:c r="G524" s="20" t="n">
        <x:v>46003.934806550926</x:v>
      </x:c>
    </x:row>
    <x:row r="525">
      <x:c r="A525" t="str">
        <x:v>coçar o ouvido com cotonete (ou grama)</x:v>
      </x:c>
      <x:c r="B525" t="str">
        <x:v>paviróa</x:v>
      </x:c>
      <x:c r="C525" t="str">
        <x:v>c</x:v>
      </x:c>
      <x:c r="D525" t="str">
        <x:v>gee996d4b-500f-4854-be08-d17f035e1b24</x:v>
      </x:c>
      <x:c r="E525" t="str">
        <x:v>g48dadd12-7c6a-440d-b2e6-e4dcd9bae7cc</x:v>
      </x:c>
      <x:c r="F525" t="str">
        <x:v>https://www.webonary.org/marubo/g48dadd12-7c6a-440d-b2e6-e4dcd9bae7cc/</x:v>
      </x:c>
      <x:c r="G525" s="20" t="n">
        <x:v>46003.934806550926</x:v>
      </x:c>
    </x:row>
    <x:row r="526">
      <x:c r="A526" t="str">
        <x:v>côco</x:v>
      </x:c>
      <x:c r="B526" t="str">
        <x:v>koko</x:v>
      </x:c>
      <x:c r="C526" t="str">
        <x:v>c</x:v>
      </x:c>
      <x:c r="D526" t="str">
        <x:v>g045742ae-5309-4931-8a80-2ea856c81c34</x:v>
      </x:c>
      <x:c r="E526" t="str">
        <x:v>g53b2cde1-2931-4ee7-a30c-f3d9c29b94a8</x:v>
      </x:c>
      <x:c r="F526" t="str">
        <x:v>https://www.webonary.org/marubo/g53b2cde1-2931-4ee7-a30c-f3d9c29b94a8/</x:v>
      </x:c>
      <x:c r="G526" s="20" t="n">
        <x:v>46003.934806550926</x:v>
      </x:c>
    </x:row>
    <x:row r="527">
      <x:c r="A527" t="str">
        <x:v>cogumelo</x:v>
      </x:c>
      <x:c r="B527" t="str">
        <x:v>kono</x:v>
      </x:c>
      <x:c r="C527" t="str">
        <x:v>c</x:v>
      </x:c>
      <x:c r="D527" t="str">
        <x:v>g4ba5a336-897f-4c97-9755-82ddd35f012d</x:v>
      </x:c>
      <x:c r="E527" t="str">
        <x:v>gee68fd83-6712-40de-8a37-e6db876c52dd</x:v>
      </x:c>
      <x:c r="F527" t="str">
        <x:v>https://www.webonary.org/marubo/gee68fd83-6712-40de-8a37-e6db876c52dd/</x:v>
      </x:c>
      <x:c r="G527" s="20" t="n">
        <x:v>46003.934806550926</x:v>
      </x:c>
    </x:row>
    <x:row r="528">
      <x:c r="A528" t="str">
        <x:v>coisa</x:v>
      </x:c>
      <x:c r="B528" t="str">
        <x:v>tsoare</x:v>
      </x:c>
      <x:c r="C528" t="str">
        <x:v>c</x:v>
      </x:c>
      <x:c r="D528" t="str">
        <x:v>gad3c8542-367b-4d44-8173-91e799f45360</x:v>
      </x:c>
      <x:c r="E528" t="str">
        <x:v>g077ac504-c166-44e5-84e5-338adb4b95ca</x:v>
      </x:c>
      <x:c r="F528" t="str">
        <x:v>https://www.webonary.org/marubo/g077ac504-c166-44e5-84e5-338adb4b95ca/</x:v>
      </x:c>
      <x:c r="G528" s="20" t="n">
        <x:v>46003.934806550926</x:v>
      </x:c>
    </x:row>
    <x:row r="529">
      <x:c r="A529" t="str">
        <x:v>coisas materias</x:v>
      </x:c>
      <x:c r="B529" t="str">
        <x:v>awe</x:v>
      </x:c>
      <x:c r="C529" t="str">
        <x:v>c</x:v>
      </x:c>
      <x:c r="D529" t="str">
        <x:v>g0de6a22f-29bd-434e-8174-50653580492a</x:v>
      </x:c>
      <x:c r="E529" t="str">
        <x:v>g8846aba5-4064-4171-a462-aa55025edd3e</x:v>
      </x:c>
      <x:c r="F529" t="str">
        <x:v>https://www.webonary.org/marubo/g8846aba5-4064-4171-a462-aa55025edd3e/</x:v>
      </x:c>
      <x:c r="G529" s="20" t="n">
        <x:v>46003.934806550926</x:v>
      </x:c>
    </x:row>
    <x:row r="530">
      <x:c r="A530" t="str">
        <x:v>coisas materias</x:v>
      </x:c>
      <x:c r="B530" t="str">
        <x:v>2</x:v>
      </x:c>
      <x:c r="C530" t="str">
        <x:v>c</x:v>
      </x:c>
      <x:c r="D530" t="str">
        <x:v>g0de6a22f-29bd-434e-8174-50653580492a</x:v>
      </x:c>
      <x:c r="E530" t="str">
        <x:v>g8846aba5-4064-4171-a462-aa55025edd3e</x:v>
      </x:c>
      <x:c r="F530" t="str">
        <x:v>https://www.webonary.org/marubo/g8846aba5-4064-4171-a462-aa55025edd3e/</x:v>
      </x:c>
      <x:c r="G530" s="20" t="n">
        <x:v>46003.934806550926</x:v>
      </x:c>
    </x:row>
    <x:row r="531">
      <x:c r="A531" t="str">
        <x:v>coisas passadas</x:v>
      </x:c>
      <x:c r="B531" t="str">
        <x:v>txipokiri</x:v>
      </x:c>
      <x:c r="C531" t="str">
        <x:v>c</x:v>
      </x:c>
      <x:c r="D531" t="str">
        <x:v>g64623223-12fb-498c-879b-b22ab39ffc7e</x:v>
      </x:c>
      <x:c r="E531" t="str">
        <x:v>gf1f5eb58-c61d-48ec-b1a6-a05b229cf71d</x:v>
      </x:c>
      <x:c r="F531" t="str">
        <x:v>https://www.webonary.org/marubo/gf1f5eb58-c61d-48ec-b1a6-a05b229cf71d/</x:v>
      </x:c>
      <x:c r="G531" s="20" t="n">
        <x:v>46003.934806550926</x:v>
      </x:c>
    </x:row>
    <x:row r="532">
      <x:c r="A532" t="str">
        <x:v>coisas redondas caindo</x:v>
      </x:c>
      <x:c r="B532" t="str">
        <x:v>reo kawã</x:v>
      </x:c>
      <x:c r="C532" t="str">
        <x:v>c</x:v>
      </x:c>
      <x:c r="D532" t="str">
        <x:v>gc19d68cb-6fa5-457a-b127-5321092be6a4</x:v>
      </x:c>
      <x:c r="E532" t="str">
        <x:v>ge6ca085e-8264-4abf-be23-dac2b5c2aba0</x:v>
      </x:c>
      <x:c r="F532" t="str">
        <x:v>https://www.webonary.org/marubo/ge6ca085e-8264-4abf-be23-dac2b5c2aba0/</x:v>
      </x:c>
      <x:c r="G532" s="20" t="n">
        <x:v>46003.934806550926</x:v>
      </x:c>
    </x:row>
    <x:row r="533">
      <x:c r="A533" t="str">
        <x:v>colar</x:v>
      </x:c>
      <x:c r="B533" t="str">
        <x:v>tewea</x:v>
      </x:c>
      <x:c r="C533" t="str">
        <x:v>c</x:v>
      </x:c>
      <x:c r="D533" t="str">
        <x:v>g306dd705-c760-46a4-b4d6-cbbdc59d5acb</x:v>
      </x:c>
      <x:c r="E533" t="str">
        <x:v>g7dfe6a56-1507-40be-95dd-349ee2e031a5</x:v>
      </x:c>
      <x:c r="F533" t="str">
        <x:v>https://www.webonary.org/marubo/g7dfe6a56-1507-40be-95dd-349ee2e031a5/</x:v>
      </x:c>
      <x:c r="G533" s="20" t="n">
        <x:v>46003.934806550926</x:v>
      </x:c>
    </x:row>
    <x:row r="534">
      <x:c r="A534" t="str">
        <x:v>colar</x:v>
      </x:c>
      <x:c r="B534" t="str">
        <x:v>tsama</x:v>
      </x:c>
      <x:c r="C534" t="str">
        <x:v>c</x:v>
      </x:c>
      <x:c r="D534" t="str">
        <x:v>g306dd705-c760-46a4-b4d6-cbbdc59d5acb</x:v>
      </x:c>
      <x:c r="E534" t="str">
        <x:v>g9c9bbb2b-0684-4be1-bc30-a98a9230c28e</x:v>
      </x:c>
      <x:c r="F534" t="str">
        <x:v>https://www.webonary.org/marubo/g9c9bbb2b-0684-4be1-bc30-a98a9230c28e/</x:v>
      </x:c>
      <x:c r="G534" s="20" t="n">
        <x:v>46003.934806550926</x:v>
      </x:c>
    </x:row>
    <x:row r="535">
      <x:c r="A535" t="str">
        <x:v>colher</x:v>
      </x:c>
      <x:c r="B535" t="str">
        <x:v>tsano</x:v>
      </x:c>
      <x:c r="C535" t="str">
        <x:v>c</x:v>
      </x:c>
      <x:c r="D535" t="str">
        <x:v>g0fbaaddf-c361-4dea-ba47-9af6c66d2c29</x:v>
      </x:c>
      <x:c r="E535" t="str">
        <x:v>ge1d9ad91-ae82-4eda-9d31-dfbb0a751e09</x:v>
      </x:c>
      <x:c r="F535" t="str">
        <x:v>https://www.webonary.org/marubo/ge1d9ad91-ae82-4eda-9d31-dfbb0a751e09/</x:v>
      </x:c>
      <x:c r="G535" s="20" t="n">
        <x:v>46003.934806550926</x:v>
      </x:c>
    </x:row>
    <x:row r="536">
      <x:c r="A536" t="str">
        <x:v>colher</x:v>
      </x:c>
      <x:c r="B536" t="str">
        <x:v>tova</x:v>
      </x:c>
      <x:c r="C536" t="str">
        <x:v>c</x:v>
      </x:c>
      <x:c r="D536" t="str">
        <x:v>g0fbaaddf-c361-4dea-ba47-9af6c66d2c29</x:v>
      </x:c>
      <x:c r="E536" t="str">
        <x:v>g0ca4f79f-26a0-48d2-81cb-3d77213ac4e4</x:v>
      </x:c>
      <x:c r="F536" t="str">
        <x:v>https://www.webonary.org/marubo/g0ca4f79f-26a0-48d2-81cb-3d77213ac4e4/</x:v>
      </x:c>
      <x:c r="G536" s="20" t="n">
        <x:v>46003.934806550926</x:v>
      </x:c>
    </x:row>
    <x:row r="537">
      <x:c r="A537" t="str">
        <x:v>colher</x:v>
      </x:c>
      <x:c r="B537" t="str">
        <x:v>1</x:v>
      </x:c>
      <x:c r="C537" t="str">
        <x:v>c</x:v>
      </x:c>
      <x:c r="D537" t="str">
        <x:v>g0fbaaddf-c361-4dea-ba47-9af6c66d2c29</x:v>
      </x:c>
      <x:c r="E537" t="str">
        <x:v>g0ca4f79f-26a0-48d2-81cb-3d77213ac4e4</x:v>
      </x:c>
      <x:c r="F537" t="str">
        <x:v>https://www.webonary.org/marubo/g0ca4f79f-26a0-48d2-81cb-3d77213ac4e4/</x:v>
      </x:c>
      <x:c r="G537" s="20" t="n">
        <x:v>46003.934806550926</x:v>
      </x:c>
    </x:row>
    <x:row r="538">
      <x:c r="A538" t="str">
        <x:v>colher</x:v>
      </x:c>
      <x:c r="B538" t="str">
        <x:v>mesha</x:v>
      </x:c>
      <x:c r="C538" t="str">
        <x:v>c</x:v>
      </x:c>
      <x:c r="D538" t="str">
        <x:v>g0fbaaddf-c361-4dea-ba47-9af6c66d2c29</x:v>
      </x:c>
      <x:c r="E538" t="str">
        <x:v>g8ee89cd0-9a3e-4eed-b4d2-a7ad3f4d32e2</x:v>
      </x:c>
      <x:c r="F538" t="str">
        <x:v>https://www.webonary.org/marubo/g8ee89cd0-9a3e-4eed-b4d2-a7ad3f4d32e2/</x:v>
      </x:c>
      <x:c r="G538" s="20" t="n">
        <x:v>46003.934806550926</x:v>
      </x:c>
    </x:row>
    <x:row r="539">
      <x:c r="A539" t="str">
        <x:v>colher</x:v>
      </x:c>
      <x:c r="B539" t="str">
        <x:v>1</x:v>
      </x:c>
      <x:c r="C539" t="str">
        <x:v>c</x:v>
      </x:c>
      <x:c r="D539" t="str">
        <x:v>g0fbaaddf-c361-4dea-ba47-9af6c66d2c29</x:v>
      </x:c>
      <x:c r="E539" t="str">
        <x:v>g8ee89cd0-9a3e-4eed-b4d2-a7ad3f4d32e2</x:v>
      </x:c>
      <x:c r="F539" t="str">
        <x:v>https://www.webonary.org/marubo/g8ee89cd0-9a3e-4eed-b4d2-a7ad3f4d32e2/</x:v>
      </x:c>
      <x:c r="G539" s="20" t="n">
        <x:v>46003.934806550926</x:v>
      </x:c>
    </x:row>
    <x:row r="540">
      <x:c r="A540" t="str">
        <x:v>colocado em cima do fogo</x:v>
      </x:c>
      <x:c r="B540" t="str">
        <x:v>txĩ pãĩ</x:v>
      </x:c>
      <x:c r="C540" t="str">
        <x:v>c</x:v>
      </x:c>
      <x:c r="D540" t="str">
        <x:v>g2752864d-74c7-4e85-ab6b-69e891831c0b</x:v>
      </x:c>
      <x:c r="E540" t="str">
        <x:v>g649ca9e3-8707-4ffb-855b-15ece506ee04</x:v>
      </x:c>
      <x:c r="F540" t="str">
        <x:v>https://www.webonary.org/marubo/g649ca9e3-8707-4ffb-855b-15ece506ee04/</x:v>
      </x:c>
      <x:c r="G540" s="20" t="n">
        <x:v>46003.934806550926</x:v>
      </x:c>
    </x:row>
    <x:row r="541">
      <x:c r="A541" t="str">
        <x:v>colocar</x:v>
      </x:c>
      <x:c r="B541" t="str">
        <x:v>rakáa</x:v>
      </x:c>
      <x:c r="C541" t="str">
        <x:v>c</x:v>
      </x:c>
      <x:c r="D541" t="str">
        <x:v>g14654f03-39e8-4dad-883c-495b14d9e66d</x:v>
      </x:c>
      <x:c r="E541" t="str">
        <x:v>g35859404-b185-4a30-a236-9944763f6216</x:v>
      </x:c>
      <x:c r="F541" t="str">
        <x:v>https://www.webonary.org/marubo/g35859404-b185-4a30-a236-9944763f6216/</x:v>
      </x:c>
      <x:c r="G541" s="20" t="n">
        <x:v>46003.934806550926</x:v>
      </x:c>
    </x:row>
    <x:row r="542">
      <x:c r="A542" t="str">
        <x:v>colocar</x:v>
      </x:c>
      <x:c r="B542" t="str">
        <x:v>rakã</x:v>
      </x:c>
      <x:c r="C542" t="str">
        <x:v>c</x:v>
      </x:c>
      <x:c r="D542" t="str">
        <x:v>g14654f03-39e8-4dad-883c-495b14d9e66d</x:v>
      </x:c>
      <x:c r="E542" t="str">
        <x:v>ge9d2acf9-599b-4acf-ae04-44ceeea592ca</x:v>
      </x:c>
      <x:c r="F542" t="str">
        <x:v>https://www.webonary.org/marubo/ge9d2acf9-599b-4acf-ae04-44ceeea592ca/</x:v>
      </x:c>
      <x:c r="G542" s="20" t="n">
        <x:v>46003.934806550926</x:v>
      </x:c>
    </x:row>
    <x:row r="543">
      <x:c r="A543" t="str">
        <x:v>colocar água no ouvido</x:v>
      </x:c>
      <x:c r="B543" t="str">
        <x:v>pakósha</x:v>
      </x:c>
      <x:c r="C543" t="str">
        <x:v>c</x:v>
      </x:c>
      <x:c r="D543" t="str">
        <x:v>g570dae0f-dcdd-4e91-a871-d70f8360146a</x:v>
      </x:c>
      <x:c r="E543" t="str">
        <x:v>g8b860c73-8e36-4630-b57e-d7fc47b81f61</x:v>
      </x:c>
      <x:c r="F543" t="str">
        <x:v>https://www.webonary.org/marubo/g8b860c73-8e36-4630-b57e-d7fc47b81f61/</x:v>
      </x:c>
      <x:c r="G543" s="20" t="n">
        <x:v>46003.934806550926</x:v>
      </x:c>
    </x:row>
    <x:row r="544">
      <x:c r="A544" t="str">
        <x:v>colocar dentro</x:v>
      </x:c>
      <x:c r="B544" t="str">
        <x:v>nane</x:v>
      </x:c>
      <x:c r="C544" t="str">
        <x:v>c</x:v>
      </x:c>
      <x:c r="D544" t="str">
        <x:v>g19281fa4-120a-45f1-97c4-e633d9e42f66</x:v>
      </x:c>
      <x:c r="E544" t="str">
        <x:v>gee1fb549-adbd-4672-a0c7-3df52ec67afe</x:v>
      </x:c>
      <x:c r="F544" t="str">
        <x:v>https://www.webonary.org/marubo/gee1fb549-adbd-4672-a0c7-3df52ec67afe/</x:v>
      </x:c>
      <x:c r="G544" s="20" t="n">
        <x:v>46003.934806550926</x:v>
      </x:c>
    </x:row>
    <x:row r="545">
      <x:c r="A545" t="str">
        <x:v>colocar dentro</x:v>
      </x:c>
      <x:c r="B545" t="str">
        <x:v>2</x:v>
      </x:c>
      <x:c r="C545" t="str">
        <x:v>c</x:v>
      </x:c>
      <x:c r="D545" t="str">
        <x:v>g19281fa4-120a-45f1-97c4-e633d9e42f66</x:v>
      </x:c>
      <x:c r="E545" t="str">
        <x:v>gee1fb549-adbd-4672-a0c7-3df52ec67afe</x:v>
      </x:c>
      <x:c r="F545" t="str">
        <x:v>https://www.webonary.org/marubo/gee1fb549-adbd-4672-a0c7-3df52ec67afe/</x:v>
      </x:c>
      <x:c r="G545" s="20" t="n">
        <x:v>46003.934806550926</x:v>
      </x:c>
    </x:row>
    <x:row r="546">
      <x:c r="A546" t="str">
        <x:v>colocar em cima</x:v>
      </x:c>
      <x:c r="B546" t="str">
        <x:v>natxor ikí</x:v>
      </x:c>
      <x:c r="C546" t="str">
        <x:v>c</x:v>
      </x:c>
      <x:c r="D546" t="str">
        <x:v>g61f19509-b33e-437f-94dc-c3462197e83b</x:v>
      </x:c>
      <x:c r="E546" t="str">
        <x:v>gc86e79c0-9043-488c-aec7-cf03cc134d62</x:v>
      </x:c>
      <x:c r="F546" t="str">
        <x:v>https://www.webonary.org/marubo/gc86e79c0-9043-488c-aec7-cf03cc134d62/</x:v>
      </x:c>
      <x:c r="G546" s="20" t="n">
        <x:v>46003.934806550926</x:v>
      </x:c>
    </x:row>
    <x:row r="547">
      <x:c r="A547" t="str">
        <x:v>colocar em fila</x:v>
      </x:c>
      <x:c r="B547" t="str">
        <x:v>veká</x:v>
      </x:c>
      <x:c r="C547" t="str">
        <x:v>c</x:v>
      </x:c>
      <x:c r="D547" t="str">
        <x:v>gf9dafac1-8612-4caa-a292-e37b807bd464</x:v>
      </x:c>
      <x:c r="E547" t="str">
        <x:v>g4dcf7ccd-337b-4abb-b28a-9bb2dc75f0b3</x:v>
      </x:c>
      <x:c r="F547" t="str">
        <x:v>https://www.webonary.org/marubo/g4dcf7ccd-337b-4abb-b28a-9bb2dc75f0b3/</x:v>
      </x:c>
      <x:c r="G547" s="20" t="n">
        <x:v>46003.934806550926</x:v>
      </x:c>
    </x:row>
    <x:row r="548">
      <x:c r="A548" t="str">
        <x:v>colocar na cabeça</x:v>
      </x:c>
      <x:c r="B548" t="str">
        <x:v>matsek ipá</x:v>
      </x:c>
      <x:c r="C548" t="str">
        <x:v>c</x:v>
      </x:c>
      <x:c r="D548" t="str">
        <x:v>ge452f28c-e704-4f74-b314-66b6235776ae</x:v>
      </x:c>
      <x:c r="E548" t="str">
        <x:v>g8ce3fbe9-19db-4336-a646-9a873d6d5f5c</x:v>
      </x:c>
      <x:c r="F548" t="str">
        <x:v>https://www.webonary.org/marubo/g8ce3fbe9-19db-4336-a646-9a873d6d5f5c/</x:v>
      </x:c>
      <x:c r="G548" s="20" t="n">
        <x:v>46003.934806550926</x:v>
      </x:c>
    </x:row>
    <x:row r="549">
      <x:c r="A549" t="str">
        <x:v>colocar na sombra</x:v>
      </x:c>
      <x:c r="B549" t="str">
        <x:v>pãtea</x:v>
      </x:c>
      <x:c r="C549" t="str">
        <x:v>c</x:v>
      </x:c>
      <x:c r="D549" t="str">
        <x:v>g6a1bdca4-7a97-4403-9fac-945538125337</x:v>
      </x:c>
      <x:c r="E549" t="str">
        <x:v>gf8d92dc0-39f8-443d-9a19-eb7a29c4db80</x:v>
      </x:c>
      <x:c r="F549" t="str">
        <x:v>https://www.webonary.org/marubo/gf8d92dc0-39f8-443d-9a19-eb7a29c4db80/</x:v>
      </x:c>
      <x:c r="G549" s="20" t="n">
        <x:v>46003.934806550926</x:v>
      </x:c>
    </x:row>
    <x:row r="550">
      <x:c r="A550" t="str">
        <x:v>colocar no chão</x:v>
      </x:c>
      <x:c r="B550" t="str">
        <x:v>toã aká</x:v>
      </x:c>
      <x:c r="C550" t="str">
        <x:v>c</x:v>
      </x:c>
      <x:c r="D550" t="str">
        <x:v>g8f758b09-c341-4320-bdc5-6d0d0ba9e240</x:v>
      </x:c>
      <x:c r="E550" t="str">
        <x:v>g186fad76-5740-4d9f-afcb-984f54a4721b</x:v>
      </x:c>
      <x:c r="F550" t="str">
        <x:v>https://www.webonary.org/marubo/g186fad76-5740-4d9f-afcb-984f54a4721b/</x:v>
      </x:c>
      <x:c r="G550" s="20" t="n">
        <x:v>46003.934806550926</x:v>
      </x:c>
    </x:row>
    <x:row r="551">
      <x:c r="A551" t="str">
        <x:v>colocar no fogo</x:v>
      </x:c>
      <x:c r="B551" t="str">
        <x:v>paĩa</x:v>
      </x:c>
      <x:c r="C551" t="str">
        <x:v>c</x:v>
      </x:c>
      <x:c r="D551" t="str">
        <x:v>g6258ebc2-0c6a-40d4-aee0-e9579c9a1d94</x:v>
      </x:c>
      <x:c r="E551" t="str">
        <x:v>gcb8935d0-8d3a-4f76-b60d-62cc92e4892c</x:v>
      </x:c>
      <x:c r="F551" t="str">
        <x:v>https://www.webonary.org/marubo/gcb8935d0-8d3a-4f76-b60d-62cc92e4892c/</x:v>
      </x:c>
      <x:c r="G551" s="20" t="n">
        <x:v>46003.934806550926</x:v>
      </x:c>
    </x:row>
    <x:row r="552">
      <x:c r="A552" t="str">
        <x:v>coluna</x:v>
      </x:c>
      <x:c r="B552" t="str">
        <x:v>kasho shao</x:v>
      </x:c>
      <x:c r="C552" t="str">
        <x:v>c</x:v>
      </x:c>
      <x:c r="D552" t="str">
        <x:v>g552b8630-89c4-4be2-9abc-e6b39a5d6de8</x:v>
      </x:c>
      <x:c r="E552" t="str">
        <x:v>ge83cebc0-bfd1-46fe-ada3-1c6c10feae63</x:v>
      </x:c>
      <x:c r="F552" t="str">
        <x:v>https://www.webonary.org/marubo/ge83cebc0-bfd1-46fe-ada3-1c6c10feae63/</x:v>
      </x:c>
      <x:c r="G552" s="20" t="n">
        <x:v>46003.934806550926</x:v>
      </x:c>
    </x:row>
    <x:row r="553">
      <x:c r="A553" t="str">
        <x:v>COM</x:v>
      </x:c>
      <x:c r="B553" t="str">
        <x:v>-vé</x:v>
      </x:c>
      <x:c r="C553" t="str">
        <x:v>c</x:v>
      </x:c>
      <x:c r="D553" t="str">
        <x:v>g20c08f8d-bcc9-4978-b7f6-c4fa82e4956c</x:v>
      </x:c>
      <x:c r="E553" t="str">
        <x:v>gda4de24f-4b9c-47a2-9be7-34e6cc7c7e3f</x:v>
      </x:c>
      <x:c r="F553" t="str">
        <x:v>https://www.webonary.org/marubo/gda4de24f-4b9c-47a2-9be7-34e6cc7c7e3f/</x:v>
      </x:c>
      <x:c r="G553" s="20" t="n">
        <x:v>46003.934806550926</x:v>
      </x:c>
    </x:row>
    <x:row r="554">
      <x:c r="A554" t="str">
        <x:v>COM</x:v>
      </x:c>
      <x:c r="B554" t="str">
        <x:v>-nĩ</x:v>
      </x:c>
      <x:c r="C554" t="str">
        <x:v>c</x:v>
      </x:c>
      <x:c r="D554" t="str">
        <x:v>g20c08f8d-bcc9-4978-b7f6-c4fa82e4956c</x:v>
      </x:c>
      <x:c r="E554" t="str">
        <x:v>gb0b91950-5430-4792-b846-23397be8d16a</x:v>
      </x:c>
      <x:c r="F554" t="str">
        <x:v>https://www.webonary.org/marubo/gb0b91950-5430-4792-b846-23397be8d16a/</x:v>
      </x:c>
      <x:c r="G554" s="20" t="n">
        <x:v>46003.934806550926</x:v>
      </x:c>
    </x:row>
    <x:row r="555">
      <x:c r="A555" t="str">
        <x:v>com fome</x:v>
      </x:c>
      <x:c r="B555" t="str">
        <x:v>shopĩa</x:v>
      </x:c>
      <x:c r="C555" t="str">
        <x:v>c</x:v>
      </x:c>
      <x:c r="D555" t="str">
        <x:v>gc9faf432-f12e-494b-9d60-508c542a8f9e</x:v>
      </x:c>
      <x:c r="E555" t="str">
        <x:v>gd014be42-141a-4d4a-b083-023382b64495</x:v>
      </x:c>
      <x:c r="F555" t="str">
        <x:v>https://www.webonary.org/marubo/gd014be42-141a-4d4a-b083-023382b64495/</x:v>
      </x:c>
      <x:c r="G555" s="20" t="n">
        <x:v>46003.934806550926</x:v>
      </x:c>
    </x:row>
    <x:row r="556">
      <x:c r="A556" t="str">
        <x:v>com pressa</x:v>
      </x:c>
      <x:c r="B556" t="str">
        <x:v>wená</x:v>
      </x:c>
      <x:c r="C556" t="str">
        <x:v>c</x:v>
      </x:c>
      <x:c r="D556" t="str">
        <x:v>g0b71bbff-c4a0-4902-b71f-603f33563588</x:v>
      </x:c>
      <x:c r="E556" t="str">
        <x:v>g9cbedcc3-5a0a-4c4d-86da-8e32ebf40a23</x:v>
      </x:c>
      <x:c r="F556" t="str">
        <x:v>https://www.webonary.org/marubo/g9cbedcc3-5a0a-4c4d-86da-8e32ebf40a23/</x:v>
      </x:c>
      <x:c r="G556" s="20" t="n">
        <x:v>46003.934806550926</x:v>
      </x:c>
    </x:row>
    <x:row r="557">
      <x:c r="A557" t="str">
        <x:v>começando a amadurecer</x:v>
      </x:c>
      <x:c r="B557" t="str">
        <x:v>vetone</x:v>
      </x:c>
      <x:c r="C557" t="str">
        <x:v>c</x:v>
      </x:c>
      <x:c r="D557" t="str">
        <x:v>gc25a4b7b-0205-46dc-a8d3-7e70ea3189dd</x:v>
      </x:c>
      <x:c r="E557" t="str">
        <x:v>g6d2e6786-1d6b-4a16-a8ac-3c55e0a9f848</x:v>
      </x:c>
      <x:c r="F557" t="str">
        <x:v>https://www.webonary.org/marubo/g6d2e6786-1d6b-4a16-a8ac-3c55e0a9f848/</x:v>
      </x:c>
      <x:c r="G557" s="20" t="n">
        <x:v>46003.934806550926</x:v>
      </x:c>
    </x:row>
    <x:row r="558">
      <x:c r="A558" t="str">
        <x:v>começar</x:v>
      </x:c>
      <x:c r="B558" t="str">
        <x:v>txitá</x:v>
      </x:c>
      <x:c r="C558" t="str">
        <x:v>c</x:v>
      </x:c>
      <x:c r="D558" t="str">
        <x:v>g71bc8a06-5993-4dd4-a495-f32be9ad7229</x:v>
      </x:c>
      <x:c r="E558" t="str">
        <x:v>g4ffd00a3-1d34-4d52-95e3-f4a556c63622</x:v>
      </x:c>
      <x:c r="F558" t="str">
        <x:v>https://www.webonary.org/marubo/g4ffd00a3-1d34-4d52-95e3-f4a556c63622/</x:v>
      </x:c>
      <x:c r="G558" s="20" t="n">
        <x:v>46003.934806550926</x:v>
      </x:c>
    </x:row>
    <x:row r="559">
      <x:c r="A559" t="str">
        <x:v>começar</x:v>
      </x:c>
      <x:c r="B559" t="str">
        <x:v>2</x:v>
      </x:c>
      <x:c r="C559" t="str">
        <x:v>c</x:v>
      </x:c>
      <x:c r="D559" t="str">
        <x:v>g71bc8a06-5993-4dd4-a495-f32be9ad7229</x:v>
      </x:c>
      <x:c r="E559" t="str">
        <x:v>g4ffd00a3-1d34-4d52-95e3-f4a556c63622</x:v>
      </x:c>
      <x:c r="F559" t="str">
        <x:v>https://www.webonary.org/marubo/g4ffd00a3-1d34-4d52-95e3-f4a556c63622/</x:v>
      </x:c>
      <x:c r="G559" s="20" t="n">
        <x:v>46003.934806550926</x:v>
      </x:c>
    </x:row>
    <x:row r="560">
      <x:c r="A560" t="str">
        <x:v>começar corte numa árvore</x:v>
      </x:c>
      <x:c r="B560" t="str">
        <x:v>nawea</x:v>
      </x:c>
      <x:c r="C560" t="str">
        <x:v>c</x:v>
      </x:c>
      <x:c r="D560" t="str">
        <x:v>g16f98de5-9680-4ce0-a94e-751c053acd49</x:v>
      </x:c>
      <x:c r="E560" t="str">
        <x:v>g39e7022d-5f51-49b2-8c6c-7e5f9e0f0de1</x:v>
      </x:c>
      <x:c r="F560" t="str">
        <x:v>https://www.webonary.org/marubo/g39e7022d-5f51-49b2-8c6c-7e5f9e0f0de1/</x:v>
      </x:c>
      <x:c r="G560" s="20" t="n">
        <x:v>46003.934806550926</x:v>
      </x:c>
    </x:row>
    <x:row r="561">
      <x:c r="A561" t="str">
        <x:v>começo</x:v>
      </x:c>
      <x:c r="B561" t="str">
        <x:v>wenía</x:v>
      </x:c>
      <x:c r="C561" t="str">
        <x:v>c</x:v>
      </x:c>
      <x:c r="D561" t="str">
        <x:v>ged62821b-e527-4d7e-94aa-4cfc2d7e52f6</x:v>
      </x:c>
      <x:c r="E561" t="str">
        <x:v>g84340709-a88c-4b57-ba0a-ad5c83b0cc9e</x:v>
      </x:c>
      <x:c r="F561" t="str">
        <x:v>https://www.webonary.org/marubo/g84340709-a88c-4b57-ba0a-ad5c83b0cc9e/</x:v>
      </x:c>
      <x:c r="G561" s="20" t="n">
        <x:v>46003.934806550926</x:v>
      </x:c>
    </x:row>
    <x:row r="562">
      <x:c r="A562" t="str">
        <x:v>começo de fervura</x:v>
      </x:c>
      <x:c r="B562" t="str">
        <x:v>chee iná</x:v>
      </x:c>
      <x:c r="C562" t="str">
        <x:v>c</x:v>
      </x:c>
      <x:c r="D562" t="str">
        <x:v>gb516a81a-eef3-497c-affa-6502217a8b2f</x:v>
      </x:c>
      <x:c r="E562" t="str">
        <x:v>gc19d87cc-269a-4fc9-b172-bc61686f21c8</x:v>
      </x:c>
      <x:c r="F562" t="str">
        <x:v>https://www.webonary.org/marubo/gc19d87cc-269a-4fc9-b172-bc61686f21c8/</x:v>
      </x:c>
      <x:c r="G562" s="20" t="n">
        <x:v>46003.934806550926</x:v>
      </x:c>
    </x:row>
    <x:row r="563">
      <x:c r="A563" t="str">
        <x:v>comer</x:v>
      </x:c>
      <x:c r="B563" t="str">
        <x:v>piá</x:v>
      </x:c>
      <x:c r="C563" t="str">
        <x:v>c</x:v>
      </x:c>
      <x:c r="D563" t="str">
        <x:v>gb271813d-5492-42ed-b353-2ad98b74cc0e</x:v>
      </x:c>
      <x:c r="E563" t="str">
        <x:v>gbbef4ab4-b112-4393-98eb-0b2376219873</x:v>
      </x:c>
      <x:c r="F563" t="str">
        <x:v>https://www.webonary.org/marubo/gbbef4ab4-b112-4393-98eb-0b2376219873/</x:v>
      </x:c>
      <x:c r="G563" s="20" t="n">
        <x:v>46003.934806550926</x:v>
      </x:c>
    </x:row>
    <x:row r="564">
      <x:c r="A564" t="str">
        <x:v>comer</x:v>
      </x:c>
      <x:c r="B564" t="str">
        <x:v>1</x:v>
      </x:c>
      <x:c r="C564" t="str">
        <x:v>c</x:v>
      </x:c>
      <x:c r="D564" t="str">
        <x:v>gb271813d-5492-42ed-b353-2ad98b74cc0e</x:v>
      </x:c>
      <x:c r="E564" t="str">
        <x:v>gbbef4ab4-b112-4393-98eb-0b2376219873</x:v>
      </x:c>
      <x:c r="F564" t="str">
        <x:v>https://www.webonary.org/marubo/gbbef4ab4-b112-4393-98eb-0b2376219873/</x:v>
      </x:c>
      <x:c r="G564" s="20" t="n">
        <x:v>46003.934806550926</x:v>
      </x:c>
    </x:row>
    <x:row r="565">
      <x:c r="A565" t="str">
        <x:v>comer com a mão</x:v>
      </x:c>
      <x:c r="B565" t="str">
        <x:v>aspe aká</x:v>
      </x:c>
      <x:c r="C565" t="str">
        <x:v>c</x:v>
      </x:c>
      <x:c r="D565" t="str">
        <x:v>ga3a337d2-a6d9-40e2-b535-2f5da7a5fe64</x:v>
      </x:c>
      <x:c r="E565" t="str">
        <x:v>g3ac38df9-3902-46d8-a8dc-2a172604bd94</x:v>
      </x:c>
      <x:c r="F565" t="str">
        <x:v>https://www.webonary.org/marubo/g3ac38df9-3902-46d8-a8dc-2a172604bd94/</x:v>
      </x:c>
      <x:c r="G565" s="20" t="n">
        <x:v>46003.934806550926</x:v>
      </x:c>
    </x:row>
    <x:row r="566">
      <x:c r="A566" t="str">
        <x:v>comer toda comida</x:v>
      </x:c>
      <x:c r="B566" t="str">
        <x:v>mashkã</x:v>
      </x:c>
      <x:c r="C566" t="str">
        <x:v>c</x:v>
      </x:c>
      <x:c r="D566" t="str">
        <x:v>g39464905-4daa-4d2d-b786-bb066bc06cf1</x:v>
      </x:c>
      <x:c r="E566" t="str">
        <x:v>g49794d98-9eb0-4150-8d7d-d2531732633a</x:v>
      </x:c>
      <x:c r="F566" t="str">
        <x:v>https://www.webonary.org/marubo/g49794d98-9eb0-4150-8d7d-d2531732633a/</x:v>
      </x:c>
      <x:c r="G566" s="20" t="n">
        <x:v>46003.934806550926</x:v>
      </x:c>
    </x:row>
    <x:row r="567">
      <x:c r="A567" t="str">
        <x:v>comeu</x:v>
      </x:c>
      <x:c r="B567" t="str">
        <x:v>mĩ aka</x:v>
      </x:c>
      <x:c r="C567" t="str">
        <x:v>c</x:v>
      </x:c>
      <x:c r="D567" t="str">
        <x:v>gf1e6e5d8-7ea1-438e-bddb-0e6a2f2f654b</x:v>
      </x:c>
      <x:c r="E567" t="str">
        <x:v>g6ac75dd4-b0c4-47f1-bc22-df7e701f46d6</x:v>
      </x:c>
      <x:c r="F567" t="str">
        <x:v>https://www.webonary.org/marubo/g6ac75dd4-b0c4-47f1-bc22-df7e701f46d6/</x:v>
      </x:c>
      <x:c r="G567" s="20" t="n">
        <x:v>46003.934806550926</x:v>
      </x:c>
    </x:row>
    <x:row r="568">
      <x:c r="A568" t="str">
        <x:v>comida</x:v>
      </x:c>
      <x:c r="B568" t="str">
        <x:v>piti</x:v>
      </x:c>
      <x:c r="C568" t="str">
        <x:v>c</x:v>
      </x:c>
      <x:c r="D568" t="str">
        <x:v>gf1bfb112-4f86-4f90-83ac-30e9968c2956</x:v>
      </x:c>
      <x:c r="E568" t="str">
        <x:v>gc05bcf84-0657-40c2-bc36-4dad1c6ae965</x:v>
      </x:c>
      <x:c r="F568" t="str">
        <x:v>https://www.webonary.org/marubo/gc05bcf84-0657-40c2-bc36-4dad1c6ae965/</x:v>
      </x:c>
      <x:c r="G568" s="20" t="n">
        <x:v>46003.934806550926</x:v>
      </x:c>
    </x:row>
    <x:row r="569">
      <x:c r="A569" t="str">
        <x:v>comida</x:v>
      </x:c>
      <x:c r="B569" t="str">
        <x:v>1</x:v>
      </x:c>
      <x:c r="C569" t="str">
        <x:v>c</x:v>
      </x:c>
      <x:c r="D569" t="str">
        <x:v>gf1bfb112-4f86-4f90-83ac-30e9968c2956</x:v>
      </x:c>
      <x:c r="E569" t="str">
        <x:v>gc05bcf84-0657-40c2-bc36-4dad1c6ae965</x:v>
      </x:c>
      <x:c r="F569" t="str">
        <x:v>https://www.webonary.org/marubo/gc05bcf84-0657-40c2-bc36-4dad1c6ae965/</x:v>
      </x:c>
      <x:c r="G569" s="20" t="n">
        <x:v>46003.934806550926</x:v>
      </x:c>
    </x:row>
    <x:row r="570">
      <x:c r="A570" t="str">
        <x:v>comida</x:v>
      </x:c>
      <x:c r="B570" t="str">
        <x:v>piá</x:v>
      </x:c>
      <x:c r="C570" t="str">
        <x:v>c</x:v>
      </x:c>
      <x:c r="D570" t="str">
        <x:v>gf1bfb112-4f86-4f90-83ac-30e9968c2956</x:v>
      </x:c>
      <x:c r="E570" t="str">
        <x:v>gba015c14-9db3-486b-8539-091b55e555fc</x:v>
      </x:c>
      <x:c r="F570" t="str">
        <x:v>https://www.webonary.org/marubo/gba015c14-9db3-486b-8539-091b55e555fc/</x:v>
      </x:c>
      <x:c r="G570" s="20" t="n">
        <x:v>46003.934806550926</x:v>
      </x:c>
    </x:row>
    <x:row r="571">
      <x:c r="A571" t="str">
        <x:v>comida</x:v>
      </x:c>
      <x:c r="B571" t="str">
        <x:v>2</x:v>
      </x:c>
      <x:c r="C571" t="str">
        <x:v>c</x:v>
      </x:c>
      <x:c r="D571" t="str">
        <x:v>gf1bfb112-4f86-4f90-83ac-30e9968c2956</x:v>
      </x:c>
      <x:c r="E571" t="str">
        <x:v>gba015c14-9db3-486b-8539-091b55e555fc</x:v>
      </x:c>
      <x:c r="F571" t="str">
        <x:v>https://www.webonary.org/marubo/gba015c14-9db3-486b-8539-091b55e555fc/</x:v>
      </x:c>
      <x:c r="G571" s="20" t="n">
        <x:v>46003.934806550926</x:v>
      </x:c>
    </x:row>
    <x:row r="572">
      <x:c r="A572" t="str">
        <x:v>comida dura</x:v>
      </x:c>
      <x:c r="B572" t="str">
        <x:v>cheoka</x:v>
      </x:c>
      <x:c r="C572" t="str">
        <x:v>c</x:v>
      </x:c>
      <x:c r="D572" t="str">
        <x:v>g2598f09d-5a8f-41c1-9d48-f8361210c719</x:v>
      </x:c>
      <x:c r="E572" t="str">
        <x:v>g816a602d-d0d0-4732-9bc4-278eda7aa11c</x:v>
      </x:c>
      <x:c r="F572" t="str">
        <x:v>https://www.webonary.org/marubo/g816a602d-d0d0-4732-9bc4-278eda7aa11c/</x:v>
      </x:c>
      <x:c r="G572" s="20" t="n">
        <x:v>46003.934806550926</x:v>
      </x:c>
    </x:row>
    <x:row r="573">
      <x:c r="A573" t="str">
        <x:v>como</x:v>
      </x:c>
      <x:c r="B573" t="str">
        <x:v>aweshõ</x:v>
      </x:c>
      <x:c r="C573" t="str">
        <x:v>c</x:v>
      </x:c>
      <x:c r="D573" t="str">
        <x:v>gfcf04219-36ee-4aaf-8117-2413f3a84711</x:v>
      </x:c>
      <x:c r="E573" t="str">
        <x:v>g6cd43d64-f8b4-4552-a0fa-2ea3496d195a</x:v>
      </x:c>
      <x:c r="F573" t="str">
        <x:v>https://www.webonary.org/marubo/g6cd43d64-f8b4-4552-a0fa-2ea3496d195a/</x:v>
      </x:c>
      <x:c r="G573" s="20" t="n">
        <x:v>46003.934806550926</x:v>
      </x:c>
    </x:row>
    <x:row r="574">
      <x:c r="A574" t="str">
        <x:v>COMP</x:v>
      </x:c>
      <x:c r="B574" t="str">
        <x:v>-ké</x:v>
      </x:c>
      <x:c r="C574" t="str">
        <x:v>c</x:v>
      </x:c>
      <x:c r="D574" t="str">
        <x:v>g842a38f1-503f-47f6-9b6e-6ee585d31023</x:v>
      </x:c>
      <x:c r="E574" t="str">
        <x:v>g210910e1-67c9-4914-b7a9-1466b7f3e130</x:v>
      </x:c>
      <x:c r="F574" t="str">
        <x:v>https://www.webonary.org/marubo/g210910e1-67c9-4914-b7a9-1466b7f3e130/</x:v>
      </x:c>
      <x:c r="G574" s="20" t="n">
        <x:v>46003.934806550926</x:v>
      </x:c>
    </x:row>
    <x:row r="575">
      <x:c r="A575" t="str">
        <x:v>COMP</x:v>
      </x:c>
      <x:c r="B575" t="str">
        <x:v>-ke</x:v>
      </x:c>
      <x:c r="C575" t="str">
        <x:v>c</x:v>
      </x:c>
      <x:c r="D575" t="str">
        <x:v>g842a38f1-503f-47f6-9b6e-6ee585d31023</x:v>
      </x:c>
      <x:c r="E575" t="str">
        <x:v>g7b801436-9940-4536-866f-f96348a9e374</x:v>
      </x:c>
      <x:c r="F575" t="str">
        <x:v>https://www.webonary.org/marubo/g7b801436-9940-4536-866f-f96348a9e374/</x:v>
      </x:c>
      <x:c r="G575" s="20" t="n">
        <x:v>46003.934806550926</x:v>
      </x:c>
    </x:row>
    <x:row r="576">
      <x:c r="A576" t="str">
        <x:v>concertar</x:v>
      </x:c>
      <x:c r="B576" t="str">
        <x:v>roa aká</x:v>
      </x:c>
      <x:c r="C576" t="str">
        <x:v>c</x:v>
      </x:c>
      <x:c r="D576" t="str">
        <x:v>g51308e0f-d510-4815-a40c-af111aeae8af</x:v>
      </x:c>
      <x:c r="E576" t="str">
        <x:v>gaa17b017-43d8-496a-a6fb-4a0316a2a611</x:v>
      </x:c>
      <x:c r="F576" t="str">
        <x:v>https://www.webonary.org/marubo/gaa17b017-43d8-496a-a6fb-4a0316a2a611/</x:v>
      </x:c>
      <x:c r="G576" s="20" t="n">
        <x:v>46003.934806550926</x:v>
      </x:c>
    </x:row>
    <x:row r="577">
      <x:c r="A577" t="str">
        <x:v>concordar</x:v>
      </x:c>
      <x:c r="B577" t="str">
        <x:v>aví ikí</x:v>
      </x:c>
      <x:c r="C577" t="str">
        <x:v>c</x:v>
      </x:c>
      <x:c r="D577" t="str">
        <x:v>g6dd4fcb3-991e-4e86-b8e8-862253bcb076</x:v>
      </x:c>
      <x:c r="E577" t="str">
        <x:v>ge81b44e4-2fc3-4c87-91f9-d5ca58fa0593</x:v>
      </x:c>
      <x:c r="F577" t="str">
        <x:v>https://www.webonary.org/marubo/ge81b44e4-2fc3-4c87-91f9-d5ca58fa0593/</x:v>
      </x:c>
      <x:c r="G577" s="20" t="n">
        <x:v>46003.934806550926</x:v>
      </x:c>
    </x:row>
    <x:row r="578">
      <x:c r="A578" t="str">
        <x:v>COND</x:v>
      </x:c>
      <x:c r="B578" t="str">
        <x:v>-ro</x:v>
      </x:c>
      <x:c r="C578" t="str">
        <x:v>c</x:v>
      </x:c>
      <x:c r="D578" t="str">
        <x:v>g5675d954-5ae1-4be9-aea2-ba3e4d4542e0</x:v>
      </x:c>
      <x:c r="E578" t="str">
        <x:v>gdbaf82d2-eb41-41f6-b36d-bec36eb064db</x:v>
      </x:c>
      <x:c r="F578" t="str">
        <x:v>https://www.webonary.org/marubo/gdbaf82d2-eb41-41f6-b36d-bec36eb064db/</x:v>
      </x:c>
      <x:c r="G578" s="20" t="n">
        <x:v>46003.934806550926</x:v>
      </x:c>
    </x:row>
    <x:row r="579">
      <x:c r="A579" t="str">
        <x:v>confiar</x:v>
      </x:c>
      <x:c r="B579" t="str">
        <x:v>txipoa</x:v>
      </x:c>
      <x:c r="C579" t="str">
        <x:v>c</x:v>
      </x:c>
      <x:c r="D579" t="str">
        <x:v>g4bb109b9-a7b7-47de-b8f9-e653b2dc9503</x:v>
      </x:c>
      <x:c r="E579" t="str">
        <x:v>g655cb6e1-1f95-4d33-a34f-0b65eff0b788</x:v>
      </x:c>
      <x:c r="F579" t="str">
        <x:v>https://www.webonary.org/marubo/g655cb6e1-1f95-4d33-a34f-0b65eff0b788/</x:v>
      </x:c>
      <x:c r="G579" s="20" t="n">
        <x:v>46003.934806550926</x:v>
      </x:c>
    </x:row>
    <x:row r="580">
      <x:c r="A580" t="str">
        <x:v>confiar</x:v>
      </x:c>
      <x:c r="B580" t="str">
        <x:v>anõ aká</x:v>
      </x:c>
      <x:c r="C580" t="str">
        <x:v>c</x:v>
      </x:c>
      <x:c r="D580" t="str">
        <x:v>g4bb109b9-a7b7-47de-b8f9-e653b2dc9503</x:v>
      </x:c>
      <x:c r="E580" t="str">
        <x:v>g16acf9b1-dd85-4360-9e2a-9cb0a4ab8418</x:v>
      </x:c>
      <x:c r="F580" t="str">
        <x:v>https://www.webonary.org/marubo/g16acf9b1-dd85-4360-9e2a-9cb0a4ab8418/</x:v>
      </x:c>
      <x:c r="G580" s="20" t="n">
        <x:v>46003.934806550926</x:v>
      </x:c>
    </x:row>
    <x:row r="581">
      <x:c r="A581" t="str">
        <x:v>conhecer</x:v>
      </x:c>
      <x:c r="B581" t="str">
        <x:v>tana</x:v>
      </x:c>
      <x:c r="C581" t="str">
        <x:v>c</x:v>
      </x:c>
      <x:c r="D581" t="str">
        <x:v>g948caf11-83d0-42b4-bb79-2343c04b97ec</x:v>
      </x:c>
      <x:c r="E581" t="str">
        <x:v>gd58de8bb-7a9a-46ab-9e31-195ce607a43c</x:v>
      </x:c>
      <x:c r="F581" t="str">
        <x:v>https://www.webonary.org/marubo/gd58de8bb-7a9a-46ab-9e31-195ce607a43c/</x:v>
      </x:c>
      <x:c r="G581" s="20" t="n">
        <x:v>46003.934806550926</x:v>
      </x:c>
    </x:row>
    <x:row r="582">
      <x:c r="A582" t="str">
        <x:v>conhecimento</x:v>
      </x:c>
      <x:c r="B582" t="str">
        <x:v>yosí</x:v>
      </x:c>
      <x:c r="C582" t="str">
        <x:v>c</x:v>
      </x:c>
      <x:c r="D582" t="str">
        <x:v>g85399eac-dd17-4522-aacc-85944ae1adfe</x:v>
      </x:c>
      <x:c r="E582" t="str">
        <x:v>g51fa4a29-ce72-47ef-8cc0-af9081ba6082</x:v>
      </x:c>
      <x:c r="F582" t="str">
        <x:v>https://www.webonary.org/marubo/g51fa4a29-ce72-47ef-8cc0-af9081ba6082/</x:v>
      </x:c>
      <x:c r="G582" s="20" t="n">
        <x:v>46003.934806550926</x:v>
      </x:c>
    </x:row>
    <x:row r="583">
      <x:c r="A583" t="str">
        <x:v>conjunto de paus para tecer saia de algodão</x:v>
      </x:c>
      <x:c r="B583" t="str">
        <x:v>txiati</x:v>
      </x:c>
      <x:c r="C583" t="str">
        <x:v>c</x:v>
      </x:c>
      <x:c r="D583" t="str">
        <x:v>g69009ce7-1059-484d-92b6-484222764163</x:v>
      </x:c>
      <x:c r="E583" t="str">
        <x:v>g6b990e40-2ad5-4116-9167-a6803df6d1e9</x:v>
      </x:c>
      <x:c r="F583" t="str">
        <x:v>https://www.webonary.org/marubo/g6b990e40-2ad5-4116-9167-a6803df6d1e9/</x:v>
      </x:c>
      <x:c r="G583" s="20" t="n">
        <x:v>46003.934806550926</x:v>
      </x:c>
    </x:row>
    <x:row r="584">
      <x:c r="A584" t="str">
        <x:v>conjunto para fazer cinto</x:v>
      </x:c>
      <x:c r="B584" t="str">
        <x:v>txiwíti ati</x:v>
      </x:c>
      <x:c r="C584" t="str">
        <x:v>c</x:v>
      </x:c>
      <x:c r="D584" t="str">
        <x:v>g1bbddf12-6368-4e85-b03d-d0e357b2fdc8</x:v>
      </x:c>
      <x:c r="E584" t="str">
        <x:v>g25365ad4-71a3-4e03-99a8-2002522d41aa</x:v>
      </x:c>
      <x:c r="F584" t="str">
        <x:v>https://www.webonary.org/marubo/g25365ad4-71a3-4e03-99a8-2002522d41aa/</x:v>
      </x:c>
      <x:c r="G584" s="20" t="n">
        <x:v>46003.934806550926</x:v>
      </x:c>
    </x:row>
    <x:row r="585">
      <x:c r="A585" t="str">
        <x:v>consertar goteira na palha</x:v>
      </x:c>
      <x:c r="B585" t="str">
        <x:v>peoa</x:v>
      </x:c>
      <x:c r="C585" t="str">
        <x:v>c</x:v>
      </x:c>
      <x:c r="D585" t="str">
        <x:v>gc94579db-4754-45bb-a134-7cd4dd9c059a</x:v>
      </x:c>
      <x:c r="E585" t="str">
        <x:v>ga7518627-0097-44ee-88d2-f1272199db57</x:v>
      </x:c>
      <x:c r="F585" t="str">
        <x:v>https://www.webonary.org/marubo/ga7518627-0097-44ee-88d2-f1272199db57/</x:v>
      </x:c>
      <x:c r="G585" s="20" t="n">
        <x:v>46003.934813912034</x:v>
      </x:c>
    </x:row>
    <x:row r="586">
      <x:c r="A586" t="str">
        <x:v>constipação</x:v>
      </x:c>
      <x:c r="B586" t="str">
        <x:v>txetea</x:v>
      </x:c>
      <x:c r="C586" t="str">
        <x:v>c</x:v>
      </x:c>
      <x:c r="D586" t="str">
        <x:v>g94d71172-3be6-45b4-8b40-e97566057fe9</x:v>
      </x:c>
      <x:c r="E586" t="str">
        <x:v>g6ac5fd69-50cc-4454-8e91-f2037b27e51f</x:v>
      </x:c>
      <x:c r="F586" t="str">
        <x:v>https://www.webonary.org/marubo/g6ac5fd69-50cc-4454-8e91-f2037b27e51f/</x:v>
      </x:c>
      <x:c r="G586" s="20" t="n">
        <x:v>46003.934813912034</x:v>
      </x:c>
    </x:row>
    <x:row r="587">
      <x:c r="A587" t="str">
        <x:v>CONT</x:v>
      </x:c>
      <x:c r="B587" t="str">
        <x:v>-s</x:v>
      </x:c>
      <x:c r="C587" t="str">
        <x:v>c</x:v>
      </x:c>
      <x:c r="D587" t="str">
        <x:v>gea115256-c75a-4160-a0da-cb6c7740d2d8</x:v>
      </x:c>
      <x:c r="E587" t="str">
        <x:v>ga9bffcca-5a69-480b-9637-524770ec50f2</x:v>
      </x:c>
      <x:c r="F587" t="str">
        <x:v>https://www.webonary.org/marubo/ga9bffcca-5a69-480b-9637-524770ec50f2/</x:v>
      </x:c>
      <x:c r="G587" s="20" t="n">
        <x:v>46003.934813912034</x:v>
      </x:c>
    </x:row>
    <x:row r="588">
      <x:c r="A588" t="str">
        <x:v>contar</x:v>
      </x:c>
      <x:c r="B588" t="str">
        <x:v>yoã</x:v>
      </x:c>
      <x:c r="C588" t="str">
        <x:v>c</x:v>
      </x:c>
      <x:c r="D588" t="str">
        <x:v>ga6f97ffd-aff5-4bda-b521-b1c6d2c87faa</x:v>
      </x:c>
      <x:c r="E588" t="str">
        <x:v>gd45d3fdb-be59-4596-9089-e3e3ac8ded7a</x:v>
      </x:c>
      <x:c r="F588" t="str">
        <x:v>https://www.webonary.org/marubo/gd45d3fdb-be59-4596-9089-e3e3ac8ded7a/</x:v>
      </x:c>
      <x:c r="G588" s="20" t="n">
        <x:v>46003.934813912034</x:v>
      </x:c>
    </x:row>
    <x:row r="589">
      <x:c r="A589" t="str">
        <x:v>contar</x:v>
      </x:c>
      <x:c r="B589" t="str">
        <x:v>aká</x:v>
      </x:c>
      <x:c r="C589" t="str">
        <x:v>c</x:v>
      </x:c>
      <x:c r="D589" t="str">
        <x:v>ga6f97ffd-aff5-4bda-b521-b1c6d2c87faa</x:v>
      </x:c>
      <x:c r="E589" t="str">
        <x:v>g978a0c6a-cee2-4ed9-8535-dd278fe98a42</x:v>
      </x:c>
      <x:c r="F589" t="str">
        <x:v>https://www.webonary.org/marubo/g978a0c6a-cee2-4ed9-8535-dd278fe98a42/</x:v>
      </x:c>
      <x:c r="G589" s="20" t="n">
        <x:v>46003.934813912034</x:v>
      </x:c>
    </x:row>
    <x:row r="590">
      <x:c r="A590" t="str">
        <x:v>contar</x:v>
      </x:c>
      <x:c r="B590" t="str">
        <x:v>4</x:v>
      </x:c>
      <x:c r="C590" t="str">
        <x:v>c</x:v>
      </x:c>
      <x:c r="D590" t="str">
        <x:v>ga6f97ffd-aff5-4bda-b521-b1c6d2c87faa</x:v>
      </x:c>
      <x:c r="E590" t="str">
        <x:v>g978a0c6a-cee2-4ed9-8535-dd278fe98a42</x:v>
      </x:c>
      <x:c r="F590" t="str">
        <x:v>https://www.webonary.org/marubo/g978a0c6a-cee2-4ed9-8535-dd278fe98a42/</x:v>
      </x:c>
      <x:c r="G590" s="20" t="n">
        <x:v>46003.934813912034</x:v>
      </x:c>
    </x:row>
    <x:row r="591">
      <x:c r="A591" t="str">
        <x:v>contracorrente</x:v>
      </x:c>
      <x:c r="B591" t="str">
        <x:v>waka chĩkishna</x:v>
      </x:c>
      <x:c r="C591" t="str">
        <x:v>c</x:v>
      </x:c>
      <x:c r="D591" t="str">
        <x:v>gb41b98a7-7afe-4aae-bc31-91219a6898c9</x:v>
      </x:c>
      <x:c r="E591" t="str">
        <x:v>g4ec6d77f-ac1c-449a-bc34-578c1c886a32</x:v>
      </x:c>
      <x:c r="F591" t="str">
        <x:v>https://www.webonary.org/marubo/g4ec6d77f-ac1c-449a-bc34-578c1c886a32/</x:v>
      </x:c>
      <x:c r="G591" s="20" t="n">
        <x:v>46003.934813912034</x:v>
      </x:c>
    </x:row>
    <x:row r="592">
      <x:c r="A592" t="str">
        <x:v>coração</x:v>
      </x:c>
      <x:c r="B592" t="str">
        <x:v>chinã</x:v>
      </x:c>
      <x:c r="C592" t="str">
        <x:v>c</x:v>
      </x:c>
      <x:c r="D592" t="str">
        <x:v>g69a8e245-700f-46d3-9929-8e88ed83e23f</x:v>
      </x:c>
      <x:c r="E592" t="str">
        <x:v>g49f557bb-efc9-4e92-824a-da288cd5ddd8</x:v>
      </x:c>
      <x:c r="F592" t="str">
        <x:v>https://www.webonary.org/marubo/g49f557bb-efc9-4e92-824a-da288cd5ddd8/</x:v>
      </x:c>
      <x:c r="G592" s="20" t="n">
        <x:v>46003.934813912034</x:v>
      </x:c>
    </x:row>
    <x:row r="593">
      <x:c r="A593" t="str">
        <x:v>coração</x:v>
      </x:c>
      <x:c r="B593" t="str">
        <x:v>1</x:v>
      </x:c>
      <x:c r="C593" t="str">
        <x:v>c</x:v>
      </x:c>
      <x:c r="D593" t="str">
        <x:v>g69a8e245-700f-46d3-9929-8e88ed83e23f</x:v>
      </x:c>
      <x:c r="E593" t="str">
        <x:v>g49f557bb-efc9-4e92-824a-da288cd5ddd8</x:v>
      </x:c>
      <x:c r="F593" t="str">
        <x:v>https://www.webonary.org/marubo/g49f557bb-efc9-4e92-824a-da288cd5ddd8/</x:v>
      </x:c>
      <x:c r="G593" s="20" t="n">
        <x:v>46003.934813912034</x:v>
      </x:c>
    </x:row>
    <x:row r="594">
      <x:c r="A594" t="str">
        <x:v>coração</x:v>
      </x:c>
      <x:c r="B594" t="str">
        <x:v>oĩti</x:v>
      </x:c>
      <x:c r="C594" t="str">
        <x:v>c</x:v>
      </x:c>
      <x:c r="D594" t="str">
        <x:v>g69a8e245-700f-46d3-9929-8e88ed83e23f</x:v>
      </x:c>
      <x:c r="E594" t="str">
        <x:v>g57f76fb2-f745-4b8b-b3dc-7d78319c6f77</x:v>
      </x:c>
      <x:c r="F594" t="str">
        <x:v>https://www.webonary.org/marubo/g57f76fb2-f745-4b8b-b3dc-7d78319c6f77/</x:v>
      </x:c>
      <x:c r="G594" s="20" t="n">
        <x:v>46003.934813912034</x:v>
      </x:c>
    </x:row>
    <x:row r="595">
      <x:c r="A595" t="str">
        <x:v>coração mal</x:v>
      </x:c>
      <x:c r="B595" t="str">
        <x:v>chinã teíka</x:v>
      </x:c>
      <x:c r="C595" t="str">
        <x:v>c</x:v>
      </x:c>
      <x:c r="D595" t="str">
        <x:v>gd5bbf9ba-3f60-4d48-8ded-2dc65aa7d7e3</x:v>
      </x:c>
      <x:c r="E595" t="str">
        <x:v>gd95a68ed-85fe-4ceb-ac8e-5bb2fbbd6f91</x:v>
      </x:c>
      <x:c r="F595" t="str">
        <x:v>https://www.webonary.org/marubo/gd95a68ed-85fe-4ceb-ac8e-5bb2fbbd6f91/</x:v>
      </x:c>
      <x:c r="G595" s="20" t="n">
        <x:v>46003.934813912034</x:v>
      </x:c>
    </x:row>
    <x:row r="596">
      <x:c r="A596" t="str">
        <x:v>corcova</x:v>
      </x:c>
      <x:c r="B596" t="str">
        <x:v>tene</x:v>
      </x:c>
      <x:c r="C596" t="str">
        <x:v>c</x:v>
      </x:c>
      <x:c r="D596" t="str">
        <x:v>g0cbede13-d7ba-478f-82d9-85ef0cf4e422</x:v>
      </x:c>
      <x:c r="E596" t="str">
        <x:v>gee196fc9-d2b3-4eee-b908-e6e874ae7ec4</x:v>
      </x:c>
      <x:c r="F596" t="str">
        <x:v>https://www.webonary.org/marubo/gee196fc9-d2b3-4eee-b908-e6e874ae7ec4/</x:v>
      </x:c>
      <x:c r="G596" s="20" t="n">
        <x:v>46003.934813912034</x:v>
      </x:c>
    </x:row>
    <x:row r="597">
      <x:c r="A597" t="str">
        <x:v>corda</x:v>
      </x:c>
      <x:c r="B597" t="str">
        <x:v>mayá</x:v>
      </x:c>
      <x:c r="C597" t="str">
        <x:v>c</x:v>
      </x:c>
      <x:c r="D597" t="str">
        <x:v>g0551ab03-9143-4ac5-875d-4b9dacd631ef</x:v>
      </x:c>
      <x:c r="E597" t="str">
        <x:v>g3fc28bb1-8602-47e2-9b31-61d7759bf87c</x:v>
      </x:c>
      <x:c r="F597" t="str">
        <x:v>https://www.webonary.org/marubo/g3fc28bb1-8602-47e2-9b31-61d7759bf87c/</x:v>
      </x:c>
      <x:c r="G597" s="20" t="n">
        <x:v>46003.934813912034</x:v>
      </x:c>
    </x:row>
    <x:row r="598">
      <x:c r="A598" t="str">
        <x:v>cordão de aruá que descde da ponta da orelha</x:v>
      </x:c>
      <x:c r="B598" t="str">
        <x:v>paví</x:v>
      </x:c>
      <x:c r="C598" t="str">
        <x:v>c</x:v>
      </x:c>
      <x:c r="D598" t="str">
        <x:v>gcda60d2f-b533-4028-9a4b-d09990893231</x:v>
      </x:c>
      <x:c r="E598" t="str">
        <x:v>gc21a081b-ff24-45ef-92c1-2405f467d9bb</x:v>
      </x:c>
      <x:c r="F598" t="str">
        <x:v>https://www.webonary.org/marubo/gc21a081b-ff24-45ef-92c1-2405f467d9bb/</x:v>
      </x:c>
      <x:c r="G598" s="20" t="n">
        <x:v>46003.934813912034</x:v>
      </x:c>
    </x:row>
    <x:row r="599">
      <x:c r="A599" t="str">
        <x:v>corredeiras</x:v>
      </x:c>
      <x:c r="B599" t="str">
        <x:v>waka põpõ ikí</x:v>
      </x:c>
      <x:c r="C599" t="str">
        <x:v>c</x:v>
      </x:c>
      <x:c r="D599" t="str">
        <x:v>g8bd15c93-198a-4611-bccc-7b9014d912be</x:v>
      </x:c>
      <x:c r="E599" t="str">
        <x:v>gae305dcb-45c8-45ea-9110-f8e239db281c</x:v>
      </x:c>
      <x:c r="F599" t="str">
        <x:v>https://www.webonary.org/marubo/gae305dcb-45c8-45ea-9110-f8e239db281c/</x:v>
      </x:c>
      <x:c r="G599" s="20" t="n">
        <x:v>46003.934813912034</x:v>
      </x:c>
    </x:row>
    <x:row r="600">
      <x:c r="A600" t="str">
        <x:v>correnteza</x:v>
      </x:c>
      <x:c r="B600" t="str">
        <x:v>avá</x:v>
      </x:c>
      <x:c r="C600" t="str">
        <x:v>c</x:v>
      </x:c>
      <x:c r="D600" t="str">
        <x:v>g66d46c00-1298-4cc3-aa3d-073268e311c5</x:v>
      </x:c>
      <x:c r="E600" t="str">
        <x:v>gad9e81a1-75dd-48c1-9f68-6907f8f85b79</x:v>
      </x:c>
      <x:c r="F600" t="str">
        <x:v>https://www.webonary.org/marubo/gad9e81a1-75dd-48c1-9f68-6907f8f85b79/</x:v>
      </x:c>
      <x:c r="G600" s="20" t="n">
        <x:v>46003.934813912034</x:v>
      </x:c>
    </x:row>
    <x:row r="601">
      <x:c r="A601" t="str">
        <x:v>correr</x:v>
      </x:c>
      <x:c r="B601" t="str">
        <x:v>eréa</x:v>
      </x:c>
      <x:c r="C601" t="str">
        <x:v>c</x:v>
      </x:c>
      <x:c r="D601" t="str">
        <x:v>gf23d70e8-eac1-4fc2-9b5d-8875eb81c9bd</x:v>
      </x:c>
      <x:c r="E601" t="str">
        <x:v>gb239fe62-561b-42d0-a9ae-4dfc53b3a098</x:v>
      </x:c>
      <x:c r="F601" t="str">
        <x:v>https://www.webonary.org/marubo/gb239fe62-561b-42d0-a9ae-4dfc53b3a098/</x:v>
      </x:c>
      <x:c r="G601" s="20" t="n">
        <x:v>46003.934813912034</x:v>
      </x:c>
    </x:row>
    <x:row r="602">
      <x:c r="A602" t="str">
        <x:v>correr atrás</x:v>
      </x:c>
      <x:c r="B602" t="str">
        <x:v>txivã</x:v>
      </x:c>
      <x:c r="C602" t="str">
        <x:v>c</x:v>
      </x:c>
      <x:c r="D602" t="str">
        <x:v>gb357500e-8c36-4f77-8026-400df294a4f4</x:v>
      </x:c>
      <x:c r="E602" t="str">
        <x:v>gc5a6d40c-ca77-4b33-9125-ee22e970a305</x:v>
      </x:c>
      <x:c r="F602" t="str">
        <x:v>https://www.webonary.org/marubo/gc5a6d40c-ca77-4b33-9125-ee22e970a305/</x:v>
      </x:c>
      <x:c r="G602" s="20" t="n">
        <x:v>46003.934813912034</x:v>
      </x:c>
    </x:row>
    <x:row r="603">
      <x:c r="A603" t="str">
        <x:v>cortador de unha</x:v>
      </x:c>
      <x:c r="B603" t="str">
        <x:v>mẽtsísi shateti</x:v>
      </x:c>
      <x:c r="C603" t="str">
        <x:v>c</x:v>
      </x:c>
      <x:c r="D603" t="str">
        <x:v>ga7aab859-afcf-4dfe-9d8f-3d69dcc94a97</x:v>
      </x:c>
      <x:c r="E603" t="str">
        <x:v>g1683092d-39cb-4d26-bc29-c438bd0cbbcd</x:v>
      </x:c>
      <x:c r="F603" t="str">
        <x:v>https://www.webonary.org/marubo/g1683092d-39cb-4d26-bc29-c438bd0cbbcd/</x:v>
      </x:c>
      <x:c r="G603" s="20" t="n">
        <x:v>46003.934813912034</x:v>
      </x:c>
    </x:row>
    <x:row r="604">
      <x:c r="A604" t="str">
        <x:v>cortar</x:v>
      </x:c>
      <x:c r="B604" t="str">
        <x:v>teke aká</x:v>
      </x:c>
      <x:c r="C604" t="str">
        <x:v>c</x:v>
      </x:c>
      <x:c r="D604" t="str">
        <x:v>g4025ca14-80fb-4d18-b0cb-6571fa6bc793</x:v>
      </x:c>
      <x:c r="E604" t="str">
        <x:v>g706f053d-1548-49d3-bdb8-e9d8dd7f4b52</x:v>
      </x:c>
      <x:c r="F604" t="str">
        <x:v>https://www.webonary.org/marubo/g706f053d-1548-49d3-bdb8-e9d8dd7f4b52/</x:v>
      </x:c>
      <x:c r="G604" s="20" t="n">
        <x:v>46003.934813912034</x:v>
      </x:c>
    </x:row>
    <x:row r="605">
      <x:c r="A605" t="str">
        <x:v>cortar</x:v>
      </x:c>
      <x:c r="B605" t="str">
        <x:v>rera</x:v>
      </x:c>
      <x:c r="C605" t="str">
        <x:v>c</x:v>
      </x:c>
      <x:c r="D605" t="str">
        <x:v>g4025ca14-80fb-4d18-b0cb-6571fa6bc793</x:v>
      </x:c>
      <x:c r="E605" t="str">
        <x:v>g0b42f814-85db-454e-817a-95e1f4ecd2af</x:v>
      </x:c>
      <x:c r="F605" t="str">
        <x:v>https://www.webonary.org/marubo/g0b42f814-85db-454e-817a-95e1f4ecd2af/</x:v>
      </x:c>
      <x:c r="G605" s="20" t="n">
        <x:v>46003.934813912034</x:v>
      </x:c>
    </x:row>
    <x:row r="606">
      <x:c r="A606" t="str">
        <x:v>cortar</x:v>
      </x:c>
      <x:c r="B606" t="str">
        <x:v>shatea</x:v>
      </x:c>
      <x:c r="C606" t="str">
        <x:v>c</x:v>
      </x:c>
      <x:c r="D606" t="str">
        <x:v>g4025ca14-80fb-4d18-b0cb-6571fa6bc793</x:v>
      </x:c>
      <x:c r="E606" t="str">
        <x:v>g1e6f5c65-2b9c-4fd7-87c0-a60e3b66ac7c</x:v>
      </x:c>
      <x:c r="F606" t="str">
        <x:v>https://www.webonary.org/marubo/g1e6f5c65-2b9c-4fd7-87c0-a60e3b66ac7c/</x:v>
      </x:c>
      <x:c r="G606" s="20" t="n">
        <x:v>46003.934813912034</x:v>
      </x:c>
    </x:row>
    <x:row r="607">
      <x:c r="A607" t="str">
        <x:v>cortar aruá em pedaços</x:v>
      </x:c>
      <x:c r="B607" t="str">
        <x:v>tsosa</x:v>
      </x:c>
      <x:c r="C607" t="str">
        <x:v>c</x:v>
      </x:c>
      <x:c r="D607" t="str">
        <x:v>g9b118a8b-071a-4c5e-a416-c44016c76870</x:v>
      </x:c>
      <x:c r="E607" t="str">
        <x:v>g7d15c454-6d5b-491e-bd45-467398cf73b9</x:v>
      </x:c>
      <x:c r="F607" t="str">
        <x:v>https://www.webonary.org/marubo/g7d15c454-6d5b-491e-bd45-467398cf73b9/</x:v>
      </x:c>
      <x:c r="G607" s="20" t="n">
        <x:v>46003.934813912034</x:v>
      </x:c>
    </x:row>
    <x:row r="608">
      <x:c r="A608" t="str">
        <x:v>cortar aruá em pedaços</x:v>
      </x:c>
      <x:c r="B608" t="str">
        <x:v>1</x:v>
      </x:c>
      <x:c r="C608" t="str">
        <x:v>c</x:v>
      </x:c>
      <x:c r="D608" t="str">
        <x:v>g9b118a8b-071a-4c5e-a416-c44016c76870</x:v>
      </x:c>
      <x:c r="E608" t="str">
        <x:v>g7d15c454-6d5b-491e-bd45-467398cf73b9</x:v>
      </x:c>
      <x:c r="F608" t="str">
        <x:v>https://www.webonary.org/marubo/g7d15c454-6d5b-491e-bd45-467398cf73b9/</x:v>
      </x:c>
      <x:c r="G608" s="20" t="n">
        <x:v>46003.934813912034</x:v>
      </x:c>
    </x:row>
    <x:row r="609">
      <x:c r="A609" t="str">
        <x:v>cortar árvore para cair</x:v>
      </x:c>
      <x:c r="B609" t="str">
        <x:v>petsása</x:v>
      </x:c>
      <x:c r="C609" t="str">
        <x:v>c</x:v>
      </x:c>
      <x:c r="D609" t="str">
        <x:v>ga584f72b-4719-4a77-bbb6-16760d483310</x:v>
      </x:c>
      <x:c r="E609" t="str">
        <x:v>g149377a5-b318-4360-b5ba-15023adad965</x:v>
      </x:c>
      <x:c r="F609" t="str">
        <x:v>https://www.webonary.org/marubo/g149377a5-b318-4360-b5ba-15023adad965/</x:v>
      </x:c>
      <x:c r="G609" s="20" t="n">
        <x:v>46003.934813912034</x:v>
      </x:c>
    </x:row>
    <x:row r="610">
      <x:c r="A610" t="str">
        <x:v>cortar cabeça</x:v>
      </x:c>
      <x:c r="B610" t="str">
        <x:v>voshtea</x:v>
      </x:c>
      <x:c r="C610" t="str">
        <x:v>c</x:v>
      </x:c>
      <x:c r="D610" t="str">
        <x:v>gc038d101-ff92-45a4-a96f-35bd9f7b1920</x:v>
      </x:c>
      <x:c r="E610" t="str">
        <x:v>g995b0bb7-77cf-4396-b7bf-48a3860de0ca</x:v>
      </x:c>
      <x:c r="F610" t="str">
        <x:v>https://www.webonary.org/marubo/g995b0bb7-77cf-4396-b7bf-48a3860de0ca/</x:v>
      </x:c>
      <x:c r="G610" s="20" t="n">
        <x:v>46003.934813912034</x:v>
      </x:c>
    </x:row>
    <x:row r="611">
      <x:c r="A611" t="str">
        <x:v>cortar cabelo</x:v>
      </x:c>
      <x:c r="B611" t="str">
        <x:v>mashko aká</x:v>
      </x:c>
      <x:c r="C611" t="str">
        <x:v>c</x:v>
      </x:c>
      <x:c r="D611" t="str">
        <x:v>gf8354151-8e0f-4cb5-84c5-f535446f5590</x:v>
      </x:c>
      <x:c r="E611" t="str">
        <x:v>gd5285f47-c0ed-4264-931f-fb8e5ea20fa3</x:v>
      </x:c>
      <x:c r="F611" t="str">
        <x:v>https://www.webonary.org/marubo/gd5285f47-c0ed-4264-931f-fb8e5ea20fa3/</x:v>
      </x:c>
      <x:c r="G611" s="20" t="n">
        <x:v>46003.934813912034</x:v>
      </x:c>
    </x:row>
    <x:row r="612">
      <x:c r="A612" t="str">
        <x:v>cortar galho duro</x:v>
      </x:c>
      <x:c r="B612" t="str">
        <x:v>merea</x:v>
      </x:c>
      <x:c r="C612" t="str">
        <x:v>c</x:v>
      </x:c>
      <x:c r="D612" t="str">
        <x:v>g8d69103c-dc73-474e-9ee3-35e3fe29f583</x:v>
      </x:c>
      <x:c r="E612" t="str">
        <x:v>gd68f453c-12b2-4b5f-9a20-ff3787e7b6eb</x:v>
      </x:c>
      <x:c r="F612" t="str">
        <x:v>https://www.webonary.org/marubo/gd68f453c-12b2-4b5f-9a20-ff3787e7b6eb/</x:v>
      </x:c>
      <x:c r="G612" s="20" t="n">
        <x:v>46003.934813912034</x:v>
      </x:c>
    </x:row>
    <x:row r="613">
      <x:c r="A613" t="str">
        <x:v>cortar o casco de quelônia</x:v>
      </x:c>
      <x:c r="B613" t="str">
        <x:v>paréa</x:v>
      </x:c>
      <x:c r="C613" t="str">
        <x:v>c</x:v>
      </x:c>
      <x:c r="D613" t="str">
        <x:v>g27f4122e-313c-4b49-b2f6-35e7a67adce8</x:v>
      </x:c>
      <x:c r="E613" t="str">
        <x:v>ga84be760-b6b7-4eca-8eb6-44795b181081</x:v>
      </x:c>
      <x:c r="F613" t="str">
        <x:v>https://www.webonary.org/marubo/ga84be760-b6b7-4eca-8eb6-44795b181081/</x:v>
      </x:c>
      <x:c r="G613" s="20" t="n">
        <x:v>46003.934813912034</x:v>
      </x:c>
    </x:row>
    <x:row r="614">
      <x:c r="A614" t="str">
        <x:v>cortar palha da palmeira</x:v>
      </x:c>
      <x:c r="B614" t="str">
        <x:v>peréa</x:v>
      </x:c>
      <x:c r="C614" t="str">
        <x:v>c</x:v>
      </x:c>
      <x:c r="D614" t="str">
        <x:v>gbaa62e61-8d1d-47f7-9539-18e28dff11d9</x:v>
      </x:c>
      <x:c r="E614" t="str">
        <x:v>g99ea68c7-73e2-4f07-85a7-cbb1d85a1c99</x:v>
      </x:c>
      <x:c r="F614" t="str">
        <x:v>https://www.webonary.org/marubo/g99ea68c7-73e2-4f07-85a7-cbb1d85a1c99/</x:v>
      </x:c>
      <x:c r="G614" s="20" t="n">
        <x:v>46003.934813912034</x:v>
      </x:c>
    </x:row>
    <x:row r="615">
      <x:c r="A615" t="str">
        <x:v>cortar pela parte tanama</x:v>
      </x:c>
      <x:c r="B615" t="str">
        <x:v>yashá aká</x:v>
      </x:c>
      <x:c r="C615" t="str">
        <x:v>c</x:v>
      </x:c>
      <x:c r="D615" t="str">
        <x:v>g8e0f1690-7417-48c7-aedd-506ab66c98c5</x:v>
      </x:c>
      <x:c r="E615" t="str">
        <x:v>g75b44cdf-302c-4fb3-90fd-319cd3c2df67</x:v>
      </x:c>
      <x:c r="F615" t="str">
        <x:v>https://www.webonary.org/marubo/g75b44cdf-302c-4fb3-90fd-319cd3c2df67/</x:v>
      </x:c>
      <x:c r="G615" s="20" t="n">
        <x:v>46003.934813912034</x:v>
      </x:c>
    </x:row>
    <x:row r="616">
      <x:c r="A616" t="str">
        <x:v>cortar pela parte traseira</x:v>
      </x:c>
      <x:c r="B616" t="str">
        <x:v>txishá aká</x:v>
      </x:c>
      <x:c r="C616" t="str">
        <x:v>c</x:v>
      </x:c>
      <x:c r="D616" t="str">
        <x:v>g5a2d16f9-46fd-4ed3-a7e6-7490db8a15db</x:v>
      </x:c>
      <x:c r="E616" t="str">
        <x:v>ge3282648-4a93-472c-ac44-3be37c193c48</x:v>
      </x:c>
      <x:c r="F616" t="str">
        <x:v>https://www.webonary.org/marubo/ge3282648-4a93-472c-ac44-3be37c193c48/</x:v>
      </x:c>
      <x:c r="G616" s="20" t="n">
        <x:v>46003.934813912034</x:v>
      </x:c>
    </x:row>
    <x:row r="617">
      <x:c r="A617" t="str">
        <x:v>cortar pelo caminho</x:v>
      </x:c>
      <x:c r="B617" t="str">
        <x:v>voshtẽa</x:v>
      </x:c>
      <x:c r="C617" t="str">
        <x:v>c</x:v>
      </x:c>
      <x:c r="D617" t="str">
        <x:v>gca092f58-1da4-4b80-9169-e46f4b448afc</x:v>
      </x:c>
      <x:c r="E617" t="str">
        <x:v>g626599ac-29d1-4993-889e-d301c32f9759</x:v>
      </x:c>
      <x:c r="F617" t="str">
        <x:v>https://www.webonary.org/marubo/g626599ac-29d1-4993-889e-d301c32f9759/</x:v>
      </x:c>
      <x:c r="G617" s="20" t="n">
        <x:v>46003.934813912034</x:v>
      </x:c>
    </x:row>
    <x:row r="618">
      <x:c r="A618" t="str">
        <x:v>cortar raiz de banana</x:v>
      </x:c>
      <x:c r="B618" t="str">
        <x:v>vero aká</x:v>
      </x:c>
      <x:c r="C618" t="str">
        <x:v>c</x:v>
      </x:c>
      <x:c r="D618" t="str">
        <x:v>g652bc7ab-6186-445b-ab8f-510173d57f89</x:v>
      </x:c>
      <x:c r="E618" t="str">
        <x:v>gdb3c94d3-5011-499d-908e-c42118cc319d</x:v>
      </x:c>
      <x:c r="F618" t="str">
        <x:v>https://www.webonary.org/marubo/gdb3c94d3-5011-499d-908e-c42118cc319d/</x:v>
      </x:c>
      <x:c r="G618" s="20" t="n">
        <x:v>46003.934813912034</x:v>
      </x:c>
    </x:row>
    <x:row r="619">
      <x:c r="A619" t="str">
        <x:v>coruja</x:v>
      </x:c>
      <x:c r="B619" t="str">
        <x:v>popo</x:v>
      </x:c>
      <x:c r="C619" t="str">
        <x:v>c</x:v>
      </x:c>
      <x:c r="D619" t="str">
        <x:v>g29fac952-083f-4cff-bae7-972348454c84</x:v>
      </x:c>
      <x:c r="E619" t="str">
        <x:v>gb6af6588-8ef3-4b18-bef1-60b4f763301e</x:v>
      </x:c>
      <x:c r="F619" t="str">
        <x:v>https://www.webonary.org/marubo/gb6af6588-8ef3-4b18-bef1-60b4f763301e/</x:v>
      </x:c>
      <x:c r="G619" s="20" t="n">
        <x:v>46003.934813912034</x:v>
      </x:c>
    </x:row>
    <x:row r="620">
      <x:c r="A620" t="str">
        <x:v>coruja</x:v>
      </x:c>
      <x:c r="B620" t="str">
        <x:v>1</x:v>
      </x:c>
      <x:c r="C620" t="str">
        <x:v>c</x:v>
      </x:c>
      <x:c r="D620" t="str">
        <x:v>g29fac952-083f-4cff-bae7-972348454c84</x:v>
      </x:c>
      <x:c r="E620" t="str">
        <x:v>gb6af6588-8ef3-4b18-bef1-60b4f763301e</x:v>
      </x:c>
      <x:c r="F620" t="str">
        <x:v>https://www.webonary.org/marubo/gb6af6588-8ef3-4b18-bef1-60b4f763301e/</x:v>
      </x:c>
      <x:c r="G620" s="20" t="n">
        <x:v>46003.934813912034</x:v>
      </x:c>
    </x:row>
    <x:row r="621">
      <x:c r="A621" t="str">
        <x:v>costas</x:v>
      </x:c>
      <x:c r="B621" t="str">
        <x:v>petxiri</x:v>
      </x:c>
      <x:c r="C621" t="str">
        <x:v>c</x:v>
      </x:c>
      <x:c r="D621" t="str">
        <x:v>g3a448e98-9cc8-4c0d-999b-202c947128bd</x:v>
      </x:c>
      <x:c r="E621" t="str">
        <x:v>g69dde115-56bf-45e5-ac57-4f80e631f576</x:v>
      </x:c>
      <x:c r="F621" t="str">
        <x:v>https://www.webonary.org/marubo/g69dde115-56bf-45e5-ac57-4f80e631f576/</x:v>
      </x:c>
      <x:c r="G621" s="20" t="n">
        <x:v>46003.934813912034</x:v>
      </x:c>
    </x:row>
    <x:row r="622">
      <x:c r="A622" t="str">
        <x:v>costela</x:v>
      </x:c>
      <x:c r="B622" t="str">
        <x:v>pichi</x:v>
      </x:c>
      <x:c r="C622" t="str">
        <x:v>c</x:v>
      </x:c>
      <x:c r="D622" t="str">
        <x:v>gd23ca29c-3711-4474-9c6b-b67a69432c64</x:v>
      </x:c>
      <x:c r="E622" t="str">
        <x:v>g615e1826-f87d-418a-b168-136363e972cb</x:v>
      </x:c>
      <x:c r="F622" t="str">
        <x:v>https://www.webonary.org/marubo/g615e1826-f87d-418a-b168-136363e972cb/</x:v>
      </x:c>
      <x:c r="G622" s="20" t="n">
        <x:v>46003.934813912034</x:v>
      </x:c>
    </x:row>
    <x:row r="623">
      <x:c r="A623" t="str">
        <x:v>costeletas</x:v>
      </x:c>
      <x:c r="B623" t="str">
        <x:v>vechpi rani</x:v>
      </x:c>
      <x:c r="C623" t="str">
        <x:v>c</x:v>
      </x:c>
      <x:c r="D623" t="str">
        <x:v>g930c0bcd-0011-47bb-a682-ae80c73b3f61</x:v>
      </x:c>
      <x:c r="E623" t="str">
        <x:v>gd7ad6676-973d-43cf-8b26-a4a19fb0133a</x:v>
      </x:c>
      <x:c r="F623" t="str">
        <x:v>https://www.webonary.org/marubo/gd7ad6676-973d-43cf-8b26-a4a19fb0133a/</x:v>
      </x:c>
      <x:c r="G623" s="20" t="n">
        <x:v>46003.934813912034</x:v>
      </x:c>
    </x:row>
    <x:row r="624">
      <x:c r="A624" t="str">
        <x:v>costurar</x:v>
      </x:c>
      <x:c r="B624" t="str">
        <x:v>tõs aká</x:v>
      </x:c>
      <x:c r="C624" t="str">
        <x:v>c</x:v>
      </x:c>
      <x:c r="D624" t="str">
        <x:v>gd0239896-f106-48d1-bd83-4468ff879ba5</x:v>
      </x:c>
      <x:c r="E624" t="str">
        <x:v>g512d6d56-3b4e-4834-a66f-29891da2e427</x:v>
      </x:c>
      <x:c r="F624" t="str">
        <x:v>https://www.webonary.org/marubo/g512d6d56-3b4e-4834-a66f-29891da2e427/</x:v>
      </x:c>
      <x:c r="G624" s="20" t="n">
        <x:v>46003.934813912034</x:v>
      </x:c>
    </x:row>
    <x:row r="625">
      <x:c r="A625" t="str">
        <x:v>costurar</x:v>
      </x:c>
      <x:c r="B625" t="str">
        <x:v>noshea</x:v>
      </x:c>
      <x:c r="C625" t="str">
        <x:v>c</x:v>
      </x:c>
      <x:c r="D625" t="str">
        <x:v>gd0239896-f106-48d1-bd83-4468ff879ba5</x:v>
      </x:c>
      <x:c r="E625" t="str">
        <x:v>ga6077991-14d0-4768-b97b-fa380436d194</x:v>
      </x:c>
      <x:c r="F625" t="str">
        <x:v>https://www.webonary.org/marubo/ga6077991-14d0-4768-b97b-fa380436d194/</x:v>
      </x:c>
      <x:c r="G625" s="20" t="n">
        <x:v>46003.934813912034</x:v>
      </x:c>
    </x:row>
    <x:row r="626">
      <x:c r="A626" t="str">
        <x:v>cotonete</x:v>
      </x:c>
      <x:c r="B626" t="str">
        <x:v>paviróti</x:v>
      </x:c>
      <x:c r="C626" t="str">
        <x:v>c</x:v>
      </x:c>
      <x:c r="D626" t="str">
        <x:v>g31c034c4-14de-4a48-87d1-32d6dfcc5a7b</x:v>
      </x:c>
      <x:c r="E626" t="str">
        <x:v>g4da7b073-93db-4cdf-8c6f-1ff556ddbb36</x:v>
      </x:c>
      <x:c r="F626" t="str">
        <x:v>https://www.webonary.org/marubo/g4da7b073-93db-4cdf-8c6f-1ff556ddbb36/</x:v>
      </x:c>
      <x:c r="G626" s="20" t="n">
        <x:v>46003.934813912034</x:v>
      </x:c>
    </x:row>
    <x:row r="627">
      <x:c r="A627" t="str">
        <x:v>cotovelo</x:v>
      </x:c>
      <x:c r="B627" t="str">
        <x:v>txitáshe</x:v>
      </x:c>
      <x:c r="C627" t="str">
        <x:v>c</x:v>
      </x:c>
      <x:c r="D627" t="str">
        <x:v>g160bb639-2a0b-486f-99ba-2513469d3041</x:v>
      </x:c>
      <x:c r="E627" t="str">
        <x:v>g03b09655-d7df-4884-9efc-add64a46d9cc</x:v>
      </x:c>
      <x:c r="F627" t="str">
        <x:v>https://www.webonary.org/marubo/g03b09655-d7df-4884-9efc-add64a46d9cc/</x:v>
      </x:c>
      <x:c r="G627" s="20" t="n">
        <x:v>46003.934813912034</x:v>
      </x:c>
    </x:row>
    <x:row r="628">
      <x:c r="A628" t="str">
        <x:v>cotovelo</x:v>
      </x:c>
      <x:c r="B628" t="str">
        <x:v>metáshtxĩto</x:v>
      </x:c>
      <x:c r="C628" t="str">
        <x:v>c</x:v>
      </x:c>
      <x:c r="D628" t="str">
        <x:v>g160bb639-2a0b-486f-99ba-2513469d3041</x:v>
      </x:c>
      <x:c r="E628" t="str">
        <x:v>gf1d56b31-aac0-4f99-a329-5d6bc8827bcf</x:v>
      </x:c>
      <x:c r="F628" t="str">
        <x:v>https://www.webonary.org/marubo/gf1d56b31-aac0-4f99-a329-5d6bc8827bcf/</x:v>
      </x:c>
      <x:c r="G628" s="20" t="n">
        <x:v>46003.934813912034</x:v>
      </x:c>
    </x:row>
    <x:row r="629">
      <x:c r="A629" t="str">
        <x:v>coxa</x:v>
      </x:c>
      <x:c r="B629" t="str">
        <x:v>kichi</x:v>
      </x:c>
      <x:c r="C629" t="str">
        <x:v>c</x:v>
      </x:c>
      <x:c r="D629" t="str">
        <x:v>g87984386-2015-49c7-a4cf-7d3d2f8b58a7</x:v>
      </x:c>
      <x:c r="E629" t="str">
        <x:v>g066a9872-0c0b-4de2-9f18-8df26ca6e239</x:v>
      </x:c>
      <x:c r="F629" t="str">
        <x:v>https://www.webonary.org/marubo/g066a9872-0c0b-4de2-9f18-8df26ca6e239/</x:v>
      </x:c>
      <x:c r="G629" s="20" t="n">
        <x:v>46003.934813912034</x:v>
      </x:c>
    </x:row>
    <x:row r="630">
      <x:c r="A630" t="str">
        <x:v>cozido</x:v>
      </x:c>
      <x:c r="B630" t="str">
        <x:v>naiya</x:v>
      </x:c>
      <x:c r="C630" t="str">
        <x:v>c</x:v>
      </x:c>
      <x:c r="D630" t="str">
        <x:v>gbc7991aa-06da-4d4a-9c90-97b25457ca7c</x:v>
      </x:c>
      <x:c r="E630" t="str">
        <x:v>gab3ae5c4-e8a2-41b7-a284-6674e7aff70d</x:v>
      </x:c>
      <x:c r="F630" t="str">
        <x:v>https://www.webonary.org/marubo/gab3ae5c4-e8a2-41b7-a284-6674e7aff70d/</x:v>
      </x:c>
      <x:c r="G630" s="20" t="n">
        <x:v>46003.934813912034</x:v>
      </x:c>
    </x:row>
    <x:row r="631">
      <x:c r="A631" t="str">
        <x:v>crescer</x:v>
      </x:c>
      <x:c r="B631" t="str">
        <x:v>kania</x:v>
      </x:c>
      <x:c r="C631" t="str">
        <x:v>c</x:v>
      </x:c>
      <x:c r="D631" t="str">
        <x:v>g96af3d24-1305-4309-a9cb-754472601fce</x:v>
      </x:c>
      <x:c r="E631" t="str">
        <x:v>gc4f935ea-9f09-41af-a5bb-b6a554181605</x:v>
      </x:c>
      <x:c r="F631" t="str">
        <x:v>https://www.webonary.org/marubo/gc4f935ea-9f09-41af-a5bb-b6a554181605/</x:v>
      </x:c>
      <x:c r="G631" s="20" t="n">
        <x:v>46003.934813912034</x:v>
      </x:c>
    </x:row>
    <x:row r="632">
      <x:c r="A632" t="str">
        <x:v>crescer</x:v>
      </x:c>
      <x:c r="B632" t="str">
        <x:v>mashpá nía</x:v>
      </x:c>
      <x:c r="C632" t="str">
        <x:v>c</x:v>
      </x:c>
      <x:c r="D632" t="str">
        <x:v>g96af3d24-1305-4309-a9cb-754472601fce</x:v>
      </x:c>
      <x:c r="E632" t="str">
        <x:v>ge2f682ff-7010-442e-bbaf-92564257da01</x:v>
      </x:c>
      <x:c r="F632" t="str">
        <x:v>https://www.webonary.org/marubo/ge2f682ff-7010-442e-bbaf-92564257da01/</x:v>
      </x:c>
      <x:c r="G632" s="20" t="n">
        <x:v>46003.934813912034</x:v>
      </x:c>
    </x:row>
    <x:row r="633">
      <x:c r="A633" t="str">
        <x:v>criança</x:v>
      </x:c>
      <x:c r="B633" t="str">
        <x:v>vake</x:v>
      </x:c>
      <x:c r="C633" t="str">
        <x:v>c</x:v>
      </x:c>
      <x:c r="D633" t="str">
        <x:v>g576bb660-b4ec-45f4-98f5-8e68cd6b190a</x:v>
      </x:c>
      <x:c r="E633" t="str">
        <x:v>gb816fb52-eb82-45f9-ac7f-0a81f722a3cc</x:v>
      </x:c>
      <x:c r="F633" t="str">
        <x:v>https://www.webonary.org/marubo/gb816fb52-eb82-45f9-ac7f-0a81f722a3cc/</x:v>
      </x:c>
      <x:c r="G633" s="20" t="n">
        <x:v>46003.934813912034</x:v>
      </x:c>
    </x:row>
    <x:row r="634">
      <x:c r="A634" t="str">
        <x:v>criança pequena</x:v>
      </x:c>
      <x:c r="B634" t="str">
        <x:v>mãcho</x:v>
      </x:c>
      <x:c r="C634" t="str">
        <x:v>c</x:v>
      </x:c>
      <x:c r="D634" t="str">
        <x:v>gf64a6b14-567f-4fd3-9a65-91f99f4e950d</x:v>
      </x:c>
      <x:c r="E634" t="str">
        <x:v>g0c040441-9a08-42e1-bc47-5dd87c419e35</x:v>
      </x:c>
      <x:c r="F634" t="str">
        <x:v>https://www.webonary.org/marubo/g0c040441-9a08-42e1-bc47-5dd87c419e35/</x:v>
      </x:c>
      <x:c r="G634" s="20" t="n">
        <x:v>46003.934813912034</x:v>
      </x:c>
    </x:row>
    <x:row r="635">
      <x:c r="A635" t="str">
        <x:v>criar</x:v>
      </x:c>
      <x:c r="B635" t="str">
        <x:v>kanimá</x:v>
      </x:c>
      <x:c r="C635" t="str">
        <x:v>c</x:v>
      </x:c>
      <x:c r="D635" t="str">
        <x:v>g7ddf4cc6-2eee-453f-9fdd-eb12f7b5ad20</x:v>
      </x:c>
      <x:c r="E635" t="str">
        <x:v>g765cb6a3-91c0-41d0-8aa3-fc49164d3b32</x:v>
      </x:c>
      <x:c r="F635" t="str">
        <x:v>https://www.webonary.org/marubo/g765cb6a3-91c0-41d0-8aa3-fc49164d3b32/</x:v>
      </x:c>
      <x:c r="G635" s="20" t="n">
        <x:v>46003.934813912034</x:v>
      </x:c>
    </x:row>
    <x:row r="636">
      <x:c r="A636" t="str">
        <x:v>cru</x:v>
      </x:c>
      <x:c r="B636" t="str">
        <x:v>pasha</x:v>
      </x:c>
      <x:c r="C636" t="str">
        <x:v>c</x:v>
      </x:c>
      <x:c r="D636" t="str">
        <x:v>g9b1b1bcd-ed5e-4446-afc7-9e91a7acdf24</x:v>
      </x:c>
      <x:c r="E636" t="str">
        <x:v>gc41dadba-9683-4f5a-9754-6d03cd4bd64b</x:v>
      </x:c>
      <x:c r="F636" t="str">
        <x:v>https://www.webonary.org/marubo/gc41dadba-9683-4f5a-9754-6d03cd4bd64b/</x:v>
      </x:c>
      <x:c r="G636" s="20" t="n">
        <x:v>46003.934813912034</x:v>
      </x:c>
    </x:row>
    <x:row r="637">
      <x:c r="A637" t="str">
        <x:v>cru</x:v>
      </x:c>
      <x:c r="B637" t="str">
        <x:v>nayama</x:v>
      </x:c>
      <x:c r="C637" t="str">
        <x:v>c</x:v>
      </x:c>
      <x:c r="D637" t="str">
        <x:v>g9b1b1bcd-ed5e-4446-afc7-9e91a7acdf24</x:v>
      </x:c>
      <x:c r="E637" t="str">
        <x:v>g6ad6194e-80b4-427a-bfbf-c480f0834b8f</x:v>
      </x:c>
      <x:c r="F637" t="str">
        <x:v>https://www.webonary.org/marubo/g6ad6194e-80b4-427a-bfbf-c480f0834b8f/</x:v>
      </x:c>
      <x:c r="G637" s="20" t="n">
        <x:v>46003.934813912034</x:v>
      </x:c>
    </x:row>
    <x:row r="638">
      <x:c r="A638" t="str">
        <x:v>cruzar</x:v>
      </x:c>
      <x:c r="B638" t="str">
        <x:v>pokea</x:v>
      </x:c>
      <x:c r="C638" t="str">
        <x:v>c</x:v>
      </x:c>
      <x:c r="D638" t="str">
        <x:v>g2f58113e-00f1-4405-901f-54241324568c</x:v>
      </x:c>
      <x:c r="E638" t="str">
        <x:v>g91b55762-9fdf-4dd3-9dfe-4dcc847a7f42</x:v>
      </x:c>
      <x:c r="F638" t="str">
        <x:v>https://www.webonary.org/marubo/g91b55762-9fdf-4dd3-9dfe-4dcc847a7f42/</x:v>
      </x:c>
      <x:c r="G638" s="20" t="n">
        <x:v>46003.934813912034</x:v>
      </x:c>
    </x:row>
    <x:row r="639">
      <x:c r="A639" t="str">
        <x:v>cuidar</x:v>
      </x:c>
      <x:c r="B639" t="str">
        <x:v>vesoa</x:v>
      </x:c>
      <x:c r="C639" t="str">
        <x:v>c</x:v>
      </x:c>
      <x:c r="D639" t="str">
        <x:v>g21b743c0-9e64-415e-95e7-f062e1087c02</x:v>
      </x:c>
      <x:c r="E639" t="str">
        <x:v>gafae3b60-af40-48e2-9785-e7e84b11c0ac</x:v>
      </x:c>
      <x:c r="F639" t="str">
        <x:v>https://www.webonary.org/marubo/gafae3b60-af40-48e2-9785-e7e84b11c0ac/</x:v>
      </x:c>
      <x:c r="G639" s="20" t="n">
        <x:v>46003.934813912034</x:v>
      </x:c>
    </x:row>
    <x:row r="640">
      <x:c r="A640" t="str">
        <x:v>cuidar</x:v>
      </x:c>
      <x:c r="B640" t="str">
        <x:v>1</x:v>
      </x:c>
      <x:c r="C640" t="str">
        <x:v>c</x:v>
      </x:c>
      <x:c r="D640" t="str">
        <x:v>g21b743c0-9e64-415e-95e7-f062e1087c02</x:v>
      </x:c>
      <x:c r="E640" t="str">
        <x:v>gafae3b60-af40-48e2-9785-e7e84b11c0ac</x:v>
      </x:c>
      <x:c r="F640" t="str">
        <x:v>https://www.webonary.org/marubo/gafae3b60-af40-48e2-9785-e7e84b11c0ac/</x:v>
      </x:c>
      <x:c r="G640" s="20" t="n">
        <x:v>46003.934813912034</x:v>
      </x:c>
    </x:row>
    <x:row r="641">
      <x:c r="A641" t="str">
        <x:v>cujubim</x:v>
      </x:c>
      <x:c r="B641" t="str">
        <x:v>kosho</x:v>
      </x:c>
      <x:c r="C641" t="str">
        <x:v>c</x:v>
      </x:c>
      <x:c r="D641" t="str">
        <x:v>g148ff0b0-5ece-4250-aa5d-1b4e581a2d5e</x:v>
      </x:c>
      <x:c r="E641" t="str">
        <x:v>ged8a99a3-e78e-44b9-8de7-dc026c7e0736</x:v>
      </x:c>
      <x:c r="F641" t="str">
        <x:v>https://www.webonary.org/marubo/ged8a99a3-e78e-44b9-8de7-dc026c7e0736/</x:v>
      </x:c>
      <x:c r="G641" s="20" t="n">
        <x:v>46003.934813912034</x:v>
      </x:c>
    </x:row>
    <x:row r="642">
      <x:c r="A642" t="str">
        <x:v>cujubim</x:v>
      </x:c>
      <x:c r="B642" t="str">
        <x:v>1</x:v>
      </x:c>
      <x:c r="C642" t="str">
        <x:v>c</x:v>
      </x:c>
      <x:c r="D642" t="str">
        <x:v>g148ff0b0-5ece-4250-aa5d-1b4e581a2d5e</x:v>
      </x:c>
      <x:c r="E642" t="str">
        <x:v>ged8a99a3-e78e-44b9-8de7-dc026c7e0736</x:v>
      </x:c>
      <x:c r="F642" t="str">
        <x:v>https://www.webonary.org/marubo/ged8a99a3-e78e-44b9-8de7-dc026c7e0736/</x:v>
      </x:c>
      <x:c r="G642" s="20" t="n">
        <x:v>46003.934813912034</x:v>
      </x:c>
    </x:row>
    <x:row r="643">
      <x:c r="A643" t="str">
        <x:v>cunhado</x:v>
      </x:c>
      <x:c r="B643" t="str">
        <x:v>ketsa aa</x:v>
      </x:c>
      <x:c r="C643" t="str">
        <x:v>c</x:v>
      </x:c>
      <x:c r="D643" t="str">
        <x:v>g8df02a03-252c-4407-a607-1aba6a104960</x:v>
      </x:c>
      <x:c r="E643" t="str">
        <x:v>gbdf172d7-d252-4c7e-9bde-9376e48aa6d0</x:v>
      </x:c>
      <x:c r="F643" t="str">
        <x:v>https://www.webonary.org/marubo/gbdf172d7-d252-4c7e-9bde-9376e48aa6d0/</x:v>
      </x:c>
      <x:c r="G643" s="20" t="n">
        <x:v>46003.934813912034</x:v>
      </x:c>
    </x:row>
    <x:row r="644">
      <x:c r="A644" t="str">
        <x:v>cupim</x:v>
      </x:c>
      <x:c r="B644" t="str">
        <x:v>nakáshe</x:v>
      </x:c>
      <x:c r="C644" t="str">
        <x:v>c</x:v>
      </x:c>
      <x:c r="D644" t="str">
        <x:v>gc6e9b3c9-6a23-4c11-84d0-9f1006fe2555</x:v>
      </x:c>
      <x:c r="E644" t="str">
        <x:v>gf0ea9f3c-a792-43eb-9f26-b398025d9d55</x:v>
      </x:c>
      <x:c r="F644" t="str">
        <x:v>https://www.webonary.org/marubo/gf0ea9f3c-a792-43eb-9f26-b398025d9d55/</x:v>
      </x:c>
      <x:c r="G644" s="20" t="n">
        <x:v>46003.934813912034</x:v>
      </x:c>
    </x:row>
    <x:row r="645">
      <x:c r="A645" t="str">
        <x:v>cupuaçu</x:v>
      </x:c>
      <x:c r="B645" t="str">
        <x:v>no</x:v>
      </x:c>
      <x:c r="C645" t="str">
        <x:v>c</x:v>
      </x:c>
      <x:c r="D645" t="str">
        <x:v>g3e92c25a-055a-44ae-8f93-25e72966821a</x:v>
      </x:c>
      <x:c r="E645" t="str">
        <x:v>geeabec6c-a661-4647-8f69-d743436daeb5</x:v>
      </x:c>
      <x:c r="F645" t="str">
        <x:v>https://www.webonary.org/marubo/geeabec6c-a661-4647-8f69-d743436daeb5/</x:v>
      </x:c>
      <x:c r="G645" s="20" t="n">
        <x:v>46003.934813912034</x:v>
      </x:c>
    </x:row>
    <x:row r="646">
      <x:c r="A646" t="str">
        <x:v>curare</x:v>
      </x:c>
      <x:c r="B646" t="str">
        <x:v>veneno para colocar em ponto de flecha</x:v>
      </x:c>
      <x:c r="C646" t="str">
        <x:v>c</x:v>
      </x:c>
      <x:c r="D646" t="str">
        <x:v>g6042dd0a-37c5-4909-9260-a77eafb7ec72</x:v>
      </x:c>
      <x:c r="E646" t="str">
        <x:v>g66ee96b2-379c-4081-b968-62703baca008</x:v>
      </x:c>
      <x:c r="F646" t="str">
        <x:v>https://www.webonary.org/marubo/g66ee96b2-379c-4081-b968-62703baca008/</x:v>
      </x:c>
      <x:c r="G646" s="20" t="n">
        <x:v>46003.934813912034</x:v>
      </x:c>
    </x:row>
    <x:row r="647">
      <x:c r="A647" t="str">
        <x:v>curativo</x:v>
      </x:c>
      <x:c r="B647" t="str">
        <x:v>tashnati</x:v>
      </x:c>
      <x:c r="C647" t="str">
        <x:v>c</x:v>
      </x:c>
      <x:c r="D647" t="str">
        <x:v>g5a3a4817-3ea5-4fc6-945a-831c5a28b66f</x:v>
      </x:c>
      <x:c r="E647" t="str">
        <x:v>gfa1312df-85db-4326-820b-1916d312b33d</x:v>
      </x:c>
      <x:c r="F647" t="str">
        <x:v>https://www.webonary.org/marubo/gfa1312df-85db-4326-820b-1916d312b33d/</x:v>
      </x:c>
      <x:c r="G647" s="20" t="n">
        <x:v>46003.934813912034</x:v>
      </x:c>
    </x:row>
    <x:row r="648">
      <x:c r="A648" t="str">
        <x:v>curimatã</x:v>
      </x:c>
      <x:c r="B648" t="str">
        <x:v>voé</x:v>
      </x:c>
      <x:c r="C648" t="str">
        <x:v>c</x:v>
      </x:c>
      <x:c r="D648" t="str">
        <x:v>gc53d8b6d-034f-4edd-ab40-19432ffbb7e2</x:v>
      </x:c>
      <x:c r="E648" t="str">
        <x:v>gca064ed4-f36e-400b-9a82-68e321ef3348</x:v>
      </x:c>
      <x:c r="F648" t="str">
        <x:v>https://www.webonary.org/marubo/gca064ed4-f36e-400b-9a82-68e321ef3348/</x:v>
      </x:c>
      <x:c r="G648" s="20" t="n">
        <x:v>46003.934813912034</x:v>
      </x:c>
    </x:row>
    <x:row r="649">
      <x:c r="A649" t="str">
        <x:v>curimatã pequeno</x:v>
      </x:c>
      <x:c r="B649" t="str">
        <x:v>voẽ rewéche</x:v>
      </x:c>
      <x:c r="C649" t="str">
        <x:v>c</x:v>
      </x:c>
      <x:c r="D649" t="str">
        <x:v>gebff7cee-8728-43a2-891b-de28feab0aa8</x:v>
      </x:c>
      <x:c r="E649" t="str">
        <x:v>g03b04dab-3c43-4d94-ab78-880f8f5e858d</x:v>
      </x:c>
      <x:c r="F649" t="str">
        <x:v>https://www.webonary.org/marubo/g03b04dab-3c43-4d94-ab78-880f8f5e858d/</x:v>
      </x:c>
      <x:c r="G649" s="20" t="n">
        <x:v>46003.93482293982</x:v>
      </x:c>
    </x:row>
    <x:row r="650">
      <x:c r="A650" t="str">
        <x:v>curva do rio</x:v>
      </x:c>
      <x:c r="B650" t="str">
        <x:v>waka po</x:v>
      </x:c>
      <x:c r="C650" t="str">
        <x:v>c</x:v>
      </x:c>
      <x:c r="D650" t="str">
        <x:v>gc425729a-6171-40ff-8a45-f4c257944087</x:v>
      </x:c>
      <x:c r="E650" t="str">
        <x:v>g418c5d80-e76b-4a88-8295-927446fa88b1</x:v>
      </x:c>
      <x:c r="F650" t="str">
        <x:v>https://www.webonary.org/marubo/g418c5d80-e76b-4a88-8295-927446fa88b1/</x:v>
      </x:c>
      <x:c r="G650" s="20" t="n">
        <x:v>46003.93482293982</x:v>
      </x:c>
    </x:row>
    <x:row r="651">
      <x:c r="A651" t="str">
        <x:v>cuspir</x:v>
      </x:c>
      <x:c r="B651" t="str">
        <x:v>toshpá aká</x:v>
      </x:c>
      <x:c r="C651" t="str">
        <x:v>c</x:v>
      </x:c>
      <x:c r="D651" t="str">
        <x:v>g0bb8b9c2-ab92-4d66-bb07-6813c909d033</x:v>
      </x:c>
      <x:c r="E651" t="str">
        <x:v>gd27ee9ed-e53d-4a1a-a719-cd821073a20f</x:v>
      </x:c>
      <x:c r="F651" t="str">
        <x:v>https://www.webonary.org/marubo/gd27ee9ed-e53d-4a1a-a719-cd821073a20f/</x:v>
      </x:c>
      <x:c r="G651" s="20" t="n">
        <x:v>46003.93482293982</x:v>
      </x:c>
    </x:row>
    <x:row r="652">
      <x:c r="A652" t="str">
        <x:v>cutia</x:v>
      </x:c>
      <x:c r="B652" t="str">
        <x:v>mari</x:v>
      </x:c>
      <x:c r="C652" t="str">
        <x:v>c</x:v>
      </x:c>
      <x:c r="D652" t="str">
        <x:v>g50ce12e4-a21d-4a53-95e5-3179a4deded2</x:v>
      </x:c>
      <x:c r="E652" t="str">
        <x:v>gc1c82c43-c317-4bb3-a5cc-34b6836715d0</x:v>
      </x:c>
      <x:c r="F652" t="str">
        <x:v>https://www.webonary.org/marubo/gc1c82c43-c317-4bb3-a5cc-34b6836715d0/</x:v>
      </x:c>
      <x:c r="G652" s="20" t="n">
        <x:v>46003.93482293982</x:v>
      </x:c>
    </x:row>
    <x:row r="653">
      <x:c r="A653" t="str">
        <x:v>cutucar na festa de Vina Atxia</x:v>
      </x:c>
      <x:c r="B653" t="str">
        <x:v>yatí aká</x:v>
      </x:c>
      <x:c r="C653" t="str">
        <x:v>c</x:v>
      </x:c>
      <x:c r="D653" t="str">
        <x:v>gc6a55265-5633-4806-87a4-b9f4cf3d1506</x:v>
      </x:c>
      <x:c r="E653" t="str">
        <x:v>g873e721b-077e-4750-8cf0-d7ed4cfcb067</x:v>
      </x:c>
      <x:c r="F653" t="str">
        <x:v>https://www.webonary.org/marubo/g873e721b-077e-4750-8cf0-d7ed4cfcb067/</x:v>
      </x:c>
      <x:c r="G653" s="20" t="n">
        <x:v>46003.93482293982</x:v>
      </x:c>
    </x:row>
    <x:row r="654">
      <x:c r="A654" t="str">
        <x:v>dançar</x:v>
      </x:c>
      <x:c r="B654" t="str">
        <x:v>monoa</x:v>
      </x:c>
      <x:c r="C654" t="str">
        <x:v>d</x:v>
      </x:c>
      <x:c r="D654" t="str">
        <x:v>gdb04d072-8986-4bd7-af58-a9a272ae80ab</x:v>
      </x:c>
      <x:c r="E654" t="str">
        <x:v>g7ab0bfde-cbfc-4b4d-b165-3c5936cbcd3d</x:v>
      </x:c>
      <x:c r="F654" t="str">
        <x:v>https://www.webonary.org/marubo/g7ab0bfde-cbfc-4b4d-b165-3c5936cbcd3d/</x:v>
      </x:c>
      <x:c r="G654" s="20" t="n">
        <x:v>46003.93482293982</x:v>
      </x:c>
    </x:row>
    <x:row r="655">
      <x:c r="A655" t="str">
        <x:v>dar</x:v>
      </x:c>
      <x:c r="B655" t="str">
        <x:v>inã</x:v>
      </x:c>
      <x:c r="C655" t="str">
        <x:v>d</x:v>
      </x:c>
      <x:c r="D655" t="str">
        <x:v>gd8bb6a40-efbb-4de9-b306-7eae76eb0163</x:v>
      </x:c>
      <x:c r="E655" t="str">
        <x:v>gcaa98a32-ef93-4c51-926c-373802ad14b7</x:v>
      </x:c>
      <x:c r="F655" t="str">
        <x:v>https://www.webonary.org/marubo/gcaa98a32-ef93-4c51-926c-373802ad14b7/</x:v>
      </x:c>
      <x:c r="G655" s="20" t="n">
        <x:v>46003.93482293982</x:v>
      </x:c>
    </x:row>
    <x:row r="656">
      <x:c r="A656" t="str">
        <x:v>dar a língua</x:v>
      </x:c>
      <x:c r="B656" t="str">
        <x:v>ãsi ikí</x:v>
      </x:c>
      <x:c r="C656" t="str">
        <x:v>d</x:v>
      </x:c>
      <x:c r="D656" t="str">
        <x:v>ge046c1a3-52bc-4e43-b095-2ed2188bfb30</x:v>
      </x:c>
      <x:c r="E656" t="str">
        <x:v>g8a620291-308b-45c6-b072-3ceb8c211e0c</x:v>
      </x:c>
      <x:c r="F656" t="str">
        <x:v>https://www.webonary.org/marubo/g8a620291-308b-45c6-b072-3ceb8c211e0c/</x:v>
      </x:c>
      <x:c r="G656" s="20" t="n">
        <x:v>46003.93482293982</x:v>
      </x:c>
    </x:row>
    <x:row r="657">
      <x:c r="A657" t="str">
        <x:v>dar choque</x:v>
      </x:c>
      <x:c r="B657" t="str">
        <x:v>senã</x:v>
      </x:c>
      <x:c r="C657" t="str">
        <x:v>d</x:v>
      </x:c>
      <x:c r="D657" t="str">
        <x:v>g82e07af9-d330-43dc-a2c3-ef06e3200123</x:v>
      </x:c>
      <x:c r="E657" t="str">
        <x:v>g6ae86bd7-c73f-475d-972c-6f88d3ec8f8a</x:v>
      </x:c>
      <x:c r="F657" t="str">
        <x:v>https://www.webonary.org/marubo/g6ae86bd7-c73f-475d-972c-6f88d3ec8f8a/</x:v>
      </x:c>
      <x:c r="G657" s="20" t="n">
        <x:v>46003.93482293982</x:v>
      </x:c>
    </x:row>
    <x:row r="658">
      <x:c r="A658" t="str">
        <x:v>dar presente</x:v>
      </x:c>
      <x:c r="B658" t="str">
        <x:v>onis aká</x:v>
      </x:c>
      <x:c r="C658" t="str">
        <x:v>d</x:v>
      </x:c>
      <x:c r="D658" t="str">
        <x:v>gf95d7697-c69d-48fa-8f2e-c35edd590641</x:v>
      </x:c>
      <x:c r="E658" t="str">
        <x:v>g65785808-52a3-4b9a-ab39-9cd7e0a240b4</x:v>
      </x:c>
      <x:c r="F658" t="str">
        <x:v>https://www.webonary.org/marubo/g65785808-52a3-4b9a-ab39-9cd7e0a240b4/</x:v>
      </x:c>
      <x:c r="G658" s="20" t="n">
        <x:v>46003.93482293982</x:v>
      </x:c>
    </x:row>
    <x:row r="659">
      <x:c r="A659" t="str">
        <x:v>dar soco</x:v>
      </x:c>
      <x:c r="B659" t="str">
        <x:v>metash aká</x:v>
      </x:c>
      <x:c r="C659" t="str">
        <x:v>d</x:v>
      </x:c>
      <x:c r="D659" t="str">
        <x:v>g48240d8c-20bd-4637-be77-02ee52c606aa</x:v>
      </x:c>
      <x:c r="E659" t="str">
        <x:v>ga721172e-87f1-402f-b765-0ac8c7ba3fb2</x:v>
      </x:c>
      <x:c r="F659" t="str">
        <x:v>https://www.webonary.org/marubo/ga721172e-87f1-402f-b765-0ac8c7ba3fb2/</x:v>
      </x:c>
      <x:c r="G659" s="20" t="n">
        <x:v>46003.93482293982</x:v>
      </x:c>
    </x:row>
    <x:row r="660">
      <x:c r="A660" t="str">
        <x:v>dar soco no ouvido</x:v>
      </x:c>
      <x:c r="B660" t="str">
        <x:v>patxá aká</x:v>
      </x:c>
      <x:c r="C660" t="str">
        <x:v>d</x:v>
      </x:c>
      <x:c r="D660" t="str">
        <x:v>g676d5587-ad67-400d-bd7c-3916a4604d4f</x:v>
      </x:c>
      <x:c r="E660" t="str">
        <x:v>g376a9f0c-8683-4977-8725-a1a80a0701a1</x:v>
      </x:c>
      <x:c r="F660" t="str">
        <x:v>https://www.webonary.org/marubo/g376a9f0c-8683-4977-8725-a1a80a0701a1/</x:v>
      </x:c>
      <x:c r="G660" s="20" t="n">
        <x:v>46003.93482293982</x:v>
      </x:c>
    </x:row>
    <x:row r="661">
      <x:c r="A661" t="str">
        <x:v>dar varada nas costas</x:v>
      </x:c>
      <x:c r="B661" t="str">
        <x:v>perích aká</x:v>
      </x:c>
      <x:c r="C661" t="str">
        <x:v>d</x:v>
      </x:c>
      <x:c r="D661" t="str">
        <x:v>g2def67bf-be9e-4667-be20-131236a8150d</x:v>
      </x:c>
      <x:c r="E661" t="str">
        <x:v>g660a8831-8527-499c-a24e-522c1d81565a</x:v>
      </x:c>
      <x:c r="F661" t="str">
        <x:v>https://www.webonary.org/marubo/g660a8831-8527-499c-a24e-522c1d81565a/</x:v>
      </x:c>
      <x:c r="G661" s="20" t="n">
        <x:v>46003.93482293982</x:v>
      </x:c>
    </x:row>
    <x:row r="662">
      <x:c r="A662" t="str">
        <x:v>de bruços</x:v>
      </x:c>
      <x:c r="B662" t="str">
        <x:v>ãpe ipá</x:v>
      </x:c>
      <x:c r="C662" t="str">
        <x:v>d</x:v>
      </x:c>
      <x:c r="D662" t="str">
        <x:v>g35e03fd1-0d19-4119-bcfa-cd60a1637318</x:v>
      </x:c>
      <x:c r="E662" t="str">
        <x:v>g9bd2bb47-0921-445a-be9b-eb0b73941c0e</x:v>
      </x:c>
      <x:c r="F662" t="str">
        <x:v>https://www.webonary.org/marubo/g9bd2bb47-0921-445a-be9b-eb0b73941c0e/</x:v>
      </x:c>
      <x:c r="G662" s="20" t="n">
        <x:v>46003.93482293982</x:v>
      </x:c>
    </x:row>
    <x:row r="663">
      <x:c r="A663" t="str">
        <x:v>de repente</x:v>
      </x:c>
      <x:c r="B663" t="str">
        <x:v>rateíse</x:v>
      </x:c>
      <x:c r="C663" t="str">
        <x:v>d</x:v>
      </x:c>
      <x:c r="D663" t="str">
        <x:v>g0f86873c-9769-4c7c-b281-e71bf1d16dbb</x:v>
      </x:c>
      <x:c r="E663" t="str">
        <x:v>ge1183409-fe54-4250-b551-1aa5d793c88c</x:v>
      </x:c>
      <x:c r="F663" t="str">
        <x:v>https://www.webonary.org/marubo/ge1183409-fe54-4250-b551-1aa5d793c88c/</x:v>
      </x:c>
      <x:c r="G663" s="20" t="n">
        <x:v>46003.93482293982</x:v>
      </x:c>
    </x:row>
    <x:row r="664">
      <x:c r="A664" t="str">
        <x:v>de repente</x:v>
      </x:c>
      <x:c r="B664" t="str">
        <x:v>rate</x:v>
      </x:c>
      <x:c r="C664" t="str">
        <x:v>d</x:v>
      </x:c>
      <x:c r="D664" t="str">
        <x:v>g0f86873c-9769-4c7c-b281-e71bf1d16dbb</x:v>
      </x:c>
      <x:c r="E664" t="str">
        <x:v>gdd2501ff-c17d-4208-b9bc-feac073d9bc2</x:v>
      </x:c>
      <x:c r="F664" t="str">
        <x:v>https://www.webonary.org/marubo/gdd2501ff-c17d-4208-b9bc-feac073d9bc2/</x:v>
      </x:c>
      <x:c r="G664" s="20" t="n">
        <x:v>46003.93482293982</x:v>
      </x:c>
    </x:row>
    <x:row r="665">
      <x:c r="A665" t="str">
        <x:v>de volta</x:v>
      </x:c>
      <x:c r="B665" t="str">
        <x:v>arimẽse</x:v>
      </x:c>
      <x:c r="C665" t="str">
        <x:v>d</x:v>
      </x:c>
      <x:c r="D665" t="str">
        <x:v>gcfb9f03c-93cf-41c4-ae8d-1b1c31362767</x:v>
      </x:c>
      <x:c r="E665" t="str">
        <x:v>gc1756f4b-62cf-4d90-ae6f-455678df138f</x:v>
      </x:c>
      <x:c r="F665" t="str">
        <x:v>https://www.webonary.org/marubo/gc1756f4b-62cf-4d90-ae6f-455678df138f/</x:v>
      </x:c>
      <x:c r="G665" s="20" t="n">
        <x:v>46003.93482293982</x:v>
      </x:c>
    </x:row>
    <x:row r="666">
      <x:c r="A666" t="str">
        <x:v>debaixo da água</x:v>
      </x:c>
      <x:c r="B666" t="str">
        <x:v>ene oke</x:v>
      </x:c>
      <x:c r="C666" t="str">
        <x:v>d</x:v>
      </x:c>
      <x:c r="D666" t="str">
        <x:v>gdf841fe6-2680-4c57-a294-0f22628c945b</x:v>
      </x:c>
      <x:c r="E666" t="str">
        <x:v>g6a826ad9-c4af-4ccd-88c0-13a03ab4eba8</x:v>
      </x:c>
      <x:c r="F666" t="str">
        <x:v>https://www.webonary.org/marubo/g6a826ad9-c4af-4ccd-88c0-13a03ab4eba8/</x:v>
      </x:c>
      <x:c r="G666" s="20" t="n">
        <x:v>46003.93482293982</x:v>
      </x:c>
    </x:row>
    <x:row r="667">
      <x:c r="A667" t="str">
        <x:v>debaixo da coxa</x:v>
      </x:c>
      <x:c r="B667" t="str">
        <x:v>kichinaoshe</x:v>
      </x:c>
      <x:c r="C667" t="str">
        <x:v>d</x:v>
      </x:c>
      <x:c r="D667" t="str">
        <x:v>g363a7e39-abb6-4173-b371-0e64c3a90a8d</x:v>
      </x:c>
      <x:c r="E667" t="str">
        <x:v>g6f3791a4-d040-4492-a1fd-dee7c2ec8e54</x:v>
      </x:c>
      <x:c r="F667" t="str">
        <x:v>https://www.webonary.org/marubo/g6f3791a4-d040-4492-a1fd-dee7c2ec8e54/</x:v>
      </x:c>
      <x:c r="G667" s="20" t="n">
        <x:v>46003.93482293982</x:v>
      </x:c>
    </x:row>
    <x:row r="668">
      <x:c r="A668" t="str">
        <x:v>debicar</x:v>
      </x:c>
      <x:c r="B668" t="str">
        <x:v>txatxia</x:v>
      </x:c>
      <x:c r="C668" t="str">
        <x:v>d</x:v>
      </x:c>
      <x:c r="D668" t="str">
        <x:v>gc50f1591-5dfd-4d91-ac8f-d695bfef920d</x:v>
      </x:c>
      <x:c r="E668" t="str">
        <x:v>g39f88ccf-477f-4db1-9cc6-b03b507dedc3</x:v>
      </x:c>
      <x:c r="F668" t="str">
        <x:v>https://www.webonary.org/marubo/g39f88ccf-477f-4db1-9cc6-b03b507dedc3/</x:v>
      </x:c>
      <x:c r="G668" s="20" t="n">
        <x:v>46003.93482293982</x:v>
      </x:c>
    </x:row>
    <x:row r="669">
      <x:c r="A669" t="str">
        <x:v>debulhar</x:v>
      </x:c>
      <x:c r="B669" t="str">
        <x:v>shemea</x:v>
      </x:c>
      <x:c r="C669" t="str">
        <x:v>d</x:v>
      </x:c>
      <x:c r="D669" t="str">
        <x:v>ge1875af5-ba97-4514-a595-4bf5c4c8981c</x:v>
      </x:c>
      <x:c r="E669" t="str">
        <x:v>g882c5de4-688b-44d8-ac8d-6df6174f60d9</x:v>
      </x:c>
      <x:c r="F669" t="str">
        <x:v>https://www.webonary.org/marubo/g882c5de4-688b-44d8-ac8d-6df6174f60d9/</x:v>
      </x:c>
      <x:c r="G669" s="20" t="n">
        <x:v>46003.93482293982</x:v>
      </x:c>
    </x:row>
    <x:row r="670">
      <x:c r="A670" t="str">
        <x:v>decolar</x:v>
      </x:c>
      <x:c r="B670" t="str">
        <x:v>shará nia</x:v>
      </x:c>
      <x:c r="C670" t="str">
        <x:v>d</x:v>
      </x:c>
      <x:c r="D670" t="str">
        <x:v>g7ad2b0c0-32fd-473f-95e6-d4a631fa859a</x:v>
      </x:c>
      <x:c r="E670" t="str">
        <x:v>g10bf7945-0526-447b-83b5-ab4017234c86</x:v>
      </x:c>
      <x:c r="F670" t="str">
        <x:v>https://www.webonary.org/marubo/g10bf7945-0526-447b-83b5-ab4017234c86/</x:v>
      </x:c>
      <x:c r="G670" s="20" t="n">
        <x:v>46003.93482293982</x:v>
      </x:c>
    </x:row>
    <x:row r="671">
      <x:c r="A671" t="str">
        <x:v>defecar</x:v>
      </x:c>
      <x:c r="B671" t="str">
        <x:v>poia</x:v>
      </x:c>
      <x:c r="C671" t="str">
        <x:v>d</x:v>
      </x:c>
      <x:c r="D671" t="str">
        <x:v>g90871342-5749-4c28-9e15-2554b5054732</x:v>
      </x:c>
      <x:c r="E671" t="str">
        <x:v>ga3c5087b-85aa-4489-b192-85c9230c7d8b</x:v>
      </x:c>
      <x:c r="F671" t="str">
        <x:v>https://www.webonary.org/marubo/ga3c5087b-85aa-4489-b192-85c9230c7d8b/</x:v>
      </x:c>
      <x:c r="G671" s="20" t="n">
        <x:v>46003.93482293982</x:v>
      </x:c>
    </x:row>
    <x:row r="672">
      <x:c r="A672" t="str">
        <x:v>deficiente</x:v>
      </x:c>
      <x:c r="B672" t="str">
        <x:v>txãto</x:v>
      </x:c>
      <x:c r="C672" t="str">
        <x:v>d</x:v>
      </x:c>
      <x:c r="D672" t="str">
        <x:v>gb8298229-18dd-456f-b69a-b15327c9c378</x:v>
      </x:c>
      <x:c r="E672" t="str">
        <x:v>gbe0df28f-448d-49fb-be8e-6b08a342c243</x:v>
      </x:c>
      <x:c r="F672" t="str">
        <x:v>https://www.webonary.org/marubo/gbe0df28f-448d-49fb-be8e-6b08a342c243/</x:v>
      </x:c>
      <x:c r="G672" s="20" t="n">
        <x:v>46003.93482293982</x:v>
      </x:c>
    </x:row>
    <x:row r="673">
      <x:c r="A673" t="str">
        <x:v>defumar borracha</x:v>
      </x:c>
      <x:c r="B673" t="str">
        <x:v>koro aká</x:v>
      </x:c>
      <x:c r="C673" t="str">
        <x:v>d</x:v>
      </x:c>
      <x:c r="D673" t="str">
        <x:v>g017108d8-d631-41f2-ba9b-6891827dbb81</x:v>
      </x:c>
      <x:c r="E673" t="str">
        <x:v>gdf02c114-5ca9-4996-8b6b-fbbaf8bdeec3</x:v>
      </x:c>
      <x:c r="F673" t="str">
        <x:v>https://www.webonary.org/marubo/gdf02c114-5ca9-4996-8b6b-fbbaf8bdeec3/</x:v>
      </x:c>
      <x:c r="G673" s="20" t="n">
        <x:v>46003.93482293982</x:v>
      </x:c>
    </x:row>
    <x:row r="674">
      <x:c r="A674" t="str">
        <x:v>deixar</x:v>
      </x:c>
      <x:c r="B674" t="str">
        <x:v>enea</x:v>
      </x:c>
      <x:c r="C674" t="str">
        <x:v>d</x:v>
      </x:c>
      <x:c r="D674" t="str">
        <x:v>g0d6ca503-647b-4ccb-97ff-4325fbcc6370</x:v>
      </x:c>
      <x:c r="E674" t="str">
        <x:v>g98299b5a-3ca5-425a-940f-0e9c87612ec5</x:v>
      </x:c>
      <x:c r="F674" t="str">
        <x:v>https://www.webonary.org/marubo/g98299b5a-3ca5-425a-940f-0e9c87612ec5/</x:v>
      </x:c>
      <x:c r="G674" s="20" t="n">
        <x:v>46003.93482293982</x:v>
      </x:c>
    </x:row>
    <x:row r="675">
      <x:c r="A675" t="str">
        <x:v>demorado</x:v>
      </x:c>
      <x:c r="B675" t="str">
        <x:v>inoka</x:v>
      </x:c>
      <x:c r="C675" t="str">
        <x:v>d</x:v>
      </x:c>
      <x:c r="D675" t="str">
        <x:v>gc057e6fc-da4e-4823-9f52-701abfdb73f3</x:v>
      </x:c>
      <x:c r="E675" t="str">
        <x:v>gb1aaf0af-be48-40a0-9c2c-b80e9d37f45b</x:v>
      </x:c>
      <x:c r="F675" t="str">
        <x:v>https://www.webonary.org/marubo/gb1aaf0af-be48-40a0-9c2c-b80e9d37f45b/</x:v>
      </x:c>
      <x:c r="G675" s="20" t="n">
        <x:v>46003.93482293982</x:v>
      </x:c>
    </x:row>
    <x:row r="676">
      <x:c r="A676" t="str">
        <x:v>dente</x:v>
      </x:c>
      <x:c r="B676" t="str">
        <x:v>sheta</x:v>
      </x:c>
      <x:c r="C676" t="str">
        <x:v>d</x:v>
      </x:c>
      <x:c r="D676" t="str">
        <x:v>gbdd3a614-4b83-49c4-b835-925424f014ec</x:v>
      </x:c>
      <x:c r="E676" t="str">
        <x:v>gaee825dd-91d6-4082-a0f6-2ea21e7330ea</x:v>
      </x:c>
      <x:c r="F676" t="str">
        <x:v>https://www.webonary.org/marubo/gaee825dd-91d6-4082-a0f6-2ea21e7330ea/</x:v>
      </x:c>
      <x:c r="G676" s="20" t="n">
        <x:v>46003.93482293982</x:v>
      </x:c>
    </x:row>
    <x:row r="677">
      <x:c r="A677" t="str">
        <x:v>dentes caninos</x:v>
      </x:c>
      <x:c r="B677" t="str">
        <x:v>vimi toshati</x:v>
      </x:c>
      <x:c r="C677" t="str">
        <x:v>d</x:v>
      </x:c>
      <x:c r="D677" t="str">
        <x:v>g028ed507-059d-4b39-aae0-6d07e0afe66b</x:v>
      </x:c>
      <x:c r="E677" t="str">
        <x:v>g21d7c20c-98f3-4850-b234-e6f4fe2f8c1f</x:v>
      </x:c>
      <x:c r="F677" t="str">
        <x:v>https://www.webonary.org/marubo/g21d7c20c-98f3-4850-b234-e6f4fe2f8c1f/</x:v>
      </x:c>
      <x:c r="G677" s="20" t="n">
        <x:v>46003.93482293982</x:v>
      </x:c>
    </x:row>
    <x:row r="678">
      <x:c r="A678" t="str">
        <x:v>dentro</x:v>
      </x:c>
      <x:c r="B678" t="str">
        <x:v>naki</x:v>
      </x:c>
      <x:c r="C678" t="str">
        <x:v>d</x:v>
      </x:c>
      <x:c r="D678" t="str">
        <x:v>g38034c70-467b-4c6b-be46-57f419ec4443</x:v>
      </x:c>
      <x:c r="E678" t="str">
        <x:v>g4e6782ce-1898-44dd-8506-1428fecffd41</x:v>
      </x:c>
      <x:c r="F678" t="str">
        <x:v>https://www.webonary.org/marubo/g4e6782ce-1898-44dd-8506-1428fecffd41/</x:v>
      </x:c>
      <x:c r="G678" s="20" t="n">
        <x:v>46003.93482293982</x:v>
      </x:c>
    </x:row>
    <x:row r="679">
      <x:c r="A679" t="str">
        <x:v>dentro</x:v>
      </x:c>
      <x:c r="B679" t="str">
        <x:v>2</x:v>
      </x:c>
      <x:c r="C679" t="str">
        <x:v>d</x:v>
      </x:c>
      <x:c r="D679" t="str">
        <x:v>g38034c70-467b-4c6b-be46-57f419ec4443</x:v>
      </x:c>
      <x:c r="E679" t="str">
        <x:v>g4e6782ce-1898-44dd-8506-1428fecffd41</x:v>
      </x:c>
      <x:c r="F679" t="str">
        <x:v>https://www.webonary.org/marubo/g4e6782ce-1898-44dd-8506-1428fecffd41/</x:v>
      </x:c>
      <x:c r="G679" s="20" t="n">
        <x:v>46003.93482293982</x:v>
      </x:c>
    </x:row>
    <x:row r="680">
      <x:c r="A680" t="str">
        <x:v>depois</x:v>
      </x:c>
      <x:c r="B680" t="str">
        <x:v>txipo</x:v>
      </x:c>
      <x:c r="C680" t="str">
        <x:v>d</x:v>
      </x:c>
      <x:c r="D680" t="str">
        <x:v>g170c2dc3-1a88-4cc9-8e7c-3a5d443001dd</x:v>
      </x:c>
      <x:c r="E680" t="str">
        <x:v>g9331d009-a4a9-48b9-b0dd-7cced1c9602e</x:v>
      </x:c>
      <x:c r="F680" t="str">
        <x:v>https://www.webonary.org/marubo/g9331d009-a4a9-48b9-b0dd-7cced1c9602e/</x:v>
      </x:c>
      <x:c r="G680" s="20" t="n">
        <x:v>46003.93482293982</x:v>
      </x:c>
    </x:row>
    <x:row r="681">
      <x:c r="A681" t="str">
        <x:v>derramar</x:v>
      </x:c>
      <x:c r="B681" t="str">
        <x:v>okóa</x:v>
      </x:c>
      <x:c r="C681" t="str">
        <x:v>d</x:v>
      </x:c>
      <x:c r="D681" t="str">
        <x:v>g12531173-afa4-4f3a-9149-6dd63d182b1b</x:v>
      </x:c>
      <x:c r="E681" t="str">
        <x:v>g64ec9c3e-f3e2-4b1c-8981-aac3b716bfa1</x:v>
      </x:c>
      <x:c r="F681" t="str">
        <x:v>https://www.webonary.org/marubo/g64ec9c3e-f3e2-4b1c-8981-aac3b716bfa1/</x:v>
      </x:c>
      <x:c r="G681" s="20" t="n">
        <x:v>46003.93482293982</x:v>
      </x:c>
    </x:row>
    <x:row r="682">
      <x:c r="A682" t="str">
        <x:v>derramar</x:v>
      </x:c>
      <x:c r="B682" t="str">
        <x:v>oka</x:v>
      </x:c>
      <x:c r="C682" t="str">
        <x:v>d</x:v>
      </x:c>
      <x:c r="D682" t="str">
        <x:v>g12531173-afa4-4f3a-9149-6dd63d182b1b</x:v>
      </x:c>
      <x:c r="E682" t="str">
        <x:v>g33a0e631-10a7-400e-977e-4703d8bb5d9e</x:v>
      </x:c>
      <x:c r="F682" t="str">
        <x:v>https://www.webonary.org/marubo/g33a0e631-10a7-400e-977e-4703d8bb5d9e/</x:v>
      </x:c>
      <x:c r="G682" s="20" t="n">
        <x:v>46003.93482293982</x:v>
      </x:c>
    </x:row>
    <x:row r="683">
      <x:c r="A683" t="str">
        <x:v>derramar</x:v>
      </x:c>
      <x:c r="B683" t="str">
        <x:v>2</x:v>
      </x:c>
      <x:c r="C683" t="str">
        <x:v>d</x:v>
      </x:c>
      <x:c r="D683" t="str">
        <x:v>g12531173-afa4-4f3a-9149-6dd63d182b1b</x:v>
      </x:c>
      <x:c r="E683" t="str">
        <x:v>g33a0e631-10a7-400e-977e-4703d8bb5d9e</x:v>
      </x:c>
      <x:c r="F683" t="str">
        <x:v>https://www.webonary.org/marubo/g33a0e631-10a7-400e-977e-4703d8bb5d9e/</x:v>
      </x:c>
      <x:c r="G683" s="20" t="n">
        <x:v>46003.93482293982</x:v>
      </x:c>
    </x:row>
    <x:row r="684">
      <x:c r="A684" t="str">
        <x:v>derrubar</x:v>
      </x:c>
      <x:c r="B684" t="str">
        <x:v>pakea</x:v>
      </x:c>
      <x:c r="C684" t="str">
        <x:v>d</x:v>
      </x:c>
      <x:c r="D684" t="str">
        <x:v>gc131cb84-8833-4f1b-94a8-c65696876507</x:v>
      </x:c>
      <x:c r="E684" t="str">
        <x:v>g6e672d42-c485-43e0-a528-b34949881d0c</x:v>
      </x:c>
      <x:c r="F684" t="str">
        <x:v>https://www.webonary.org/marubo/g6e672d42-c485-43e0-a528-b34949881d0c/</x:v>
      </x:c>
      <x:c r="G684" s="20" t="n">
        <x:v>46003.93482293982</x:v>
      </x:c>
    </x:row>
    <x:row r="685">
      <x:c r="A685" t="str">
        <x:v>derrubar</x:v>
      </x:c>
      <x:c r="B685" t="str">
        <x:v>mepískoa</x:v>
      </x:c>
      <x:c r="C685" t="str">
        <x:v>d</x:v>
      </x:c>
      <x:c r="D685" t="str">
        <x:v>gc131cb84-8833-4f1b-94a8-c65696876507</x:v>
      </x:c>
      <x:c r="E685" t="str">
        <x:v>gc3670c25-5d93-481d-8d60-31c33e2fff39</x:v>
      </x:c>
      <x:c r="F685" t="str">
        <x:v>https://www.webonary.org/marubo/gc3670c25-5d93-481d-8d60-31c33e2fff39/</x:v>
      </x:c>
      <x:c r="G685" s="20" t="n">
        <x:v>46003.93482293982</x:v>
      </x:c>
    </x:row>
    <x:row r="686">
      <x:c r="A686" t="str">
        <x:v>DES</x:v>
      </x:c>
      <x:c r="B686" t="str">
        <x:v>-katsi</x:v>
      </x:c>
      <x:c r="C686" t="str">
        <x:v>d</x:v>
      </x:c>
      <x:c r="D686" t="str">
        <x:v>gfe2a5ebb-4a43-47a0-8ded-4704702afde0</x:v>
      </x:c>
      <x:c r="E686" t="str">
        <x:v>g538448ff-558c-4c82-84c4-664afccfca4b</x:v>
      </x:c>
      <x:c r="F686" t="str">
        <x:v>https://www.webonary.org/marubo/g538448ff-558c-4c82-84c4-664afccfca4b/</x:v>
      </x:c>
      <x:c r="G686" s="20" t="n">
        <x:v>46003.93482293982</x:v>
      </x:c>
    </x:row>
    <x:row r="687">
      <x:c r="A687" t="str">
        <x:v>desar fogo</x:v>
      </x:c>
      <x:c r="B687" t="str">
        <x:v>txii aká</x:v>
      </x:c>
      <x:c r="C687" t="str">
        <x:v>d</x:v>
      </x:c>
      <x:c r="D687" t="str">
        <x:v>gd6f05cb7-2534-48ed-b682-7e097b1b3ef9</x:v>
      </x:c>
      <x:c r="E687" t="str">
        <x:v>g983c87e7-d0fd-4f46-a2af-64deeda41171</x:v>
      </x:c>
      <x:c r="F687" t="str">
        <x:v>https://www.webonary.org/marubo/g983c87e7-d0fd-4f46-a2af-64deeda41171/</x:v>
      </x:c>
      <x:c r="G687" s="20" t="n">
        <x:v>46003.93482293982</x:v>
      </x:c>
    </x:row>
    <x:row r="688">
      <x:c r="A688" t="str">
        <x:v>desatar</x:v>
      </x:c>
      <x:c r="B688" t="str">
        <x:v>kocha</x:v>
      </x:c>
      <x:c r="C688" t="str">
        <x:v>d</x:v>
      </x:c>
      <x:c r="D688" t="str">
        <x:v>g1b6792b2-4ba2-4d6d-a615-9b88c4f87470</x:v>
      </x:c>
      <x:c r="E688" t="str">
        <x:v>g55e5211c-30de-45b3-8d84-ce25d3631317</x:v>
      </x:c>
      <x:c r="F688" t="str">
        <x:v>https://www.webonary.org/marubo/g55e5211c-30de-45b3-8d84-ce25d3631317/</x:v>
      </x:c>
      <x:c r="G688" s="20" t="n">
        <x:v>46003.93482293982</x:v>
      </x:c>
    </x:row>
    <x:row r="689">
      <x:c r="A689" t="str">
        <x:v>desatar</x:v>
      </x:c>
      <x:c r="B689" t="str">
        <x:v>kochía</x:v>
      </x:c>
      <x:c r="C689" t="str">
        <x:v>d</x:v>
      </x:c>
      <x:c r="D689" t="str">
        <x:v>g1b6792b2-4ba2-4d6d-a615-9b88c4f87470</x:v>
      </x:c>
      <x:c r="E689" t="str">
        <x:v>g82d86cd8-3e1a-4df9-892e-25892ed24c4b</x:v>
      </x:c>
      <x:c r="F689" t="str">
        <x:v>https://www.webonary.org/marubo/g82d86cd8-3e1a-4df9-892e-25892ed24c4b/</x:v>
      </x:c>
      <x:c r="G689" s="20" t="n">
        <x:v>46003.93482293982</x:v>
      </x:c>
    </x:row>
    <x:row r="690">
      <x:c r="A690" t="str">
        <x:v>descansar</x:v>
      </x:c>
      <x:c r="B690" t="str">
        <x:v>tenea</x:v>
      </x:c>
      <x:c r="C690" t="str">
        <x:v>d</x:v>
      </x:c>
      <x:c r="D690" t="str">
        <x:v>ge9dac350-09e5-48cc-a8f5-b4a5b73ac6c1</x:v>
      </x:c>
      <x:c r="E690" t="str">
        <x:v>gfd0160eb-d6d4-4725-b90c-1827cb8d4b1b</x:v>
      </x:c>
      <x:c r="F690" t="str">
        <x:v>https://www.webonary.org/marubo/gfd0160eb-d6d4-4725-b90c-1827cb8d4b1b/</x:v>
      </x:c>
      <x:c r="G690" s="20" t="n">
        <x:v>46003.93482293982</x:v>
      </x:c>
    </x:row>
    <x:row r="691">
      <x:c r="A691" t="str">
        <x:v>descascar</x:v>
      </x:c>
      <x:c r="B691" t="str">
        <x:v>shoka</x:v>
      </x:c>
      <x:c r="C691" t="str">
        <x:v>d</x:v>
      </x:c>
      <x:c r="D691" t="str">
        <x:v>g3bd59f79-3db8-4996-ac5f-1436f230c1e6</x:v>
      </x:c>
      <x:c r="E691" t="str">
        <x:v>gd792d6cb-d0b4-4db7-9418-5c9e208b7382</x:v>
      </x:c>
      <x:c r="F691" t="str">
        <x:v>https://www.webonary.org/marubo/gd792d6cb-d0b4-4db7-9418-5c9e208b7382/</x:v>
      </x:c>
      <x:c r="G691" s="20" t="n">
        <x:v>46003.93482293982</x:v>
      </x:c>
    </x:row>
    <x:row r="692">
      <x:c r="A692" t="str">
        <x:v>descendo a cabeça quando estar com sono</x:v>
      </x:c>
      <x:c r="B692" t="str">
        <x:v>veko aká</x:v>
      </x:c>
      <x:c r="C692" t="str">
        <x:v>d</x:v>
      </x:c>
      <x:c r="D692" t="str">
        <x:v>g13b9c099-5b02-489e-9053-b824848213d9</x:v>
      </x:c>
      <x:c r="E692" t="str">
        <x:v>g3815f3ff-47e6-4801-ae2a-9d428640a580</x:v>
      </x:c>
      <x:c r="F692" t="str">
        <x:v>https://www.webonary.org/marubo/g3815f3ff-47e6-4801-ae2a-9d428640a580/</x:v>
      </x:c>
      <x:c r="G692" s="20" t="n">
        <x:v>46003.93482293982</x:v>
      </x:c>
    </x:row>
    <x:row r="693">
      <x:c r="A693" t="str">
        <x:v>descer</x:v>
      </x:c>
      <x:c r="B693" t="str">
        <x:v>votse ipá</x:v>
      </x:c>
      <x:c r="C693" t="str">
        <x:v>d</x:v>
      </x:c>
      <x:c r="D693" t="str">
        <x:v>g1992f5cc-ddb7-406b-bc6d-326def867c60</x:v>
      </x:c>
      <x:c r="E693" t="str">
        <x:v>g990bda94-ebef-4468-92a9-85f13c17a3fa</x:v>
      </x:c>
      <x:c r="F693" t="str">
        <x:v>https://www.webonary.org/marubo/g990bda94-ebef-4468-92a9-85f13c17a3fa/</x:v>
      </x:c>
      <x:c r="G693" s="20" t="n">
        <x:v>46003.93482293982</x:v>
      </x:c>
    </x:row>
    <x:row r="694">
      <x:c r="A694" t="str">
        <x:v>descer</x:v>
      </x:c>
      <x:c r="B694" t="str">
        <x:v>nipa</x:v>
      </x:c>
      <x:c r="C694" t="str">
        <x:v>d</x:v>
      </x:c>
      <x:c r="D694" t="str">
        <x:v>g1992f5cc-ddb7-406b-bc6d-326def867c60</x:v>
      </x:c>
      <x:c r="E694" t="str">
        <x:v>gb91b3ec1-eaa7-488d-89dd-87cf02ffc899</x:v>
      </x:c>
      <x:c r="F694" t="str">
        <x:v>https://www.webonary.org/marubo/gb91b3ec1-eaa7-488d-89dd-87cf02ffc899/</x:v>
      </x:c>
      <x:c r="G694" s="20" t="n">
        <x:v>46003.93482293982</x:v>
      </x:c>
    </x:row>
    <x:row r="695">
      <x:c r="A695" t="str">
        <x:v>desejar</x:v>
      </x:c>
      <x:c r="B695" t="str">
        <x:v>kẽẽa</x:v>
      </x:c>
      <x:c r="C695" t="str">
        <x:v>d</x:v>
      </x:c>
      <x:c r="D695" t="str">
        <x:v>g34748d5e-e632-4f2e-afca-b8414eb43cbd</x:v>
      </x:c>
      <x:c r="E695" t="str">
        <x:v>g083c6ceb-1fbc-4d30-8759-7a4f7f607051</x:v>
      </x:c>
      <x:c r="F695" t="str">
        <x:v>https://www.webonary.org/marubo/g083c6ceb-1fbc-4d30-8759-7a4f7f607051/</x:v>
      </x:c>
      <x:c r="G695" s="20" t="n">
        <x:v>46003.93482293982</x:v>
      </x:c>
    </x:row>
    <x:row r="696">
      <x:c r="A696" t="str">
        <x:v>desenhar</x:v>
      </x:c>
      <x:c r="B696" t="str">
        <x:v>kene aká</x:v>
      </x:c>
      <x:c r="C696" t="str">
        <x:v>d</x:v>
      </x:c>
      <x:c r="D696" t="str">
        <x:v>gc1ac9b08-dfbe-4eca-a114-774e4df8ca51</x:v>
      </x:c>
      <x:c r="E696" t="str">
        <x:v>g863eb249-f2fc-464c-a230-9556f347cb8c</x:v>
      </x:c>
      <x:c r="F696" t="str">
        <x:v>https://www.webonary.org/marubo/g863eb249-f2fc-464c-a230-9556f347cb8c/</x:v>
      </x:c>
      <x:c r="G696" s="20" t="n">
        <x:v>46003.93482293982</x:v>
      </x:c>
    </x:row>
    <x:row r="697">
      <x:c r="A697" t="str">
        <x:v>desenho feito na ponta de flecha</x:v>
      </x:c>
      <x:c r="B697" t="str">
        <x:v>txené</x:v>
      </x:c>
      <x:c r="C697" t="str">
        <x:v>d</x:v>
      </x:c>
      <x:c r="D697" t="str">
        <x:v>gec6df1cf-6969-4e3b-bd6a-8b64060bbcd1</x:v>
      </x:c>
      <x:c r="E697" t="str">
        <x:v>g222980c7-d867-469c-a96f-323999928581</x:v>
      </x:c>
      <x:c r="F697" t="str">
        <x:v>https://www.webonary.org/marubo/g222980c7-d867-469c-a96f-323999928581/</x:v>
      </x:c>
      <x:c r="G697" s="20" t="n">
        <x:v>46003.93482293982</x:v>
      </x:c>
    </x:row>
    <x:row r="698">
      <x:c r="A698" t="str">
        <x:v>desesperar</x:v>
      </x:c>
      <x:c r="B698" t="str">
        <x:v>notsi</x:v>
      </x:c>
      <x:c r="C698" t="str">
        <x:v>d</x:v>
      </x:c>
      <x:c r="D698" t="str">
        <x:v>g288798bf-ee82-4049-b9f7-a9deefe14ffa</x:v>
      </x:c>
      <x:c r="E698" t="str">
        <x:v>g67674e53-dde5-43f5-928a-094f6832478d</x:v>
      </x:c>
      <x:c r="F698" t="str">
        <x:v>https://www.webonary.org/marubo/g67674e53-dde5-43f5-928a-094f6832478d/</x:v>
      </x:c>
      <x:c r="G698" s="20" t="n">
        <x:v>46003.93482293982</x:v>
      </x:c>
    </x:row>
    <x:row r="699">
      <x:c r="A699" t="str">
        <x:v>desligar</x:v>
      </x:c>
      <x:c r="B699" t="str">
        <x:v>namea</x:v>
      </x:c>
      <x:c r="C699" t="str">
        <x:v>d</x:v>
      </x:c>
      <x:c r="D699" t="str">
        <x:v>g58d9cca0-4273-4248-a0c3-0e360ad9830c</x:v>
      </x:c>
      <x:c r="E699" t="str">
        <x:v>g5ef169f5-a21a-4388-a1ad-48b746fd91d3</x:v>
      </x:c>
      <x:c r="F699" t="str">
        <x:v>https://www.webonary.org/marubo/g5ef169f5-a21a-4388-a1ad-48b746fd91d3/</x:v>
      </x:c>
      <x:c r="G699" s="20" t="n">
        <x:v>46003.93482293982</x:v>
      </x:c>
    </x:row>
    <x:row r="700">
      <x:c r="A700" t="str">
        <x:v>deslizar para baixo</x:v>
      </x:c>
      <x:c r="B700" t="str">
        <x:v>sirí ipá</x:v>
      </x:c>
      <x:c r="C700" t="str">
        <x:v>d</x:v>
      </x:c>
      <x:c r="D700" t="str">
        <x:v>g1f70f1a2-d1dc-48ef-b8fb-bd2ef97957f8</x:v>
      </x:c>
      <x:c r="E700" t="str">
        <x:v>gdefb8924-15d9-499e-853f-a9e3dd05b904</x:v>
      </x:c>
      <x:c r="F700" t="str">
        <x:v>https://www.webonary.org/marubo/gdefb8924-15d9-499e-853f-a9e3dd05b904/</x:v>
      </x:c>
      <x:c r="G700" s="20" t="n">
        <x:v>46003.93482293982</x:v>
      </x:c>
    </x:row>
    <x:row r="701">
      <x:c r="A701" t="str">
        <x:v>desmanchar</x:v>
      </x:c>
      <x:c r="B701" t="str">
        <x:v>txoyo aká</x:v>
      </x:c>
      <x:c r="C701" t="str">
        <x:v>d</x:v>
      </x:c>
      <x:c r="D701" t="str">
        <x:v>g7f08be9b-8d25-40a7-9868-1840fde446c5</x:v>
      </x:c>
      <x:c r="E701" t="str">
        <x:v>gb175a659-8ac7-4f25-8baf-0c589f46cf66</x:v>
      </x:c>
      <x:c r="F701" t="str">
        <x:v>https://www.webonary.org/marubo/gb175a659-8ac7-4f25-8baf-0c589f46cf66/</x:v>
      </x:c>
      <x:c r="G701" s="20" t="n">
        <x:v>46003.93482293982</x:v>
      </x:c>
    </x:row>
    <x:row r="702">
      <x:c r="A702" t="str">
        <x:v>desobedecer</x:v>
      </x:c>
      <x:c r="B702" t="str">
        <x:v>tavamá</x:v>
      </x:c>
      <x:c r="C702" t="str">
        <x:v>d</x:v>
      </x:c>
      <x:c r="D702" t="str">
        <x:v>g721f52e9-c960-480a-852b-5f84588c87c5</x:v>
      </x:c>
      <x:c r="E702" t="str">
        <x:v>g7f58828a-f529-4dcd-8b87-625703b9a758</x:v>
      </x:c>
      <x:c r="F702" t="str">
        <x:v>https://www.webonary.org/marubo/g7f58828a-f529-4dcd-8b87-625703b9a758/</x:v>
      </x:c>
      <x:c r="G702" s="20" t="n">
        <x:v>46003.93482293982</x:v>
      </x:c>
    </x:row>
    <x:row r="703">
      <x:c r="A703" t="str">
        <x:v>despedaçar</x:v>
      </x:c>
      <x:c r="B703" t="str">
        <x:v>eshtéa</x:v>
      </x:c>
      <x:c r="C703" t="str">
        <x:v>d</x:v>
      </x:c>
      <x:c r="D703" t="str">
        <x:v>gdd831747-1029-4466-9f59-6c137fc5711a</x:v>
      </x:c>
      <x:c r="E703" t="str">
        <x:v>gca259966-0161-43a0-9e13-b9a997581b34</x:v>
      </x:c>
      <x:c r="F703" t="str">
        <x:v>https://www.webonary.org/marubo/gca259966-0161-43a0-9e13-b9a997581b34/</x:v>
      </x:c>
      <x:c r="G703" s="20" t="n">
        <x:v>46003.93482293982</x:v>
      </x:c>
    </x:row>
    <x:row r="704">
      <x:c r="A704" t="str">
        <x:v>despedaçar-se</x:v>
      </x:c>
      <x:c r="B704" t="str">
        <x:v>kashkéa</x:v>
      </x:c>
      <x:c r="C704" t="str">
        <x:v>d</x:v>
      </x:c>
      <x:c r="D704" t="str">
        <x:v>g7af6fdb5-4366-412b-b2bc-081719515db7</x:v>
      </x:c>
      <x:c r="E704" t="str">
        <x:v>gf1b72d7b-b2bd-45da-a146-c3b9d7089c8e</x:v>
      </x:c>
      <x:c r="F704" t="str">
        <x:v>https://www.webonary.org/marubo/gf1b72d7b-b2bd-45da-a146-c3b9d7089c8e/</x:v>
      </x:c>
      <x:c r="G704" s="20" t="n">
        <x:v>46003.93482293982</x:v>
      </x:c>
    </x:row>
    <x:row r="705">
      <x:c r="A705" t="str">
        <x:v>despejar</x:v>
      </x:c>
      <x:c r="B705" t="str">
        <x:v>ãsha aká</x:v>
      </x:c>
      <x:c r="C705" t="str">
        <x:v>d</x:v>
      </x:c>
      <x:c r="D705" t="str">
        <x:v>gfdc60595-0d8a-4aef-9810-b8d14316240e</x:v>
      </x:c>
      <x:c r="E705" t="str">
        <x:v>gaa3562f3-1007-4a22-9a0e-32c5fad2096e</x:v>
      </x:c>
      <x:c r="F705" t="str">
        <x:v>https://www.webonary.org/marubo/gaa3562f3-1007-4a22-9a0e-32c5fad2096e/</x:v>
      </x:c>
      <x:c r="G705" s="20" t="n">
        <x:v>46003.93482293982</x:v>
      </x:c>
    </x:row>
    <x:row r="706">
      <x:c r="A706" t="str">
        <x:v>despejar</x:v>
      </x:c>
      <x:c r="B706" t="str">
        <x:v>manea</x:v>
      </x:c>
      <x:c r="C706" t="str">
        <x:v>d</x:v>
      </x:c>
      <x:c r="D706" t="str">
        <x:v>gfdc60595-0d8a-4aef-9810-b8d14316240e</x:v>
      </x:c>
      <x:c r="E706" t="str">
        <x:v>g65566700-8850-42cd-994a-28abcb57e689</x:v>
      </x:c>
      <x:c r="F706" t="str">
        <x:v>https://www.webonary.org/marubo/g65566700-8850-42cd-994a-28abcb57e689/</x:v>
      </x:c>
      <x:c r="G706" s="20" t="n">
        <x:v>46003.93482293982</x:v>
      </x:c>
    </x:row>
    <x:row r="707">
      <x:c r="A707" t="str">
        <x:v>despejar</x:v>
      </x:c>
      <x:c r="B707" t="str">
        <x:v>kosha</x:v>
      </x:c>
      <x:c r="C707" t="str">
        <x:v>d</x:v>
      </x:c>
      <x:c r="D707" t="str">
        <x:v>gfdc60595-0d8a-4aef-9810-b8d14316240e</x:v>
      </x:c>
      <x:c r="E707" t="str">
        <x:v>ga6f835a4-77bd-4f00-8b49-6ec0c4c0a5f0</x:v>
      </x:c>
      <x:c r="F707" t="str">
        <x:v>https://www.webonary.org/marubo/ga6f835a4-77bd-4f00-8b49-6ec0c4c0a5f0/</x:v>
      </x:c>
      <x:c r="G707" s="20" t="n">
        <x:v>46003.93482293982</x:v>
      </x:c>
    </x:row>
    <x:row r="708">
      <x:c r="A708" t="str">
        <x:v>desrespeitar</x:v>
      </x:c>
      <x:c r="B708" t="str">
        <x:v>ati aká</x:v>
      </x:c>
      <x:c r="C708" t="str">
        <x:v>d</x:v>
      </x:c>
      <x:c r="D708" t="str">
        <x:v>g741b8de8-e23a-424b-a748-e440dc21876a</x:v>
      </x:c>
      <x:c r="E708" t="str">
        <x:v>g5308317b-edd7-4aec-b173-7ada3ad4bfa6</x:v>
      </x:c>
      <x:c r="F708" t="str">
        <x:v>https://www.webonary.org/marubo/g5308317b-edd7-4aec-b173-7ada3ad4bfa6/</x:v>
      </x:c>
      <x:c r="G708" s="20" t="n">
        <x:v>46003.934832210645</x:v>
      </x:c>
    </x:row>
    <x:row r="709">
      <x:c r="A709" t="str">
        <x:v>devegar</x:v>
      </x:c>
      <x:c r="B709" t="str">
        <x:v>tanáchta</x:v>
      </x:c>
      <x:c r="C709" t="str">
        <x:v>d</x:v>
      </x:c>
      <x:c r="D709" t="str">
        <x:v>g957b0863-2f1d-4be3-ab0e-49c3c0b19f5e</x:v>
      </x:c>
      <x:c r="E709" t="str">
        <x:v>g840f7f06-6786-4c30-baad-48419d8ba4c8</x:v>
      </x:c>
      <x:c r="F709" t="str">
        <x:v>https://www.webonary.org/marubo/g840f7f06-6786-4c30-baad-48419d8ba4c8/</x:v>
      </x:c>
      <x:c r="G709" s="20" t="n">
        <x:v>46003.934832210645</x:v>
      </x:c>
    </x:row>
    <x:row r="710">
      <x:c r="A710" t="str">
        <x:v>dia</x:v>
      </x:c>
      <x:c r="B710" t="str">
        <x:v>shavá</x:v>
      </x:c>
      <x:c r="C710" t="str">
        <x:v>d</x:v>
      </x:c>
      <x:c r="D710" t="str">
        <x:v>gb749c7de-8748-4dc2-89e7-cf77045ec7c4</x:v>
      </x:c>
      <x:c r="E710" t="str">
        <x:v>gffd3c4c9-bf8d-4794-b4aa-db58785d05b6</x:v>
      </x:c>
      <x:c r="F710" t="str">
        <x:v>https://www.webonary.org/marubo/gffd3c4c9-bf8d-4794-b4aa-db58785d05b6/</x:v>
      </x:c>
      <x:c r="G710" s="20" t="n">
        <x:v>46003.934832210645</x:v>
      </x:c>
    </x:row>
    <x:row r="711">
      <x:c r="A711" t="str">
        <x:v>diagonal</x:v>
      </x:c>
      <x:c r="B711" t="str">
        <x:v>katai niá</x:v>
      </x:c>
      <x:c r="C711" t="str">
        <x:v>d</x:v>
      </x:c>
      <x:c r="D711" t="str">
        <x:v>g0c5ac528-9d7e-4a47-9373-6497255374ce</x:v>
      </x:c>
      <x:c r="E711" t="str">
        <x:v>ge0ca2fcc-b94a-418c-bfba-c6bee467540f</x:v>
      </x:c>
      <x:c r="F711" t="str">
        <x:v>https://www.webonary.org/marubo/ge0ca2fcc-b94a-418c-bfba-c6bee467540f/</x:v>
      </x:c>
      <x:c r="G711" s="20" t="n">
        <x:v>46003.934832210645</x:v>
      </x:c>
    </x:row>
    <x:row r="712">
      <x:c r="A712" t="str">
        <x:v>difícil</x:v>
      </x:c>
      <x:c r="B712" t="str">
        <x:v>yomãka</x:v>
      </x:c>
      <x:c r="C712" t="str">
        <x:v>d</x:v>
      </x:c>
      <x:c r="D712" t="str">
        <x:v>g8c2e3ccb-258f-4214-85d3-1f6e0827d6f9</x:v>
      </x:c>
      <x:c r="E712" t="str">
        <x:v>g05651e8c-1875-4fdb-8962-48530ccd3022</x:v>
      </x:c>
      <x:c r="F712" t="str">
        <x:v>https://www.webonary.org/marubo/g05651e8c-1875-4fdb-8962-48530ccd3022/</x:v>
      </x:c>
      <x:c r="G712" s="20" t="n">
        <x:v>46003.934832210645</x:v>
      </x:c>
    </x:row>
    <x:row r="713">
      <x:c r="A713" t="str">
        <x:v>DIM</x:v>
      </x:c>
      <x:c r="B713" t="str">
        <x:v>-txa</x:v>
      </x:c>
      <x:c r="C713" t="str">
        <x:v>d</x:v>
      </x:c>
      <x:c r="D713" t="str">
        <x:v>g1bc8b607-b02c-4937-b7a2-425885125479</x:v>
      </x:c>
      <x:c r="E713" t="str">
        <x:v>g1200199e-f32b-4fbd-8e0e-d4af1b39c8fa</x:v>
      </x:c>
      <x:c r="F713" t="str">
        <x:v>https://www.webonary.org/marubo/g1200199e-f32b-4fbd-8e0e-d4af1b39c8fa/</x:v>
      </x:c>
      <x:c r="G713" s="20" t="n">
        <x:v>46003.934832210645</x:v>
      </x:c>
    </x:row>
    <x:row r="714">
      <x:c r="A714" t="str">
        <x:v>DIM</x:v>
      </x:c>
      <x:c r="B714" t="str">
        <x:v>-chta</x:v>
      </x:c>
      <x:c r="C714" t="str">
        <x:v>d</x:v>
      </x:c>
      <x:c r="D714" t="str">
        <x:v>g1bc8b607-b02c-4937-b7a2-425885125479</x:v>
      </x:c>
      <x:c r="E714" t="str">
        <x:v>g14b5610f-41d9-4683-93ca-551b1e0b5a2b</x:v>
      </x:c>
      <x:c r="F714" t="str">
        <x:v>https://www.webonary.org/marubo/g14b5610f-41d9-4683-93ca-551b1e0b5a2b/</x:v>
      </x:c>
      <x:c r="G714" s="20" t="n">
        <x:v>46003.934832210645</x:v>
      </x:c>
    </x:row>
    <x:row r="715">
      <x:c r="A715" t="str">
        <x:v>dinheiro</x:v>
      </x:c>
      <x:c r="B715" t="str">
        <x:v>kopímati</x:v>
      </x:c>
      <x:c r="C715" t="str">
        <x:v>d</x:v>
      </x:c>
      <x:c r="D715" t="str">
        <x:v>g2bfbd9b3-482e-46bc-9589-59f31f07d1e5</x:v>
      </x:c>
      <x:c r="E715" t="str">
        <x:v>gb878e4be-99fc-42ec-be61-f0ab43a91ea5</x:v>
      </x:c>
      <x:c r="F715" t="str">
        <x:v>https://www.webonary.org/marubo/gb878e4be-99fc-42ec-be61-f0ab43a91ea5/</x:v>
      </x:c>
      <x:c r="G715" s="20" t="n">
        <x:v>46003.934832210645</x:v>
      </x:c>
    </x:row>
    <x:row r="716">
      <x:c r="A716" t="str">
        <x:v>direcional</x:v>
      </x:c>
      <x:c r="B716" t="str">
        <x:v>kiri</x:v>
      </x:c>
      <x:c r="C716" t="str">
        <x:v>d</x:v>
      </x:c>
      <x:c r="D716" t="str">
        <x:v>g4c5dd1fa-93cf-4240-83c0-83d7b507046c</x:v>
      </x:c>
      <x:c r="E716" t="str">
        <x:v>g24b13d3f-040f-459d-ac38-fa0d2b19ca0b</x:v>
      </x:c>
      <x:c r="F716" t="str">
        <x:v>https://www.webonary.org/marubo/g24b13d3f-040f-459d-ac38-fa0d2b19ca0b/</x:v>
      </x:c>
      <x:c r="G716" s="20" t="n">
        <x:v>46003.934832210645</x:v>
      </x:c>
    </x:row>
    <x:row r="717">
      <x:c r="A717" t="str">
        <x:v>direito</x:v>
      </x:c>
      <x:c r="B717" t="str">
        <x:v>mekiri</x:v>
      </x:c>
      <x:c r="C717" t="str">
        <x:v>d</x:v>
      </x:c>
      <x:c r="D717" t="str">
        <x:v>g7b2a853b-73c3-4c26-bc90-39adf2e83288</x:v>
      </x:c>
      <x:c r="E717" t="str">
        <x:v>g6d162136-411e-433b-9ace-133db7a6fb25</x:v>
      </x:c>
      <x:c r="F717" t="str">
        <x:v>https://www.webonary.org/marubo/g6d162136-411e-433b-9ace-133db7a6fb25/</x:v>
      </x:c>
      <x:c r="G717" s="20" t="n">
        <x:v>46003.934832210645</x:v>
      </x:c>
    </x:row>
    <x:row r="718">
      <x:c r="A718" t="str">
        <x:v>DIST</x:v>
      </x:c>
      <x:c r="B718" t="str">
        <x:v>-kená</x:v>
      </x:c>
      <x:c r="C718" t="str">
        <x:v>d</x:v>
      </x:c>
      <x:c r="D718" t="str">
        <x:v>g94be3de1-bfca-4b3d-b670-04400ed6cdbb</x:v>
      </x:c>
      <x:c r="E718" t="str">
        <x:v>g6c2087a3-59ed-474a-89ee-f87756ea6cfa</x:v>
      </x:c>
      <x:c r="F718" t="str">
        <x:v>https://www.webonary.org/marubo/g6c2087a3-59ed-474a-89ee-f87756ea6cfa/</x:v>
      </x:c>
      <x:c r="G718" s="20" t="n">
        <x:v>46003.934832210645</x:v>
      </x:c>
    </x:row>
    <x:row r="719">
      <x:c r="A719" t="str">
        <x:v>DISTAL</x:v>
      </x:c>
      <x:c r="B719" t="str">
        <x:v>o</x:v>
      </x:c>
      <x:c r="C719" t="str">
        <x:v>d</x:v>
      </x:c>
      <x:c r="D719" t="str">
        <x:v>gbb40c821-420d-4e5c-9037-94373730bfbd</x:v>
      </x:c>
      <x:c r="E719" t="str">
        <x:v>gfb57a780-8a20-46a9-ad7f-c0a5c62eaa49</x:v>
      </x:c>
      <x:c r="F719" t="str">
        <x:v>https://www.webonary.org/marubo/gfb57a780-8a20-46a9-ad7f-c0a5c62eaa49/</x:v>
      </x:c>
      <x:c r="G719" s="20" t="n">
        <x:v>46003.934832210645</x:v>
      </x:c>
    </x:row>
    <x:row r="720">
      <x:c r="A720" t="str">
        <x:v>DISTR</x:v>
      </x:c>
      <x:c r="B720" t="str">
        <x:v>-vakĩ</x:v>
      </x:c>
      <x:c r="C720" t="str">
        <x:v>d</x:v>
      </x:c>
      <x:c r="D720" t="str">
        <x:v>g59bafb32-87cd-4079-97fa-a0733f16ae42</x:v>
      </x:c>
      <x:c r="E720" t="str">
        <x:v>gd35ac3aa-7f01-4cd3-a265-98badf5d7300</x:v>
      </x:c>
      <x:c r="F720" t="str">
        <x:v>https://www.webonary.org/marubo/gd35ac3aa-7f01-4cd3-a265-98badf5d7300/</x:v>
      </x:c>
      <x:c r="G720" s="20" t="n">
        <x:v>46003.934832210645</x:v>
      </x:c>
    </x:row>
    <x:row r="721">
      <x:c r="A721" t="str">
        <x:v>distribuir</x:v>
      </x:c>
      <x:c r="B721" t="str">
        <x:v>oshkea</x:v>
      </x:c>
      <x:c r="C721" t="str">
        <x:v>d</x:v>
      </x:c>
      <x:c r="D721" t="str">
        <x:v>geedbb985-b682-4192-8b8f-ed3d1c0b3203</x:v>
      </x:c>
      <x:c r="E721" t="str">
        <x:v>gbb8a484f-4f16-4ddc-a039-722e725b6b0c</x:v>
      </x:c>
      <x:c r="F721" t="str">
        <x:v>https://www.webonary.org/marubo/gbb8a484f-4f16-4ddc-a039-722e725b6b0c/</x:v>
      </x:c>
      <x:c r="G721" s="20" t="n">
        <x:v>46003.934832210645</x:v>
      </x:c>
    </x:row>
    <x:row r="722">
      <x:c r="A722" t="str">
        <x:v>do lado</x:v>
      </x:c>
      <x:c r="B722" t="str">
        <x:v>pasó</x:v>
      </x:c>
      <x:c r="C722" t="str">
        <x:v>d</x:v>
      </x:c>
      <x:c r="D722" t="str">
        <x:v>gdb1d8b80-9a65-46d8-a7b6-93d496906c1e</x:v>
      </x:c>
      <x:c r="E722" t="str">
        <x:v>g5efebc63-daf7-44ed-b31f-7f1c2874bec2</x:v>
      </x:c>
      <x:c r="F722" t="str">
        <x:v>https://www.webonary.org/marubo/g5efebc63-daf7-44ed-b31f-7f1c2874bec2/</x:v>
      </x:c>
      <x:c r="G722" s="20" t="n">
        <x:v>46003.934832210645</x:v>
      </x:c>
    </x:row>
    <x:row r="723">
      <x:c r="A723" t="str">
        <x:v>dobradiça</x:v>
      </x:c>
      <x:c r="B723" t="str">
        <x:v>peshtóti</x:v>
      </x:c>
      <x:c r="C723" t="str">
        <x:v>d</x:v>
      </x:c>
      <x:c r="D723" t="str">
        <x:v>g6d845447-9e6e-4304-a1e1-abf379688b62</x:v>
      </x:c>
      <x:c r="E723" t="str">
        <x:v>gc9b58c91-0bd0-4619-932c-1e4deae39863</x:v>
      </x:c>
      <x:c r="F723" t="str">
        <x:v>https://www.webonary.org/marubo/gc9b58c91-0bd0-4619-932c-1e4deae39863/</x:v>
      </x:c>
      <x:c r="G723" s="20" t="n">
        <x:v>46003.934832210645</x:v>
      </x:c>
    </x:row>
    <x:row r="724">
      <x:c r="A724" t="str">
        <x:v>dobrar</x:v>
      </x:c>
      <x:c r="B724" t="str">
        <x:v>kashtóa</x:v>
      </x:c>
      <x:c r="C724" t="str">
        <x:v>d</x:v>
      </x:c>
      <x:c r="D724" t="str">
        <x:v>g64438d55-6a18-497c-ad09-dd9cd2bffa6e</x:v>
      </x:c>
      <x:c r="E724" t="str">
        <x:v>g091a523b-7f69-4329-9191-3cc3efb63a24</x:v>
      </x:c>
      <x:c r="F724" t="str">
        <x:v>https://www.webonary.org/marubo/g091a523b-7f69-4329-9191-3cc3efb63a24/</x:v>
      </x:c>
      <x:c r="G724" s="20" t="n">
        <x:v>46003.934832210645</x:v>
      </x:c>
    </x:row>
    <x:row r="725">
      <x:c r="A725" t="str">
        <x:v>dobrar parte da folha de jarina</x:v>
      </x:c>
      <x:c r="B725" t="str">
        <x:v>tsosa</x:v>
      </x:c>
      <x:c r="C725" t="str">
        <x:v>d</x:v>
      </x:c>
      <x:c r="D725" t="str">
        <x:v>g8aae9657-ef95-4d7e-9fff-be87b5bd6473</x:v>
      </x:c>
      <x:c r="E725" t="str">
        <x:v>g7d15c454-6d5b-491e-bd45-467398cf73b9</x:v>
      </x:c>
      <x:c r="F725" t="str">
        <x:v>https://www.webonary.org/marubo/g7d15c454-6d5b-491e-bd45-467398cf73b9/</x:v>
      </x:c>
      <x:c r="G725" s="20" t="n">
        <x:v>46003.934832210645</x:v>
      </x:c>
    </x:row>
    <x:row r="726">
      <x:c r="A726" t="str">
        <x:v>dobrar parte da folha de jarina</x:v>
      </x:c>
      <x:c r="B726" t="str">
        <x:v>1</x:v>
      </x:c>
      <x:c r="C726" t="str">
        <x:v>d</x:v>
      </x:c>
      <x:c r="D726" t="str">
        <x:v>g8aae9657-ef95-4d7e-9fff-be87b5bd6473</x:v>
      </x:c>
      <x:c r="E726" t="str">
        <x:v>g7d15c454-6d5b-491e-bd45-467398cf73b9</x:v>
      </x:c>
      <x:c r="F726" t="str">
        <x:v>https://www.webonary.org/marubo/g7d15c454-6d5b-491e-bd45-467398cf73b9/</x:v>
      </x:c>
      <x:c r="G726" s="20" t="n">
        <x:v>46003.934832210645</x:v>
      </x:c>
    </x:row>
    <x:row r="727">
      <x:c r="A727" t="str">
        <x:v>doce</x:v>
      </x:c>
      <x:c r="B727" t="str">
        <x:v>vataka</x:v>
      </x:c>
      <x:c r="C727" t="str">
        <x:v>d</x:v>
      </x:c>
      <x:c r="D727" t="str">
        <x:v>g1d5a391e-fdb5-49ae-8c18-27df9d2b63c7</x:v>
      </x:c>
      <x:c r="E727" t="str">
        <x:v>gaf54ad97-c49d-40d5-a61e-3f5a6e840939</x:v>
      </x:c>
      <x:c r="F727" t="str">
        <x:v>https://www.webonary.org/marubo/gaf54ad97-c49d-40d5-a61e-3f5a6e840939/</x:v>
      </x:c>
      <x:c r="G727" s="20" t="n">
        <x:v>46003.934832210645</x:v>
      </x:c>
    </x:row>
    <x:row r="728">
      <x:c r="A728" t="str">
        <x:v>doença</x:v>
      </x:c>
      <x:c r="B728" t="str">
        <x:v>isĩ</x:v>
      </x:c>
      <x:c r="C728" t="str">
        <x:v>d</x:v>
      </x:c>
      <x:c r="D728" t="str">
        <x:v>g83a1602e-541e-45c1-a0b9-628f73c96d29</x:v>
      </x:c>
      <x:c r="E728" t="str">
        <x:v>g30273671-1bfe-467f-bad3-bd31f6bfaaea</x:v>
      </x:c>
      <x:c r="F728" t="str">
        <x:v>https://www.webonary.org/marubo/g30273671-1bfe-467f-bad3-bd31f6bfaaea/</x:v>
      </x:c>
      <x:c r="G728" s="20" t="n">
        <x:v>46003.934832210645</x:v>
      </x:c>
    </x:row>
    <x:row r="729">
      <x:c r="A729" t="str">
        <x:v>doença</x:v>
      </x:c>
      <x:c r="B729" t="str">
        <x:v>nene tana</x:v>
      </x:c>
      <x:c r="C729" t="str">
        <x:v>d</x:v>
      </x:c>
      <x:c r="D729" t="str">
        <x:v>g83a1602e-541e-45c1-a0b9-628f73c96d29</x:v>
      </x:c>
      <x:c r="E729" t="str">
        <x:v>ge0e0be75-032f-4d57-9569-9fbf4d660e14</x:v>
      </x:c>
      <x:c r="F729" t="str">
        <x:v>https://www.webonary.org/marubo/ge0e0be75-032f-4d57-9569-9fbf4d660e14/</x:v>
      </x:c>
      <x:c r="G729" s="20" t="n">
        <x:v>46003.934832210645</x:v>
      </x:c>
    </x:row>
    <x:row r="730">
      <x:c r="A730" t="str">
        <x:v>doer</x:v>
      </x:c>
      <x:c r="B730" t="str">
        <x:v>tee ikí</x:v>
      </x:c>
      <x:c r="C730" t="str">
        <x:v>d</x:v>
      </x:c>
      <x:c r="D730" t="str">
        <x:v>g4fefb215-76d8-4150-acc7-4246eef76d4e</x:v>
      </x:c>
      <x:c r="E730" t="str">
        <x:v>g46404026-c4b1-446e-b8d4-813eb4acb35f</x:v>
      </x:c>
      <x:c r="F730" t="str">
        <x:v>https://www.webonary.org/marubo/g46404026-c4b1-446e-b8d4-813eb4acb35f/</x:v>
      </x:c>
      <x:c r="G730" s="20" t="n">
        <x:v>46003.934832210645</x:v>
      </x:c>
    </x:row>
    <x:row r="731">
      <x:c r="A731" t="str">
        <x:v>dois</x:v>
      </x:c>
      <x:c r="B731" t="str">
        <x:v>ravévakĩ</x:v>
      </x:c>
      <x:c r="C731" t="str">
        <x:v>d</x:v>
      </x:c>
      <x:c r="D731" t="str">
        <x:v>g4286ea35-905d-488b-a382-caa8a9dda71e</x:v>
      </x:c>
      <x:c r="E731" t="str">
        <x:v>g38ce3d5a-f06e-42dc-92f5-e94d08f38898</x:v>
      </x:c>
      <x:c r="F731" t="str">
        <x:v>https://www.webonary.org/marubo/g38ce3d5a-f06e-42dc-92f5-e94d08f38898/</x:v>
      </x:c>
      <x:c r="G731" s="20" t="n">
        <x:v>46003.934832210645</x:v>
      </x:c>
    </x:row>
    <x:row r="732">
      <x:c r="A732" t="str">
        <x:v>dois paus amarrado como A para moquear carne</x:v>
      </x:c>
      <x:c r="B732" t="str">
        <x:v>atxá tapo</x:v>
      </x:c>
      <x:c r="C732" t="str">
        <x:v>d</x:v>
      </x:c>
      <x:c r="D732" t="str">
        <x:v>g3db43dc4-0dda-4dfc-9028-1290133e781a</x:v>
      </x:c>
      <x:c r="E732" t="str">
        <x:v>gf630ebd1-878d-41dc-b78a-7e1d0bd056cd</x:v>
      </x:c>
      <x:c r="F732" t="str">
        <x:v>https://www.webonary.org/marubo/gf630ebd1-878d-41dc-b78a-7e1d0bd056cd/</x:v>
      </x:c>
      <x:c r="G732" s="20" t="n">
        <x:v>46003.934832210645</x:v>
      </x:c>
    </x:row>
    <x:row r="733">
      <x:c r="A733" t="str">
        <x:v>dono</x:v>
      </x:c>
      <x:c r="B733" t="str">
        <x:v>ivo</x:v>
      </x:c>
      <x:c r="C733" t="str">
        <x:v>d</x:v>
      </x:c>
      <x:c r="D733" t="str">
        <x:v>gb856e6f6-7265-41c8-9c5f-23e235e3a3b5</x:v>
      </x:c>
      <x:c r="E733" t="str">
        <x:v>ga65b040a-b5b5-442f-a6d8-b9b59d610696</x:v>
      </x:c>
      <x:c r="F733" t="str">
        <x:v>https://www.webonary.org/marubo/ga65b040a-b5b5-442f-a6d8-b9b59d610696/</x:v>
      </x:c>
      <x:c r="G733" s="20" t="n">
        <x:v>46003.934832210645</x:v>
      </x:c>
    </x:row>
    <x:row r="734">
      <x:c r="A734" t="str">
        <x:v>dor</x:v>
      </x:c>
      <x:c r="B734" t="str">
        <x:v>isĩ</x:v>
      </x:c>
      <x:c r="C734" t="str">
        <x:v>d</x:v>
      </x:c>
      <x:c r="D734" t="str">
        <x:v>g647cc414-aba8-4352-96e3-35796019d9b2</x:v>
      </x:c>
      <x:c r="E734" t="str">
        <x:v>g30273671-1bfe-467f-bad3-bd31f6bfaaea</x:v>
      </x:c>
      <x:c r="F734" t="str">
        <x:v>https://www.webonary.org/marubo/g30273671-1bfe-467f-bad3-bd31f6bfaaea/</x:v>
      </x:c>
      <x:c r="G734" s="20" t="n">
        <x:v>46003.934832210645</x:v>
      </x:c>
    </x:row>
    <x:row r="735">
      <x:c r="A735" t="str">
        <x:v>dor</x:v>
      </x:c>
      <x:c r="B735" t="str">
        <x:v>nene tana</x:v>
      </x:c>
      <x:c r="C735" t="str">
        <x:v>d</x:v>
      </x:c>
      <x:c r="D735" t="str">
        <x:v>g647cc414-aba8-4352-96e3-35796019d9b2</x:v>
      </x:c>
      <x:c r="E735" t="str">
        <x:v>ge0e0be75-032f-4d57-9569-9fbf4d660e14</x:v>
      </x:c>
      <x:c r="F735" t="str">
        <x:v>https://www.webonary.org/marubo/ge0e0be75-032f-4d57-9569-9fbf4d660e14/</x:v>
      </x:c>
      <x:c r="G735" s="20" t="n">
        <x:v>46003.934832210645</x:v>
      </x:c>
    </x:row>
    <x:row r="736">
      <x:c r="A736" t="str">
        <x:v>dor de cabeça</x:v>
      </x:c>
      <x:c r="B736" t="str">
        <x:v>mapõ tanã</x:v>
      </x:c>
      <x:c r="C736" t="str">
        <x:v>d</x:v>
      </x:c>
      <x:c r="D736" t="str">
        <x:v>g2e567c87-fb97-4942-9a71-863633d17e2f</x:v>
      </x:c>
      <x:c r="E736" t="str">
        <x:v>g8fac346e-d5ff-448d-905c-24cf517769af</x:v>
      </x:c>
      <x:c r="F736" t="str">
        <x:v>https://www.webonary.org/marubo/g8fac346e-d5ff-448d-905c-24cf517769af/</x:v>
      </x:c>
      <x:c r="G736" s="20" t="n">
        <x:v>46003.934832210645</x:v>
      </x:c>
    </x:row>
    <x:row r="737">
      <x:c r="A737" t="str">
        <x:v>dor de estomago</x:v>
      </x:c>
      <x:c r="B737" t="str">
        <x:v>takã tenã</x:v>
      </x:c>
      <x:c r="C737" t="str">
        <x:v>d</x:v>
      </x:c>
      <x:c r="D737" t="str">
        <x:v>g2a8ab01c-354a-46ab-9ad1-6fdb3683162f</x:v>
      </x:c>
      <x:c r="E737" t="str">
        <x:v>gf1b8d4f6-3de8-4f65-b5a2-9d30c95bb040</x:v>
      </x:c>
      <x:c r="F737" t="str">
        <x:v>https://www.webonary.org/marubo/gf1b8d4f6-3de8-4f65-b5a2-9d30c95bb040/</x:v>
      </x:c>
      <x:c r="G737" s="20" t="n">
        <x:v>46003.934832210645</x:v>
      </x:c>
    </x:row>
    <x:row r="738">
      <x:c r="A738" t="str">
        <x:v>dormir</x:v>
      </x:c>
      <x:c r="B738" t="str">
        <x:v>osha</x:v>
      </x:c>
      <x:c r="C738" t="str">
        <x:v>d</x:v>
      </x:c>
      <x:c r="D738" t="str">
        <x:v>gd3a7b299-24b6-49f3-96cd-e11d3a2aa67e</x:v>
      </x:c>
      <x:c r="E738" t="str">
        <x:v>g49def256-b63d-4c91-9b57-f766b2265192</x:v>
      </x:c>
      <x:c r="F738" t="str">
        <x:v>https://www.webonary.org/marubo/g49def256-b63d-4c91-9b57-f766b2265192/</x:v>
      </x:c>
      <x:c r="G738" s="20" t="n">
        <x:v>46003.934832210645</x:v>
      </x:c>
    </x:row>
    <x:row r="739">
      <x:c r="A739" t="str">
        <x:v>dormir junto</x:v>
      </x:c>
      <x:c r="B739" t="str">
        <x:v>ovõa</x:v>
      </x:c>
      <x:c r="C739" t="str">
        <x:v>d</x:v>
      </x:c>
      <x:c r="D739" t="str">
        <x:v>gc713de93-85c2-44eb-9918-45981c2742dd</x:v>
      </x:c>
      <x:c r="E739" t="str">
        <x:v>ga600c958-0c1f-4cbb-81a0-c91a2c2a1f17</x:v>
      </x:c>
      <x:c r="F739" t="str">
        <x:v>https://www.webonary.org/marubo/ga600c958-0c1f-4cbb-81a0-c91a2c2a1f17/</x:v>
      </x:c>
      <x:c r="G739" s="20" t="n">
        <x:v>46003.934832210645</x:v>
      </x:c>
    </x:row>
    <x:row r="740">
      <x:c r="A740" t="str">
        <x:v>duas pessoas que nascerem no mesmo dia</x:v>
      </x:c>
      <x:c r="B740" t="str">
        <x:v>avé kania</x:v>
      </x:c>
      <x:c r="C740" t="str">
        <x:v>d</x:v>
      </x:c>
      <x:c r="D740" t="str">
        <x:v>gde15cec3-5b87-4672-a7b6-4eb03a67f9be</x:v>
      </x:c>
      <x:c r="E740" t="str">
        <x:v>g2298c4cf-72a2-4105-bcea-57500507accf</x:v>
      </x:c>
      <x:c r="F740" t="str">
        <x:v>https://www.webonary.org/marubo/g2298c4cf-72a2-4105-bcea-57500507accf/</x:v>
      </x:c>
      <x:c r="G740" s="20" t="n">
        <x:v>46003.934832210645</x:v>
      </x:c>
    </x:row>
    <x:row r="741">
      <x:c r="A741" t="str">
        <x:v>duro</x:v>
      </x:c>
      <x:c r="B741" t="str">
        <x:v>kavimaka</x:v>
      </x:c>
      <x:c r="C741" t="str">
        <x:v>d</x:v>
      </x:c>
      <x:c r="D741" t="str">
        <x:v>gb5faf9f9-c971-41ae-9ad5-4ed144ffba74</x:v>
      </x:c>
      <x:c r="E741" t="str">
        <x:v>g16fbabd7-9500-4929-9e0a-c726d765a76d</x:v>
      </x:c>
      <x:c r="F741" t="str">
        <x:v>https://www.webonary.org/marubo/g16fbabd7-9500-4929-9e0a-c726d765a76d/</x:v>
      </x:c>
      <x:c r="G741" s="20" t="n">
        <x:v>46003.934832210645</x:v>
      </x:c>
    </x:row>
    <x:row r="742">
      <x:c r="A742" t="str">
        <x:v>e de dinheiro</x:v>
      </x:c>
      <x:c r="B742" t="str">
        <x:v>awetishõ</x:v>
      </x:c>
      <x:c r="C742" t="str">
        <x:v>e</x:v>
      </x:c>
      <x:c r="D742" t="str">
        <x:v>g0906fba8-9949-4999-9a57-aa7f3f6d9288</x:v>
      </x:c>
      <x:c r="E742" t="str">
        <x:v>gdc56c156-a599-496b-b0a9-26cd56e4199f</x:v>
      </x:c>
      <x:c r="F742" t="str">
        <x:v>https://www.webonary.org/marubo/gdc56c156-a599-496b-b0a9-26cd56e4199f/</x:v>
      </x:c>
      <x:c r="G742" s="20" t="n">
        <x:v>46003.934832210645</x:v>
      </x:c>
    </x:row>
    <x:row r="743">
      <x:c r="A743" t="str">
        <x:v>ele</x:v>
      </x:c>
      <x:c r="B743" t="str">
        <x:v>wa</x:v>
      </x:c>
      <x:c r="C743" t="str">
        <x:v>e</x:v>
      </x:c>
      <x:c r="D743" t="str">
        <x:v>g96b28670-fe77-4405-a222-3ffdcc47ca6b</x:v>
      </x:c>
      <x:c r="E743" t="str">
        <x:v>g601be0bb-ebef-4608-9401-c7de5caf1056</x:v>
      </x:c>
      <x:c r="F743" t="str">
        <x:v>https://www.webonary.org/marubo/g601be0bb-ebef-4608-9401-c7de5caf1056/</x:v>
      </x:c>
      <x:c r="G743" s="20" t="n">
        <x:v>46003.934832210645</x:v>
      </x:c>
    </x:row>
    <x:row r="744">
      <x:c r="A744" t="str">
        <x:v>em cima</x:v>
      </x:c>
      <x:c r="B744" t="str">
        <x:v>matxi</x:v>
      </x:c>
      <x:c r="C744" t="str">
        <x:v>e</x:v>
      </x:c>
      <x:c r="D744" t="str">
        <x:v>g2b40e0a1-788d-4c65-bcab-d674173bf0a6</x:v>
      </x:c>
      <x:c r="E744" t="str">
        <x:v>g964f04a4-1245-4dc9-bd0e-8978ecc29572</x:v>
      </x:c>
      <x:c r="F744" t="str">
        <x:v>https://www.webonary.org/marubo/g964f04a4-1245-4dc9-bd0e-8978ecc29572/</x:v>
      </x:c>
      <x:c r="G744" s="20" t="n">
        <x:v>46003.934832210645</x:v>
      </x:c>
    </x:row>
    <x:row r="745">
      <x:c r="A745" t="str">
        <x:v>em direção a</x:v>
      </x:c>
      <x:c r="B745" t="str">
        <x:v>-ri</x:v>
      </x:c>
      <x:c r="C745" t="str">
        <x:v>e</x:v>
      </x:c>
      <x:c r="D745" t="str">
        <x:v>gf1d02c7b-520b-475f-adb6-4ab5121d6324</x:v>
      </x:c>
      <x:c r="E745" t="str">
        <x:v>ga1a5ec4d-3666-4758-9fb6-6b1217d74e71</x:v>
      </x:c>
      <x:c r="F745" t="str">
        <x:v>https://www.webonary.org/marubo/ga1a5ec4d-3666-4758-9fb6-6b1217d74e71/</x:v>
      </x:c>
      <x:c r="G745" s="20" t="n">
        <x:v>46003.934832210645</x:v>
      </x:c>
    </x:row>
    <x:row r="746">
      <x:c r="A746" t="str">
        <x:v>em frente</x:v>
      </x:c>
      <x:c r="B746" t="str">
        <x:v>vevo</x:v>
      </x:c>
      <x:c r="C746" t="str">
        <x:v>e</x:v>
      </x:c>
      <x:c r="D746" t="str">
        <x:v>gbb361181-4c11-45c5-bc2c-255b3f5945e9</x:v>
      </x:c>
      <x:c r="E746" t="str">
        <x:v>gf1b7c98c-0eed-47c0-a211-0165e9714475</x:v>
      </x:c>
      <x:c r="F746" t="str">
        <x:v>https://www.webonary.org/marubo/gf1b7c98c-0eed-47c0-a211-0165e9714475/</x:v>
      </x:c>
      <x:c r="G746" s="20" t="n">
        <x:v>46003.934832210645</x:v>
      </x:c>
    </x:row>
    <x:row r="747">
      <x:c r="A747" t="str">
        <x:v>embaixo</x:v>
      </x:c>
      <x:c r="B747" t="str">
        <x:v>teró</x:v>
      </x:c>
      <x:c r="C747" t="str">
        <x:v>e</x:v>
      </x:c>
      <x:c r="D747" t="str">
        <x:v>gb61c87ce-e7c5-44c2-af1d-e3179464a04a</x:v>
      </x:c>
      <x:c r="E747" t="str">
        <x:v>g6d1a79f2-5aa2-497c-8ab8-774fa9f075e8</x:v>
      </x:c>
      <x:c r="F747" t="str">
        <x:v>https://www.webonary.org/marubo/g6d1a79f2-5aa2-497c-8ab8-774fa9f075e8/</x:v>
      </x:c>
      <x:c r="G747" s="20" t="n">
        <x:v>46003.934832210645</x:v>
      </x:c>
    </x:row>
    <x:row r="748">
      <x:c r="A748" t="str">
        <x:v>embaúba</x:v>
      </x:c>
      <x:c r="B748" t="str">
        <x:v>võkó</x:v>
      </x:c>
      <x:c r="C748" t="str">
        <x:v>e</x:v>
      </x:c>
      <x:c r="D748" t="str">
        <x:v>ge178c3c8-cb65-4c66-b95d-17ea0a4942be</x:v>
      </x:c>
      <x:c r="E748" t="str">
        <x:v>gfe013ffa-5b40-4d16-b04e-4b4c2be0f80a</x:v>
      </x:c>
      <x:c r="F748" t="str">
        <x:v>https://www.webonary.org/marubo/gfe013ffa-5b40-4d16-b04e-4b4c2be0f80a/</x:v>
      </x:c>
      <x:c r="G748" s="20" t="n">
        <x:v>46003.934832210645</x:v>
      </x:c>
    </x:row>
    <x:row r="749">
      <x:c r="A749" t="str">
        <x:v>embrulhar</x:v>
      </x:c>
      <x:c r="B749" t="str">
        <x:v>rakoa</x:v>
      </x:c>
      <x:c r="C749" t="str">
        <x:v>e</x:v>
      </x:c>
      <x:c r="D749" t="str">
        <x:v>gc2a6fe07-50bf-4ae6-a0c6-0c9e298c515a</x:v>
      </x:c>
      <x:c r="E749" t="str">
        <x:v>g97c85b17-13a2-44b0-af27-33db21704467</x:v>
      </x:c>
      <x:c r="F749" t="str">
        <x:v>https://www.webonary.org/marubo/g97c85b17-13a2-44b0-af27-33db21704467/</x:v>
      </x:c>
      <x:c r="G749" s="20" t="n">
        <x:v>46003.934832210645</x:v>
      </x:c>
    </x:row>
    <x:row r="750">
      <x:c r="A750" t="str">
        <x:v>embrulhar com folha para moquear</x:v>
      </x:c>
      <x:c r="B750" t="str">
        <x:v>oá aká</x:v>
      </x:c>
      <x:c r="C750" t="str">
        <x:v>e</x:v>
      </x:c>
      <x:c r="D750" t="str">
        <x:v>g03f3c4fd-4267-4e84-bc76-97421273a84c</x:v>
      </x:c>
      <x:c r="E750" t="str">
        <x:v>g35188511-dab4-4041-84c4-b164a68020ea</x:v>
      </x:c>
      <x:c r="F750" t="str">
        <x:v>https://www.webonary.org/marubo/g35188511-dab4-4041-84c4-b164a68020ea/</x:v>
      </x:c>
      <x:c r="G750" s="20" t="n">
        <x:v>46003.934832210645</x:v>
      </x:c>
    </x:row>
    <x:row r="751">
      <x:c r="A751" t="str">
        <x:v>emburrar</x:v>
      </x:c>
      <x:c r="B751" t="str">
        <x:v>siná</x:v>
      </x:c>
      <x:c r="C751" t="str">
        <x:v>e</x:v>
      </x:c>
      <x:c r="D751" t="str">
        <x:v>g2e699165-72ce-44f4-a4a9-a1e88e2e80f2</x:v>
      </x:c>
      <x:c r="E751" t="str">
        <x:v>gd84c24c9-9a0f-4024-9f43-c8bda53dc58e</x:v>
      </x:c>
      <x:c r="F751" t="str">
        <x:v>https://www.webonary.org/marubo/gd84c24c9-9a0f-4024-9f43-c8bda53dc58e/</x:v>
      </x:c>
      <x:c r="G751" s="20" t="n">
        <x:v>46003.934832210645</x:v>
      </x:c>
    </x:row>
    <x:row r="752">
      <x:c r="A752" t="str">
        <x:v>emendar</x:v>
      </x:c>
      <x:c r="B752" t="str">
        <x:v>txiria</x:v>
      </x:c>
      <x:c r="C752" t="str">
        <x:v>e</x:v>
      </x:c>
      <x:c r="D752" t="str">
        <x:v>g0ac63a0e-8311-4e5e-80d4-9aa099134eaf</x:v>
      </x:c>
      <x:c r="E752" t="str">
        <x:v>g444cb646-bb07-4594-9895-3a8cedcfdd2b</x:v>
      </x:c>
      <x:c r="F752" t="str">
        <x:v>https://www.webonary.org/marubo/g444cb646-bb07-4594-9895-3a8cedcfdd2b/</x:v>
      </x:c>
      <x:c r="G752" s="20" t="n">
        <x:v>46003.934832210645</x:v>
      </x:c>
    </x:row>
    <x:row r="753">
      <x:c r="A753" t="str">
        <x:v>empedaçar aruá</x:v>
      </x:c>
      <x:c r="B753" t="str">
        <x:v>txaro aká</x:v>
      </x:c>
      <x:c r="C753" t="str">
        <x:v>e</x:v>
      </x:c>
      <x:c r="D753" t="str">
        <x:v>g7672ac04-6a58-49f4-99d8-dce7d782cdbc</x:v>
      </x:c>
      <x:c r="E753" t="str">
        <x:v>g4ed3492e-5b04-4d5c-b251-0ebaa42226e7</x:v>
      </x:c>
      <x:c r="F753" t="str">
        <x:v>https://www.webonary.org/marubo/g4ed3492e-5b04-4d5c-b251-0ebaa42226e7/</x:v>
      </x:c>
      <x:c r="G753" s="20" t="n">
        <x:v>46003.934832210645</x:v>
      </x:c>
    </x:row>
    <x:row r="754">
      <x:c r="A754" t="str">
        <x:v>empilhar</x:v>
      </x:c>
      <x:c r="B754" t="str">
        <x:v>maso</x:v>
      </x:c>
      <x:c r="C754" t="str">
        <x:v>e</x:v>
      </x:c>
      <x:c r="D754" t="str">
        <x:v>g22f4357e-cdb6-4d5f-bcd2-4ca169102847</x:v>
      </x:c>
      <x:c r="E754" t="str">
        <x:v>gfdba6a50-e57b-4fe0-9839-f95231bad3a1</x:v>
      </x:c>
      <x:c r="F754" t="str">
        <x:v>https://www.webonary.org/marubo/gfdba6a50-e57b-4fe0-9839-f95231bad3a1/</x:v>
      </x:c>
      <x:c r="G754" s="20" t="n">
        <x:v>46003.934832210645</x:v>
      </x:c>
    </x:row>
    <x:row r="755">
      <x:c r="A755" t="str">
        <x:v>empolar</x:v>
      </x:c>
      <x:c r="B755" t="str">
        <x:v>meshmoa</x:v>
      </x:c>
      <x:c r="C755" t="str">
        <x:v>e</x:v>
      </x:c>
      <x:c r="D755" t="str">
        <x:v>g2299e990-7ac9-49c5-a96c-d9b8239325d8</x:v>
      </x:c>
      <x:c r="E755" t="str">
        <x:v>g3633602b-31ae-49be-9cad-6f29b6f0a806</x:v>
      </x:c>
      <x:c r="F755" t="str">
        <x:v>https://www.webonary.org/marubo/g3633602b-31ae-49be-9cad-6f29b6f0a806/</x:v>
      </x:c>
      <x:c r="G755" s="20" t="n">
        <x:v>46003.934832210645</x:v>
      </x:c>
    </x:row>
    <x:row r="756">
      <x:c r="A756" t="str">
        <x:v>emprestar</x:v>
      </x:c>
      <x:c r="B756" t="str">
        <x:v>kãwã</x:v>
      </x:c>
      <x:c r="C756" t="str">
        <x:v>e</x:v>
      </x:c>
      <x:c r="D756" t="str">
        <x:v>gdda912ae-9538-458d-b1c0-dd97cabde468</x:v>
      </x:c>
      <x:c r="E756" t="str">
        <x:v>ged1d3b44-ce7b-4c1f-a573-1f207a4ec7d3</x:v>
      </x:c>
      <x:c r="F756" t="str">
        <x:v>https://www.webonary.org/marubo/ged1d3b44-ce7b-4c1f-a573-1f207a4ec7d3/</x:v>
      </x:c>
      <x:c r="G756" s="20" t="n">
        <x:v>46003.934832210645</x:v>
      </x:c>
    </x:row>
    <x:row r="757">
      <x:c r="A757" t="str">
        <x:v>empurrar</x:v>
      </x:c>
      <x:c r="B757" t="str">
        <x:v>sherevãĩ</x:v>
      </x:c>
      <x:c r="C757" t="str">
        <x:v>e</x:v>
      </x:c>
      <x:c r="D757" t="str">
        <x:v>g73e3999a-0762-42a0-bb2e-6fccab4b47b6</x:v>
      </x:c>
      <x:c r="E757" t="str">
        <x:v>g7ef3ea27-dfa4-4134-bfc4-558fbfa57c34</x:v>
      </x:c>
      <x:c r="F757" t="str">
        <x:v>https://www.webonary.org/marubo/g7ef3ea27-dfa4-4134-bfc4-558fbfa57c34/</x:v>
      </x:c>
      <x:c r="G757" s="20" t="n">
        <x:v>46003.934832210645</x:v>
      </x:c>
    </x:row>
    <x:row r="758">
      <x:c r="A758" t="str">
        <x:v>empurrar</x:v>
      </x:c>
      <x:c r="B758" t="str">
        <x:v>shotõa</x:v>
      </x:c>
      <x:c r="C758" t="str">
        <x:v>e</x:v>
      </x:c>
      <x:c r="D758" t="str">
        <x:v>g73e3999a-0762-42a0-bb2e-6fccab4b47b6</x:v>
      </x:c>
      <x:c r="E758" t="str">
        <x:v>gc091121c-56b1-4644-b5fc-56596fe79831</x:v>
      </x:c>
      <x:c r="F758" t="str">
        <x:v>https://www.webonary.org/marubo/gc091121c-56b1-4644-b5fc-56596fe79831/</x:v>
      </x:c>
      <x:c r="G758" s="20" t="n">
        <x:v>46003.934832210645</x:v>
      </x:c>
    </x:row>
    <x:row r="759">
      <x:c r="A759" t="str">
        <x:v>encanto para queixada</x:v>
      </x:c>
      <x:c r="B759" t="str">
        <x:v>yawã roá</x:v>
      </x:c>
      <x:c r="C759" t="str">
        <x:v>e</x:v>
      </x:c>
      <x:c r="D759" t="str">
        <x:v>g9616d12a-2bef-4093-b09a-ab9a6b527b51</x:v>
      </x:c>
      <x:c r="E759" t="str">
        <x:v>g4857f253-3326-4d6e-882b-9f448c3050e1</x:v>
      </x:c>
      <x:c r="F759" t="str">
        <x:v>https://www.webonary.org/marubo/g4857f253-3326-4d6e-882b-9f448c3050e1/</x:v>
      </x:c>
      <x:c r="G759" s="20" t="n">
        <x:v>46003.934832210645</x:v>
      </x:c>
    </x:row>
    <x:row r="760">
      <x:c r="A760" t="str">
        <x:v>encanto para queixada</x:v>
      </x:c>
      <x:c r="B760" t="str">
        <x:v>1</x:v>
      </x:c>
      <x:c r="C760" t="str">
        <x:v>e</x:v>
      </x:c>
      <x:c r="D760" t="str">
        <x:v>g9616d12a-2bef-4093-b09a-ab9a6b527b51</x:v>
      </x:c>
      <x:c r="E760" t="str">
        <x:v>g4857f253-3326-4d6e-882b-9f448c3050e1</x:v>
      </x:c>
      <x:c r="F760" t="str">
        <x:v>https://www.webonary.org/marubo/g4857f253-3326-4d6e-882b-9f448c3050e1/</x:v>
      </x:c>
      <x:c r="G760" s="20" t="n">
        <x:v>46003.934832210645</x:v>
      </x:c>
    </x:row>
    <x:row r="761">
      <x:c r="A761" t="str">
        <x:v>encontrar</x:v>
      </x:c>
      <x:c r="B761" t="str">
        <x:v>veya</x:v>
      </x:c>
      <x:c r="C761" t="str">
        <x:v>e</x:v>
      </x:c>
      <x:c r="D761" t="str">
        <x:v>gdd5f7080-ea73-4515-b615-1e2c71d6f88b</x:v>
      </x:c>
      <x:c r="E761" t="str">
        <x:v>g87f5e8ec-1fda-4e13-96cf-3e43d4f8932a</x:v>
      </x:c>
      <x:c r="F761" t="str">
        <x:v>https://www.webonary.org/marubo/g87f5e8ec-1fda-4e13-96cf-3e43d4f8932a/</x:v>
      </x:c>
      <x:c r="G761" s="20" t="n">
        <x:v>46003.934832210645</x:v>
      </x:c>
    </x:row>
    <x:row r="762">
      <x:c r="A762" t="str">
        <x:v>encordar misanga</x:v>
      </x:c>
      <x:c r="B762" t="str">
        <x:v>keõ</x:v>
      </x:c>
      <x:c r="C762" t="str">
        <x:v>e</x:v>
      </x:c>
      <x:c r="D762" t="str">
        <x:v>g0ba491ac-d91a-40c6-a102-0473b5b960b6</x:v>
      </x:c>
      <x:c r="E762" t="str">
        <x:v>g71085323-b2e1-4418-9d2f-571f093440be</x:v>
      </x:c>
      <x:c r="F762" t="str">
        <x:v>https://www.webonary.org/marubo/g71085323-b2e1-4418-9d2f-571f093440be/</x:v>
      </x:c>
      <x:c r="G762" s="20" t="n">
        <x:v>46003.934832210645</x:v>
      </x:c>
    </x:row>
    <x:row r="763">
      <x:c r="A763" t="str">
        <x:v>encostar</x:v>
      </x:c>
      <x:c r="B763" t="str">
        <x:v>kepia</x:v>
      </x:c>
      <x:c r="C763" t="str">
        <x:v>e</x:v>
      </x:c>
      <x:c r="D763" t="str">
        <x:v>ga7fdd550-36ff-4aea-bb6a-271031fc9075</x:v>
      </x:c>
      <x:c r="E763" t="str">
        <x:v>g9efc7815-80ca-4897-8910-7fed698558ba</x:v>
      </x:c>
      <x:c r="F763" t="str">
        <x:v>https://www.webonary.org/marubo/g9efc7815-80ca-4897-8910-7fed698558ba/</x:v>
      </x:c>
      <x:c r="G763" s="20" t="n">
        <x:v>46003.934832210645</x:v>
      </x:c>
    </x:row>
    <x:row r="764">
      <x:c r="A764" t="str">
        <x:v>encostar</x:v>
      </x:c>
      <x:c r="B764" t="str">
        <x:v>petsa aká</x:v>
      </x:c>
      <x:c r="C764" t="str">
        <x:v>e</x:v>
      </x:c>
      <x:c r="D764" t="str">
        <x:v>ga7fdd550-36ff-4aea-bb6a-271031fc9075</x:v>
      </x:c>
      <x:c r="E764" t="str">
        <x:v>gf84f5ef1-5126-4db9-b9fd-5f3e78ca31f4</x:v>
      </x:c>
      <x:c r="F764" t="str">
        <x:v>https://www.webonary.org/marubo/gf84f5ef1-5126-4db9-b9fd-5f3e78ca31f4/</x:v>
      </x:c>
      <x:c r="G764" s="20" t="n">
        <x:v>46003.934832210645</x:v>
      </x:c>
    </x:row>
    <x:row r="765">
      <x:c r="A765" t="str">
        <x:v>ENF</x:v>
      </x:c>
      <x:c r="B765" t="str">
        <x:v>-rívi</x:v>
      </x:c>
      <x:c r="C765" t="str">
        <x:v>e</x:v>
      </x:c>
      <x:c r="D765" t="str">
        <x:v>g61c05731-c777-4cbc-8016-edc1b1353774</x:v>
      </x:c>
      <x:c r="E765" t="str">
        <x:v>gbab3e1e6-247f-42c1-a581-7ae90cf478f3</x:v>
      </x:c>
      <x:c r="F765" t="str">
        <x:v>https://www.webonary.org/marubo/gbab3e1e6-247f-42c1-a581-7ae90cf478f3/</x:v>
      </x:c>
      <x:c r="G765" s="20" t="n">
        <x:v>46003.93483931713</x:v>
      </x:c>
    </x:row>
    <x:row r="766">
      <x:c r="A766" t="str">
        <x:v>ENF</x:v>
      </x:c>
      <x:c r="B766" t="str">
        <x:v>-rvi</x:v>
      </x:c>
      <x:c r="C766" t="str">
        <x:v>e</x:v>
      </x:c>
      <x:c r="D766" t="str">
        <x:v>g61c05731-c777-4cbc-8016-edc1b1353774</x:v>
      </x:c>
      <x:c r="E766" t="str">
        <x:v>gcc04198a-db69-44e4-932f-58562cf8307a</x:v>
      </x:c>
      <x:c r="F766" t="str">
        <x:v>https://www.webonary.org/marubo/gcc04198a-db69-44e4-932f-58562cf8307a/</x:v>
      </x:c>
      <x:c r="G766" s="20" t="n">
        <x:v>46003.93483931713</x:v>
      </x:c>
    </x:row>
    <x:row r="767">
      <x:c r="A767" t="str">
        <x:v>ENF2</x:v>
      </x:c>
      <x:c r="B767" t="str">
        <x:f>"=tsikĩ"</x:f>
        <x:v>=tsikĩ</x:v>
      </x:c>
      <x:c r="C767" t="str">
        <x:v>e</x:v>
      </x:c>
      <x:c r="D767" t="str">
        <x:v>g5d2abd90-5ef5-4424-a495-adec0851ce0e</x:v>
      </x:c>
      <x:c r="E767" t="str">
        <x:v>g6561ed86-2f1c-41f1-b0e1-622c0487c304</x:v>
      </x:c>
      <x:c r="F767" t="str">
        <x:v>https://www.webonary.org/marubo/g6561ed86-2f1c-41f1-b0e1-622c0487c304/</x:v>
      </x:c>
      <x:c r="G767" s="20" t="n">
        <x:v>46003.93483931713</x:v>
      </x:c>
    </x:row>
    <x:row r="768">
      <x:c r="A768" t="str">
        <x:v>enfeitar</x:v>
      </x:c>
      <x:c r="B768" t="str">
        <x:v>yoí</x:v>
      </x:c>
      <x:c r="C768" t="str">
        <x:v>e</x:v>
      </x:c>
      <x:c r="D768" t="str">
        <x:v>gdaf54af6-b587-4412-a17d-bee8ecedaaf6</x:v>
      </x:c>
      <x:c r="E768" t="str">
        <x:v>g174bbe83-d541-48a3-9284-fedf7ddf473c</x:v>
      </x:c>
      <x:c r="F768" t="str">
        <x:v>https://www.webonary.org/marubo/g174bbe83-d541-48a3-9284-fedf7ddf473c/</x:v>
      </x:c>
      <x:c r="G768" s="20" t="n">
        <x:v>46003.93483931713</x:v>
      </x:c>
    </x:row>
    <x:row r="769">
      <x:c r="A769" t="str">
        <x:v>enfeitar</x:v>
      </x:c>
      <x:c r="B769" t="str">
        <x:v>1</x:v>
      </x:c>
      <x:c r="C769" t="str">
        <x:v>e</x:v>
      </x:c>
      <x:c r="D769" t="str">
        <x:v>gdaf54af6-b587-4412-a17d-bee8ecedaaf6</x:v>
      </x:c>
      <x:c r="E769" t="str">
        <x:v>g174bbe83-d541-48a3-9284-fedf7ddf473c</x:v>
      </x:c>
      <x:c r="F769" t="str">
        <x:v>https://www.webonary.org/marubo/g174bbe83-d541-48a3-9284-fedf7ddf473c/</x:v>
      </x:c>
      <x:c r="G769" s="20" t="n">
        <x:v>46003.93483931713</x:v>
      </x:c>
    </x:row>
    <x:row r="770">
      <x:c r="A770" t="str">
        <x:v>enfeixar</x:v>
      </x:c>
      <x:c r="B770" t="str">
        <x:v>tashna</x:v>
      </x:c>
      <x:c r="C770" t="str">
        <x:v>e</x:v>
      </x:c>
      <x:c r="D770" t="str">
        <x:v>gbdfc695b-689c-480d-8f28-68ada1288a07</x:v>
      </x:c>
      <x:c r="E770" t="str">
        <x:v>gf89e1bb0-00f7-4a24-90ed-220188ac7145</x:v>
      </x:c>
      <x:c r="F770" t="str">
        <x:v>https://www.webonary.org/marubo/gf89e1bb0-00f7-4a24-90ed-220188ac7145/</x:v>
      </x:c>
      <x:c r="G770" s="20" t="n">
        <x:v>46003.93483931713</x:v>
      </x:c>
    </x:row>
    <x:row r="771">
      <x:c r="A771" t="str">
        <x:v>enfiado</x:v>
      </x:c>
      <x:c r="B771" t="str">
        <x:v>osóa</x:v>
      </x:c>
      <x:c r="C771" t="str">
        <x:v>e</x:v>
      </x:c>
      <x:c r="D771" t="str">
        <x:v>g92023cd8-aaee-4c22-9999-dbfa4531992f</x:v>
      </x:c>
      <x:c r="E771" t="str">
        <x:v>g68873c49-ff14-47ff-be35-18156b4d1891</x:v>
      </x:c>
      <x:c r="F771" t="str">
        <x:v>https://www.webonary.org/marubo/g68873c49-ff14-47ff-be35-18156b4d1891/</x:v>
      </x:c>
      <x:c r="G771" s="20" t="n">
        <x:v>46003.93483931713</x:v>
      </x:c>
    </x:row>
    <x:row r="772">
      <x:c r="A772" t="str">
        <x:v>enfiar</x:v>
      </x:c>
      <x:c r="B772" t="str">
        <x:v>osõa</x:v>
      </x:c>
      <x:c r="C772" t="str">
        <x:v>e</x:v>
      </x:c>
      <x:c r="D772" t="str">
        <x:v>g4c755770-399a-44b3-ad83-5e66a5fcb7d6</x:v>
      </x:c>
      <x:c r="E772" t="str">
        <x:v>g5d0f1df1-52db-44bd-9e9c-58fac6f25460</x:v>
      </x:c>
      <x:c r="F772" t="str">
        <x:v>https://www.webonary.org/marubo/g5d0f1df1-52db-44bd-9e9c-58fac6f25460/</x:v>
      </x:c>
      <x:c r="G772" s="20" t="n">
        <x:v>46003.93483931713</x:v>
      </x:c>
    </x:row>
    <x:row r="773">
      <x:c r="A773" t="str">
        <x:v>enfiar</x:v>
      </x:c>
      <x:c r="B773" t="str">
        <x:v>noá</x:v>
      </x:c>
      <x:c r="C773" t="str">
        <x:v>e</x:v>
      </x:c>
      <x:c r="D773" t="str">
        <x:v>g4c755770-399a-44b3-ad83-5e66a5fcb7d6</x:v>
      </x:c>
      <x:c r="E773" t="str">
        <x:v>g8e40485d-f5dd-43a4-8de8-ddcb7fc613fc</x:v>
      </x:c>
      <x:c r="F773" t="str">
        <x:v>https://www.webonary.org/marubo/g8e40485d-f5dd-43a4-8de8-ddcb7fc613fc/</x:v>
      </x:c>
      <x:c r="G773" s="20" t="n">
        <x:v>46003.93483931713</x:v>
      </x:c>
    </x:row>
    <x:row r="774">
      <x:c r="A774" t="str">
        <x:v>enfiar</x:v>
      </x:c>
      <x:c r="B774" t="str">
        <x:v>narĩa</x:v>
      </x:c>
      <x:c r="C774" t="str">
        <x:v>e</x:v>
      </x:c>
      <x:c r="D774" t="str">
        <x:v>g4c755770-399a-44b3-ad83-5e66a5fcb7d6</x:v>
      </x:c>
      <x:c r="E774" t="str">
        <x:v>gfcf43646-d192-4634-abf0-ec13b62d32f5</x:v>
      </x:c>
      <x:c r="F774" t="str">
        <x:v>https://www.webonary.org/marubo/gfcf43646-d192-4634-abf0-ec13b62d32f5/</x:v>
      </x:c>
      <x:c r="G774" s="20" t="n">
        <x:v>46003.93483931713</x:v>
      </x:c>
    </x:row>
    <x:row r="775">
      <x:c r="A775" t="str">
        <x:v>enfiar algo debaixo do sovaco</x:v>
      </x:c>
      <x:c r="B775" t="str">
        <x:v>pióste aká</x:v>
      </x:c>
      <x:c r="C775" t="str">
        <x:v>e</x:v>
      </x:c>
      <x:c r="D775" t="str">
        <x:v>g42162274-b25c-4488-989c-f0ea4fd2c2aa</x:v>
      </x:c>
      <x:c r="E775" t="str">
        <x:v>geda58b8e-43c6-4c7d-b9ba-a697d92518ff</x:v>
      </x:c>
      <x:c r="F775" t="str">
        <x:v>https://www.webonary.org/marubo/geda58b8e-43c6-4c7d-b9ba-a697d92518ff/</x:v>
      </x:c>
      <x:c r="G775" s="20" t="n">
        <x:v>46003.93483931713</x:v>
      </x:c>
    </x:row>
    <x:row r="776">
      <x:c r="A776" t="str">
        <x:v>enfiar continha no ponto da linha</x:v>
      </x:c>
      <x:c r="B776" t="str">
        <x:v>paria</x:v>
      </x:c>
      <x:c r="C776" t="str">
        <x:v>e</x:v>
      </x:c>
      <x:c r="D776" t="str">
        <x:v>g8c7f95f4-aab3-4c57-95c6-3e2b4ed43f8d</x:v>
      </x:c>
      <x:c r="E776" t="str">
        <x:v>gfaaf6de7-ef21-4ab2-b63b-50040b56c15d</x:v>
      </x:c>
      <x:c r="F776" t="str">
        <x:v>https://www.webonary.org/marubo/gfaaf6de7-ef21-4ab2-b63b-50040b56c15d/</x:v>
      </x:c>
      <x:c r="G776" s="20" t="n">
        <x:v>46003.93483931713</x:v>
      </x:c>
    </x:row>
    <x:row r="777">
      <x:c r="A777" t="str">
        <x:v>enfiar na palha da maloca</x:v>
      </x:c>
      <x:c r="B777" t="str">
        <x:v>peóste aká</x:v>
      </x:c>
      <x:c r="C777" t="str">
        <x:v>e</x:v>
      </x:c>
      <x:c r="D777" t="str">
        <x:v>g9ba186dc-8a17-437b-8146-fb573aac4d90</x:v>
      </x:c>
      <x:c r="E777" t="str">
        <x:v>g514167cd-b6af-4f4f-9041-3bdd06390a70</x:v>
      </x:c>
      <x:c r="F777" t="str">
        <x:v>https://www.webonary.org/marubo/g514167cd-b6af-4f4f-9041-3bdd06390a70/</x:v>
      </x:c>
      <x:c r="G777" s="20" t="n">
        <x:v>46003.93483931713</x:v>
      </x:c>
    </x:row>
    <x:row r="778">
      <x:c r="A778" t="str">
        <x:v>enganar</x:v>
      </x:c>
      <x:c r="B778" t="str">
        <x:v>parã</x:v>
      </x:c>
      <x:c r="C778" t="str">
        <x:v>e</x:v>
      </x:c>
      <x:c r="D778" t="str">
        <x:v>g9df0c900-55df-43ac-a164-a4cfdace30d7</x:v>
      </x:c>
      <x:c r="E778" t="str">
        <x:v>g1ef8e11d-3496-4b0d-a872-63a1db7c6cb6</x:v>
      </x:c>
      <x:c r="F778" t="str">
        <x:v>https://www.webonary.org/marubo/g1ef8e11d-3496-4b0d-a872-63a1db7c6cb6/</x:v>
      </x:c>
      <x:c r="G778" s="20" t="n">
        <x:v>46003.93483931713</x:v>
      </x:c>
    </x:row>
    <x:row r="779">
      <x:c r="A779" t="str">
        <x:v>engasgar</x:v>
      </x:c>
      <x:c r="B779" t="str">
        <x:v>asa aká</x:v>
      </x:c>
      <x:c r="C779" t="str">
        <x:v>e</x:v>
      </x:c>
      <x:c r="D779" t="str">
        <x:v>g9bbb62ed-83e1-475e-91b2-c9c7032813e6</x:v>
      </x:c>
      <x:c r="E779" t="str">
        <x:v>geea51d1d-fd93-4637-be46-c29dcb01dcf7</x:v>
      </x:c>
      <x:c r="F779" t="str">
        <x:v>https://www.webonary.org/marubo/geea51d1d-fd93-4637-be46-c29dcb01dcf7/</x:v>
      </x:c>
      <x:c r="G779" s="20" t="n">
        <x:v>46003.93483931713</x:v>
      </x:c>
    </x:row>
    <x:row r="780">
      <x:c r="A780" t="str">
        <x:v>engasgar</x:v>
      </x:c>
      <x:c r="B780" t="str">
        <x:v>michkía</x:v>
      </x:c>
      <x:c r="C780" t="str">
        <x:v>e</x:v>
      </x:c>
      <x:c r="D780" t="str">
        <x:v>g9bbb62ed-83e1-475e-91b2-c9c7032813e6</x:v>
      </x:c>
      <x:c r="E780" t="str">
        <x:v>gb50fffd2-5a56-46b4-8a6f-42c47cdba141</x:v>
      </x:c>
      <x:c r="F780" t="str">
        <x:v>https://www.webonary.org/marubo/gb50fffd2-5a56-46b4-8a6f-42c47cdba141/</x:v>
      </x:c>
      <x:c r="G780" s="20" t="n">
        <x:v>46003.93483931713</x:v>
      </x:c>
    </x:row>
    <x:row r="781">
      <x:c r="A781" t="str">
        <x:v>engolir</x:v>
      </x:c>
      <x:c r="B781" t="str">
        <x:v>shea</x:v>
      </x:c>
      <x:c r="C781" t="str">
        <x:v>e</x:v>
      </x:c>
      <x:c r="D781" t="str">
        <x:v>geb2e2e59-613f-4318-a463-e178ddbc84c3</x:v>
      </x:c>
      <x:c r="E781" t="str">
        <x:v>g5972df22-917d-4a03-9725-ed39b7cf028e</x:v>
      </x:c>
      <x:c r="F781" t="str">
        <x:v>https://www.webonary.org/marubo/g5972df22-917d-4a03-9725-ed39b7cf028e/</x:v>
      </x:c>
      <x:c r="G781" s="20" t="n">
        <x:v>46003.93483931713</x:v>
      </x:c>
    </x:row>
    <x:row r="782">
      <x:c r="A782" t="str">
        <x:v>enjoar</x:v>
      </x:c>
      <x:c r="B782" t="str">
        <x:v>ãtsã</x:v>
      </x:c>
      <x:c r="C782" t="str">
        <x:v>e</x:v>
      </x:c>
      <x:c r="D782" t="str">
        <x:v>gf857d93c-e3be-4149-81f4-8933ee8197b7</x:v>
      </x:c>
      <x:c r="E782" t="str">
        <x:v>g5f3f2639-61d9-411f-8533-2153b196ae1b</x:v>
      </x:c>
      <x:c r="F782" t="str">
        <x:v>https://www.webonary.org/marubo/g5f3f2639-61d9-411f-8533-2153b196ae1b/</x:v>
      </x:c>
      <x:c r="G782" s="20" t="n">
        <x:v>46003.93483931713</x:v>
      </x:c>
    </x:row>
    <x:row r="783">
      <x:c r="A783" t="str">
        <x:v>enorme</x:v>
      </x:c>
      <x:c r="B783" t="str">
        <x:v>pichtama</x:v>
      </x:c>
      <x:c r="C783" t="str">
        <x:v>e</x:v>
      </x:c>
      <x:c r="D783" t="str">
        <x:v>g0ec9fa78-6ecc-4130-a82e-1c0a83ea48fd</x:v>
      </x:c>
      <x:c r="E783" t="str">
        <x:v>g1b72ce5f-1bef-4a37-8965-9b931c8e3579</x:v>
      </x:c>
      <x:c r="F783" t="str">
        <x:v>https://www.webonary.org/marubo/g1b72ce5f-1bef-4a37-8965-9b931c8e3579/</x:v>
      </x:c>
      <x:c r="G783" s="20" t="n">
        <x:v>46003.93483931713</x:v>
      </x:c>
    </x:row>
    <x:row r="784">
      <x:c r="A784" t="str">
        <x:v>enrolado</x:v>
      </x:c>
      <x:c r="B784" t="str">
        <x:v>toroa</x:v>
      </x:c>
      <x:c r="C784" t="str">
        <x:v>e</x:v>
      </x:c>
      <x:c r="D784" t="str">
        <x:v>gb9ca6647-3b32-4834-85ec-b16087339fe4</x:v>
      </x:c>
      <x:c r="E784" t="str">
        <x:v>g8a3d7171-cc20-4f01-b521-fc96ba18d471</x:v>
      </x:c>
      <x:c r="F784" t="str">
        <x:v>https://www.webonary.org/marubo/g8a3d7171-cc20-4f01-b521-fc96ba18d471/</x:v>
      </x:c>
      <x:c r="G784" s="20" t="n">
        <x:v>46003.93483931713</x:v>
      </x:c>
    </x:row>
    <x:row r="785">
      <x:c r="A785" t="str">
        <x:v>enrolar</x:v>
      </x:c>
      <x:c r="B785" t="str">
        <x:v>torĩa</x:v>
      </x:c>
      <x:c r="C785" t="str">
        <x:v>e</x:v>
      </x:c>
      <x:c r="D785" t="str">
        <x:v>ga58349a4-bc3f-473c-9925-3b9b7d9fb7aa</x:v>
      </x:c>
      <x:c r="E785" t="str">
        <x:v>g3c34375b-4f92-4034-9e38-a3d2dd9148c4</x:v>
      </x:c>
      <x:c r="F785" t="str">
        <x:v>https://www.webonary.org/marubo/g3c34375b-4f92-4034-9e38-a3d2dd9148c4/</x:v>
      </x:c>
      <x:c r="G785" s="20" t="n">
        <x:v>46003.93483931713</x:v>
      </x:c>
    </x:row>
    <x:row r="786">
      <x:c r="A786" t="str">
        <x:v>enrolar</x:v>
      </x:c>
      <x:c r="B786" t="str">
        <x:v>õpi</x:v>
      </x:c>
      <x:c r="C786" t="str">
        <x:v>e</x:v>
      </x:c>
      <x:c r="D786" t="str">
        <x:v>ga58349a4-bc3f-473c-9925-3b9b7d9fb7aa</x:v>
      </x:c>
      <x:c r="E786" t="str">
        <x:v>ga433d41b-3539-47b6-a389-437695cafdb8</x:v>
      </x:c>
      <x:c r="F786" t="str">
        <x:v>https://www.webonary.org/marubo/ga433d41b-3539-47b6-a389-437695cafdb8/</x:v>
      </x:c>
      <x:c r="G786" s="20" t="n">
        <x:v>46003.93483931713</x:v>
      </x:c>
    </x:row>
    <x:row r="787">
      <x:c r="A787" t="str">
        <x:v>enrolar saia</x:v>
      </x:c>
      <x:c r="B787" t="str">
        <x:v>poske aká</x:v>
      </x:c>
      <x:c r="C787" t="str">
        <x:v>e</x:v>
      </x:c>
      <x:c r="D787" t="str">
        <x:v>ge73494ab-b5b1-463f-aeb8-8fbe8cca399f</x:v>
      </x:c>
      <x:c r="E787" t="str">
        <x:v>gccd9eeb6-a113-420c-a7de-6c2ff5f8a3ee</x:v>
      </x:c>
      <x:c r="F787" t="str">
        <x:v>https://www.webonary.org/marubo/gccd9eeb6-a113-420c-a7de-6c2ff5f8a3ee/</x:v>
      </x:c>
      <x:c r="G787" s="20" t="n">
        <x:v>46003.93483931713</x:v>
      </x:c>
    </x:row>
    <x:row r="788">
      <x:c r="A788" t="str">
        <x:v>ensinamentos das maneiras religiosas</x:v>
      </x:c>
      <x:c r="B788" t="str">
        <x:v>esé</x:v>
      </x:c>
      <x:c r="C788" t="str">
        <x:v>e</x:v>
      </x:c>
      <x:c r="D788" t="str">
        <x:v>gbe1e1b7f-6531-4fee-99b8-0a7bd903e216</x:v>
      </x:c>
      <x:c r="E788" t="str">
        <x:v>g867b4d54-7b55-43c4-b44a-b896866d82da</x:v>
      </x:c>
      <x:c r="F788" t="str">
        <x:v>https://www.webonary.org/marubo/g867b4d54-7b55-43c4-b44a-b896866d82da/</x:v>
      </x:c>
      <x:c r="G788" s="20" t="n">
        <x:v>46003.93483931713</x:v>
      </x:c>
    </x:row>
    <x:row r="789">
      <x:c r="A789" t="str">
        <x:v>ensinar</x:v>
      </x:c>
      <x:c r="B789" t="str">
        <x:v>yosĩa</x:v>
      </x:c>
      <x:c r="C789" t="str">
        <x:v>e</x:v>
      </x:c>
      <x:c r="D789" t="str">
        <x:v>g7e5b6b81-2c78-467e-acce-112de0ef9e6f</x:v>
      </x:c>
      <x:c r="E789" t="str">
        <x:v>gea6620d1-e093-4c6b-9eb9-6785fadce1b9</x:v>
      </x:c>
      <x:c r="F789" t="str">
        <x:v>https://www.webonary.org/marubo/gea6620d1-e093-4c6b-9eb9-6785fadce1b9/</x:v>
      </x:c>
      <x:c r="G789" s="20" t="n">
        <x:v>46003.93483931713</x:v>
      </x:c>
    </x:row>
    <x:row r="790">
      <x:c r="A790" t="str">
        <x:v>enterrar</x:v>
      </x:c>
      <x:c r="B790" t="str">
        <x:v>onea</x:v>
      </x:c>
      <x:c r="C790" t="str">
        <x:v>e</x:v>
      </x:c>
      <x:c r="D790" t="str">
        <x:v>gfa349283-126f-4bc7-925f-28dac1d4245c</x:v>
      </x:c>
      <x:c r="E790" t="str">
        <x:v>ge7e35682-407e-4569-8860-038f07190476</x:v>
      </x:c>
      <x:c r="F790" t="str">
        <x:v>https://www.webonary.org/marubo/ge7e35682-407e-4569-8860-038f07190476/</x:v>
      </x:c>
      <x:c r="G790" s="20" t="n">
        <x:v>46003.93483931713</x:v>
      </x:c>
    </x:row>
    <x:row r="791">
      <x:c r="A791" t="str">
        <x:v>entrada</x:v>
      </x:c>
      <x:c r="B791" t="str">
        <x:v>votóa</x:v>
      </x:c>
      <x:c r="C791" t="str">
        <x:v>e</x:v>
      </x:c>
      <x:c r="D791" t="str">
        <x:v>gf98c4e8a-bd62-45eb-b89d-ccb1e191f2ea</x:v>
      </x:c>
      <x:c r="E791" t="str">
        <x:v>gc1414b7f-3d21-4876-a34b-79944aeb252d</x:v>
      </x:c>
      <x:c r="F791" t="str">
        <x:v>https://www.webonary.org/marubo/gc1414b7f-3d21-4876-a34b-79944aeb252d/</x:v>
      </x:c>
      <x:c r="G791" s="20" t="n">
        <x:v>46003.93483931713</x:v>
      </x:c>
    </x:row>
    <x:row r="792">
      <x:c r="A792" t="str">
        <x:v>entrada da maloca</x:v>
      </x:c>
      <x:c r="B792" t="str">
        <x:v>kenã kiri</x:v>
      </x:c>
      <x:c r="C792" t="str">
        <x:v>e</x:v>
      </x:c>
      <x:c r="D792" t="str">
        <x:v>g809661d8-c733-470c-bab4-b8f7424669fd</x:v>
      </x:c>
      <x:c r="E792" t="str">
        <x:v>g62ec4e1b-9917-4ef8-a091-0efdc09c4176</x:v>
      </x:c>
      <x:c r="F792" t="str">
        <x:v>https://www.webonary.org/marubo/g62ec4e1b-9917-4ef8-a091-0efdc09c4176/</x:v>
      </x:c>
      <x:c r="G792" s="20" t="n">
        <x:v>46003.93483931713</x:v>
      </x:c>
    </x:row>
    <x:row r="793">
      <x:c r="A793" t="str">
        <x:v>entrar</x:v>
      </x:c>
      <x:c r="B793" t="str">
        <x:v>ikoa</x:v>
      </x:c>
      <x:c r="C793" t="str">
        <x:v>e</x:v>
      </x:c>
      <x:c r="D793" t="str">
        <x:v>gb12871c9-7bda-41f2-ac77-7bae1d839005</x:v>
      </x:c>
      <x:c r="E793" t="str">
        <x:v>g56b69e32-0403-4a80-91be-2c83b07c8212</x:v>
      </x:c>
      <x:c r="F793" t="str">
        <x:v>https://www.webonary.org/marubo/g56b69e32-0403-4a80-91be-2c83b07c8212/</x:v>
      </x:c>
      <x:c r="G793" s="20" t="n">
        <x:v>46003.93483931713</x:v>
      </x:c>
    </x:row>
    <x:row r="794">
      <x:c r="A794" t="str">
        <x:v>entrar</x:v>
      </x:c>
      <x:c r="B794" t="str">
        <x:v>erekóa</x:v>
      </x:c>
      <x:c r="C794" t="str">
        <x:v>e</x:v>
      </x:c>
      <x:c r="D794" t="str">
        <x:v>gb12871c9-7bda-41f2-ac77-7bae1d839005</x:v>
      </x:c>
      <x:c r="E794" t="str">
        <x:v>gc8d261bc-3521-4a8a-8618-60c13e801bea</x:v>
      </x:c>
      <x:c r="F794" t="str">
        <x:v>https://www.webonary.org/marubo/gc8d261bc-3521-4a8a-8618-60c13e801bea/</x:v>
      </x:c>
      <x:c r="G794" s="20" t="n">
        <x:v>46003.93483931713</x:v>
      </x:c>
    </x:row>
    <x:row r="795">
      <x:c r="A795" t="str">
        <x:v>entrar (plurar)</x:v>
      </x:c>
      <x:c r="B795" t="str">
        <x:v>wea</x:v>
      </x:c>
      <x:c r="C795" t="str">
        <x:v>e</x:v>
      </x:c>
      <x:c r="D795" t="str">
        <x:v>g487af66d-fa93-4fa5-a347-6b00ad52fe2e</x:v>
      </x:c>
      <x:c r="E795" t="str">
        <x:v>g79be0e12-9314-4401-8e37-3d7404d393bc</x:v>
      </x:c>
      <x:c r="F795" t="str">
        <x:v>https://www.webonary.org/marubo/g79be0e12-9314-4401-8e37-3d7404d393bc/</x:v>
      </x:c>
      <x:c r="G795" s="20" t="n">
        <x:v>46003.93483931713</x:v>
      </x:c>
    </x:row>
    <x:row r="796">
      <x:c r="A796" t="str">
        <x:v>entre (caminhos)</x:v>
      </x:c>
      <x:c r="B796" t="str">
        <x:v>tõn aká</x:v>
      </x:c>
      <x:c r="C796" t="str">
        <x:v>e</x:v>
      </x:c>
      <x:c r="D796" t="str">
        <x:v>g500179bb-5296-444c-b798-fef021ee2fd2</x:v>
      </x:c>
      <x:c r="E796" t="str">
        <x:v>ge57f50fa-462d-4170-9240-dd6be5061a82</x:v>
      </x:c>
      <x:c r="F796" t="str">
        <x:v>https://www.webonary.org/marubo/ge57f50fa-462d-4170-9240-dd6be5061a82/</x:v>
      </x:c>
      <x:c r="G796" s="20" t="n">
        <x:v>46003.93483931713</x:v>
      </x:c>
    </x:row>
    <x:row r="797">
      <x:c r="A797" t="str">
        <x:v>entregando algúem</x:v>
      </x:c>
      <x:c r="B797" t="str">
        <x:v>kayá aká</x:v>
      </x:c>
      <x:c r="C797" t="str">
        <x:v>e</x:v>
      </x:c>
      <x:c r="D797" t="str">
        <x:v>g0acc83d1-8381-456b-b4c2-ae4f0da2a419</x:v>
      </x:c>
      <x:c r="E797" t="str">
        <x:v>g10578cb5-e082-49f6-8270-824d796d9291</x:v>
      </x:c>
      <x:c r="F797" t="str">
        <x:v>https://www.webonary.org/marubo/g10578cb5-e082-49f6-8270-824d796d9291/</x:v>
      </x:c>
      <x:c r="G797" s="20" t="n">
        <x:v>46003.93483931713</x:v>
      </x:c>
    </x:row>
    <x:row r="798">
      <x:c r="A798" t="str">
        <x:v>entupido</x:v>
      </x:c>
      <x:c r="B798" t="str">
        <x:v>vestóa</x:v>
      </x:c>
      <x:c r="C798" t="str">
        <x:v>e</x:v>
      </x:c>
      <x:c r="D798" t="str">
        <x:v>gb7d1538e-979a-49b3-805c-e402488e5616</x:v>
      </x:c>
      <x:c r="E798" t="str">
        <x:v>g065f8705-3222-47dc-9f97-0e860a67af95</x:v>
      </x:c>
      <x:c r="F798" t="str">
        <x:v>https://www.webonary.org/marubo/g065f8705-3222-47dc-9f97-0e860a67af95/</x:v>
      </x:c>
      <x:c r="G798" s="20" t="n">
        <x:v>46003.93483931713</x:v>
      </x:c>
    </x:row>
    <x:row r="799">
      <x:c r="A799" t="str">
        <x:v>envenenar</x:v>
      </x:c>
      <x:c r="B799" t="str">
        <x:v>raõa</x:v>
      </x:c>
      <x:c r="C799" t="str">
        <x:v>e</x:v>
      </x:c>
      <x:c r="D799" t="str">
        <x:v>gd0f2ce36-0f5a-436e-bb2b-8b8c6a8977c7</x:v>
      </x:c>
      <x:c r="E799" t="str">
        <x:v>gdaf39324-ff1b-4b58-9578-ae0f3c5fa5f4</x:v>
      </x:c>
      <x:c r="F799" t="str">
        <x:v>https://www.webonary.org/marubo/gdaf39324-ff1b-4b58-9578-ae0f3c5fa5f4/</x:v>
      </x:c>
      <x:c r="G799" s="20" t="n">
        <x:v>46003.93483931713</x:v>
      </x:c>
    </x:row>
    <x:row r="800">
      <x:c r="A800" t="str">
        <x:v>envira</x:v>
      </x:c>
      <x:c r="B800" t="str">
        <x:v>ichi</x:v>
      </x:c>
      <x:c r="C800" t="str">
        <x:v>e</x:v>
      </x:c>
      <x:c r="D800" t="str">
        <x:v>gc0e24dbf-fc60-4092-9da6-614ca1acd251</x:v>
      </x:c>
      <x:c r="E800" t="str">
        <x:v>g8ec7c1ec-50e4-4acc-b9b0-a8b7b6133a96</x:v>
      </x:c>
      <x:c r="F800" t="str">
        <x:v>https://www.webonary.org/marubo/g8ec7c1ec-50e4-4acc-b9b0-a8b7b6133a96/</x:v>
      </x:c>
      <x:c r="G800" s="20" t="n">
        <x:v>46003.93483931713</x:v>
      </x:c>
    </x:row>
    <x:row r="801">
      <x:c r="A801" t="str">
        <x:v>época</x:v>
      </x:c>
      <x:c r="B801" t="str">
        <x:v>txinĩ</x:v>
      </x:c>
      <x:c r="C801" t="str">
        <x:v>e</x:v>
      </x:c>
      <x:c r="D801" t="str">
        <x:v>g7f4a897c-0563-4537-9525-561fbe6d460d</x:v>
      </x:c>
      <x:c r="E801" t="str">
        <x:v>gec15ad44-2f4c-43f4-9852-05f60185bbc0</x:v>
      </x:c>
      <x:c r="F801" t="str">
        <x:v>https://www.webonary.org/marubo/gec15ad44-2f4c-43f4-9852-05f60185bbc0/</x:v>
      </x:c>
      <x:c r="G801" s="20" t="n">
        <x:v>46003.93483931713</x:v>
      </x:c>
    </x:row>
    <x:row r="802">
      <x:c r="A802" t="str">
        <x:v>época de seca</x:v>
      </x:c>
      <x:c r="B802" t="str">
        <x:v>vari txinĩ</x:v>
      </x:c>
      <x:c r="C802" t="str">
        <x:v>e</x:v>
      </x:c>
      <x:c r="D802" t="str">
        <x:v>ga318dc5e-0314-430c-a5d6-bbdf8ccc9df2</x:v>
      </x:c>
      <x:c r="E802" t="str">
        <x:v>g7e557ba0-cfcc-4933-bf61-49f4c572a005</x:v>
      </x:c>
      <x:c r="F802" t="str">
        <x:v>https://www.webonary.org/marubo/g7e557ba0-cfcc-4933-bf61-49f4c572a005/</x:v>
      </x:c>
      <x:c r="G802" s="20" t="n">
        <x:v>46003.93483931713</x:v>
      </x:c>
    </x:row>
    <x:row r="803">
      <x:c r="A803" t="str">
        <x:v>ERG</x:v>
      </x:c>
      <x:c r="B803" t="str">
        <x:v>-tõ</x:v>
      </x:c>
      <x:c r="C803" t="str">
        <x:v>e</x:v>
      </x:c>
      <x:c r="D803" t="str">
        <x:v>g856b3944-b8b9-4970-af79-6993a4221f53</x:v>
      </x:c>
      <x:c r="E803" t="str">
        <x:v>gddb2a94d-fc68-4601-9ba8-59edfca8296b</x:v>
      </x:c>
      <x:c r="F803" t="str">
        <x:v>https://www.webonary.org/marubo/gddb2a94d-fc68-4601-9ba8-59edfca8296b/</x:v>
      </x:c>
      <x:c r="G803" s="20" t="n">
        <x:v>46003.93483931713</x:v>
      </x:c>
    </x:row>
    <x:row r="804">
      <x:c r="A804" t="str">
        <x:v>ERG</x:v>
      </x:c>
      <x:c r="B804" t="str">
        <x:v>-̃</x:v>
      </x:c>
      <x:c r="C804" t="str">
        <x:v>e</x:v>
      </x:c>
      <x:c r="D804" t="str">
        <x:v>g856b3944-b8b9-4970-af79-6993a4221f53</x:v>
      </x:c>
      <x:c r="E804" t="str">
        <x:v>g24446972-24b3-4417-b6b5-a8efa889c2e3</x:v>
      </x:c>
      <x:c r="F804" t="str">
        <x:v>https://www.webonary.org/marubo/g24446972-24b3-4417-b6b5-a8efa889c2e3/</x:v>
      </x:c>
      <x:c r="G804" s="20" t="n">
        <x:v>46003.93483931713</x:v>
      </x:c>
    </x:row>
    <x:row r="805">
      <x:c r="A805" t="str">
        <x:v>ERG</x:v>
      </x:c>
      <x:c r="B805" t="str">
        <x:v>4</x:v>
      </x:c>
      <x:c r="C805" t="str">
        <x:v>e</x:v>
      </x:c>
      <x:c r="D805" t="str">
        <x:v>g856b3944-b8b9-4970-af79-6993a4221f53</x:v>
      </x:c>
      <x:c r="E805" t="str">
        <x:v>g24446972-24b3-4417-b6b5-a8efa889c2e3</x:v>
      </x:c>
      <x:c r="F805" t="str">
        <x:v>https://www.webonary.org/marubo/g24446972-24b3-4417-b6b5-a8efa889c2e3/</x:v>
      </x:c>
      <x:c r="G805" s="20" t="n">
        <x:v>46003.93483931713</x:v>
      </x:c>
    </x:row>
    <x:row r="806">
      <x:c r="A806" t="str">
        <x:v>erguer</x:v>
      </x:c>
      <x:c r="B806" t="str">
        <x:v>sana</x:v>
      </x:c>
      <x:c r="C806" t="str">
        <x:v>e</x:v>
      </x:c>
      <x:c r="D806" t="str">
        <x:v>gc1cad273-68ef-4c91-80f1-ede52c313b03</x:v>
      </x:c>
      <x:c r="E806" t="str">
        <x:v>gfb6f692c-4eee-48ad-88dc-008e443fa069</x:v>
      </x:c>
      <x:c r="F806" t="str">
        <x:v>https://www.webonary.org/marubo/gfb6f692c-4eee-48ad-88dc-008e443fa069/</x:v>
      </x:c>
      <x:c r="G806" s="20" t="n">
        <x:v>46003.93483931713</x:v>
      </x:c>
    </x:row>
    <x:row r="807">
      <x:c r="A807" t="str">
        <x:v>errar</x:v>
      </x:c>
      <x:c r="B807" t="str">
        <x:v>kanéa</x:v>
      </x:c>
      <x:c r="C807" t="str">
        <x:v>e</x:v>
      </x:c>
      <x:c r="D807" t="str">
        <x:v>gfa91facc-dcd5-462a-8db6-a42a7bbfe164</x:v>
      </x:c>
      <x:c r="E807" t="str">
        <x:v>ga5ad1ca1-308b-4635-9db3-d19f83c57761</x:v>
      </x:c>
      <x:c r="F807" t="str">
        <x:v>https://www.webonary.org/marubo/ga5ad1ca1-308b-4635-9db3-d19f83c57761/</x:v>
      </x:c>
      <x:c r="G807" s="20" t="n">
        <x:v>46003.93483931713</x:v>
      </x:c>
    </x:row>
    <x:row r="808">
      <x:c r="A808" t="str">
        <x:v>escada</x:v>
      </x:c>
      <x:c r="B808" t="str">
        <x:v>paiti</x:v>
      </x:c>
      <x:c r="C808" t="str">
        <x:v>e</x:v>
      </x:c>
      <x:c r="D808" t="str">
        <x:v>gd344afdc-d8bf-49fc-b143-ba9a8349eae0</x:v>
      </x:c>
      <x:c r="E808" t="str">
        <x:v>gdab1b724-4dfb-48c0-96c3-0cdefb7bd758</x:v>
      </x:c>
      <x:c r="F808" t="str">
        <x:v>https://www.webonary.org/marubo/gdab1b724-4dfb-48c0-96c3-0cdefb7bd758/</x:v>
      </x:c>
      <x:c r="G808" s="20" t="n">
        <x:v>46003.93483931713</x:v>
      </x:c>
    </x:row>
    <x:row r="809">
      <x:c r="A809" t="str">
        <x:v>escada</x:v>
      </x:c>
      <x:c r="B809" t="str">
        <x:v>naréshka</x:v>
      </x:c>
      <x:c r="C809" t="str">
        <x:v>e</x:v>
      </x:c>
      <x:c r="D809" t="str">
        <x:v>gd344afdc-d8bf-49fc-b143-ba9a8349eae0</x:v>
      </x:c>
      <x:c r="E809" t="str">
        <x:v>g16c2f6ce-4254-47bd-b008-9f08e23fe9b9</x:v>
      </x:c>
      <x:c r="F809" t="str">
        <x:v>https://www.webonary.org/marubo/g16c2f6ce-4254-47bd-b008-9f08e23fe9b9/</x:v>
      </x:c>
      <x:c r="G809" s="20" t="n">
        <x:v>46003.93483931713</x:v>
      </x:c>
    </x:row>
    <x:row r="810">
      <x:c r="A810" t="str">
        <x:v>escama</x:v>
      </x:c>
      <x:c r="B810" t="str">
        <x:v>pesa</x:v>
      </x:c>
      <x:c r="C810" t="str">
        <x:v>e</x:v>
      </x:c>
      <x:c r="D810" t="str">
        <x:v>gafac65e2-80c4-4ee5-abdf-d684ad8f8ac1</x:v>
      </x:c>
      <x:c r="E810" t="str">
        <x:v>g001553b2-5f29-4db0-af4e-1e741606ddff</x:v>
      </x:c>
      <x:c r="F810" t="str">
        <x:v>https://www.webonary.org/marubo/g001553b2-5f29-4db0-af4e-1e741606ddff/</x:v>
      </x:c>
      <x:c r="G810" s="20" t="n">
        <x:v>46003.93483931713</x:v>
      </x:c>
    </x:row>
    <x:row r="811">
      <x:c r="A811" t="str">
        <x:v>escapulir</x:v>
      </x:c>
      <x:c r="B811" t="str">
        <x:v>ãsa aká</x:v>
      </x:c>
      <x:c r="C811" t="str">
        <x:v>e</x:v>
      </x:c>
      <x:c r="D811" t="str">
        <x:v>ge9bbcdc0-de43-4ee1-a515-55e02ed00d25</x:v>
      </x:c>
      <x:c r="E811" t="str">
        <x:v>g11929381-bc13-43e9-8a04-ab475c48d6c6</x:v>
      </x:c>
      <x:c r="F811" t="str">
        <x:v>https://www.webonary.org/marubo/g11929381-bc13-43e9-8a04-ab475c48d6c6/</x:v>
      </x:c>
      <x:c r="G811" s="20" t="n">
        <x:v>46003.93483931713</x:v>
      </x:c>
    </x:row>
    <x:row r="812">
      <x:c r="A812" t="str">
        <x:v>escasso</x:v>
      </x:c>
      <x:c r="B812" t="str">
        <x:v>tashaka</x:v>
      </x:c>
      <x:c r="C812" t="str">
        <x:v>e</x:v>
      </x:c>
      <x:c r="D812" t="str">
        <x:v>g4ecf8b32-6236-41ef-9e38-864441abfbe2</x:v>
      </x:c>
      <x:c r="E812" t="str">
        <x:v>g117c3b7a-5e45-454d-b325-b40a6e050441</x:v>
      </x:c>
      <x:c r="F812" t="str">
        <x:v>https://www.webonary.org/marubo/g117c3b7a-5e45-454d-b325-b40a6e050441/</x:v>
      </x:c>
      <x:c r="G812" s="20" t="n">
        <x:v>46003.93483931713</x:v>
      </x:c>
    </x:row>
    <x:row r="813">
      <x:c r="A813" t="str">
        <x:v>escolher</x:v>
      </x:c>
      <x:c r="B813" t="str">
        <x:v>kavẽa</x:v>
      </x:c>
      <x:c r="C813" t="str">
        <x:v>e</x:v>
      </x:c>
      <x:c r="D813" t="str">
        <x:v>gd47bcadc-1c21-4ff6-a43b-90cea01e9e0c</x:v>
      </x:c>
      <x:c r="E813" t="str">
        <x:v>gc3c1a116-4bcb-4337-ac2c-91202942d1d3</x:v>
      </x:c>
      <x:c r="F813" t="str">
        <x:v>https://www.webonary.org/marubo/gc3c1a116-4bcb-4337-ac2c-91202942d1d3/</x:v>
      </x:c>
      <x:c r="G813" s="20" t="n">
        <x:v>46003.93483931713</x:v>
      </x:c>
    </x:row>
    <x:row r="814">
      <x:c r="A814" t="str">
        <x:v>esconder (algo)</x:v>
      </x:c>
      <x:c r="B814" t="str">
        <x:v>pãtea</x:v>
      </x:c>
      <x:c r="C814" t="str">
        <x:v>e</x:v>
      </x:c>
      <x:c r="D814" t="str">
        <x:v>g21cecf96-a676-4cca-93f0-960c148f447b</x:v>
      </x:c>
      <x:c r="E814" t="str">
        <x:v>gf8d92dc0-39f8-443d-9a19-eb7a29c4db80</x:v>
      </x:c>
      <x:c r="F814" t="str">
        <x:v>https://www.webonary.org/marubo/gf8d92dc0-39f8-443d-9a19-eb7a29c4db80/</x:v>
      </x:c>
      <x:c r="G814" s="20" t="n">
        <x:v>46003.93483931713</x:v>
      </x:c>
    </x:row>
    <x:row r="815">
      <x:c r="A815" t="str">
        <x:v>escorpião</x:v>
      </x:c>
      <x:c r="B815" t="str">
        <x:v>nivo</x:v>
      </x:c>
      <x:c r="C815" t="str">
        <x:v>e</x:v>
      </x:c>
      <x:c r="D815" t="str">
        <x:v>gb5341f59-2dbc-4c97-b0a8-1469ba272b0e</x:v>
      </x:c>
      <x:c r="E815" t="str">
        <x:v>g6f28acf5-cf67-4655-a381-701c5c505695</x:v>
      </x:c>
      <x:c r="F815" t="str">
        <x:v>https://www.webonary.org/marubo/g6f28acf5-cf67-4655-a381-701c5c505695/</x:v>
      </x:c>
      <x:c r="G815" s="20" t="n">
        <x:v>46003.93483931713</x:v>
      </x:c>
    </x:row>
    <x:row r="816">
      <x:c r="A816" t="str">
        <x:v>escorregar</x:v>
      </x:c>
      <x:c r="B816" t="str">
        <x:v>tayá</x:v>
      </x:c>
      <x:c r="C816" t="str">
        <x:v>e</x:v>
      </x:c>
      <x:c r="D816" t="str">
        <x:v>g5e679f4b-5cf5-4c25-910e-8be24c503b45</x:v>
      </x:c>
      <x:c r="E816" t="str">
        <x:v>g3efa097b-7776-4467-b21b-a0ea68ccacbc</x:v>
      </x:c>
      <x:c r="F816" t="str">
        <x:v>https://www.webonary.org/marubo/g3efa097b-7776-4467-b21b-a0ea68ccacbc/</x:v>
      </x:c>
      <x:c r="G816" s="20" t="n">
        <x:v>46003.93483931713</x:v>
      </x:c>
    </x:row>
    <x:row r="817">
      <x:c r="A817" t="str">
        <x:v>escorregar</x:v>
      </x:c>
      <x:c r="B817" t="str">
        <x:v>txichkéa</x:v>
      </x:c>
      <x:c r="C817" t="str">
        <x:v>e</x:v>
      </x:c>
      <x:c r="D817" t="str">
        <x:v>g5e679f4b-5cf5-4c25-910e-8be24c503b45</x:v>
      </x:c>
      <x:c r="E817" t="str">
        <x:v>gd68a77e2-081b-4cce-b764-11904d21c187</x:v>
      </x:c>
      <x:c r="F817" t="str">
        <x:v>https://www.webonary.org/marubo/gd68a77e2-081b-4cce-b764-11904d21c187/</x:v>
      </x:c>
      <x:c r="G817" s="20" t="n">
        <x:v>46003.93483931713</x:v>
      </x:c>
    </x:row>
    <x:row r="818">
      <x:c r="A818" t="str">
        <x:v>escorregar na traseira</x:v>
      </x:c>
      <x:c r="B818" t="str">
        <x:v>choi ikí</x:v>
      </x:c>
      <x:c r="C818" t="str">
        <x:v>e</x:v>
      </x:c>
      <x:c r="D818" t="str">
        <x:v>g98398336-8b62-47c6-bff8-85803f2c5c76</x:v>
      </x:c>
      <x:c r="E818" t="str">
        <x:v>g82b7f64e-1d6f-42df-b245-8c1e6fb07c9a</x:v>
      </x:c>
      <x:c r="F818" t="str">
        <x:v>https://www.webonary.org/marubo/g82b7f64e-1d6f-42df-b245-8c1e6fb07c9a/</x:v>
      </x:c>
      <x:c r="G818" s="20" t="n">
        <x:v>46003.93483931713</x:v>
      </x:c>
    </x:row>
    <x:row r="819">
      <x:c r="A819" t="str">
        <x:v>escorregar no peito no chão</x:v>
      </x:c>
      <x:c r="B819" t="str">
        <x:v>noyõ ikí</x:v>
      </x:c>
      <x:c r="C819" t="str">
        <x:v>e</x:v>
      </x:c>
      <x:c r="D819" t="str">
        <x:v>g320ef368-3930-4801-b9b6-5474fa3b7d14</x:v>
      </x:c>
      <x:c r="E819" t="str">
        <x:v>g20f46e01-12c7-4eab-b8c5-05c4199e45da</x:v>
      </x:c>
      <x:c r="F819" t="str">
        <x:v>https://www.webonary.org/marubo/g20f46e01-12c7-4eab-b8c5-05c4199e45da/</x:v>
      </x:c>
      <x:c r="G819" s="20" t="n">
        <x:v>46003.93483931713</x:v>
      </x:c>
    </x:row>
    <x:row r="820">
      <x:c r="A820" t="str">
        <x:v>escova</x:v>
      </x:c>
      <x:c r="B820" t="str">
        <x:v>õpo nisati</x:v>
      </x:c>
      <x:c r="C820" t="str">
        <x:v>e</x:v>
      </x:c>
      <x:c r="D820" t="str">
        <x:v>g87d6da6f-842a-4bee-9bfb-cf7c3bdf4022</x:v>
      </x:c>
      <x:c r="E820" t="str">
        <x:v>g3f22d2de-f540-4d1e-b125-b7aad22de38e</x:v>
      </x:c>
      <x:c r="F820" t="str">
        <x:v>https://www.webonary.org/marubo/g3f22d2de-f540-4d1e-b125-b7aad22de38e/</x:v>
      </x:c>
      <x:c r="G820" s="20" t="n">
        <x:v>46003.93483931713</x:v>
      </x:c>
    </x:row>
    <x:row r="821">
      <x:c r="A821" t="str">
        <x:v>escova de dente</x:v>
      </x:c>
      <x:c r="B821" t="str">
        <x:v>pachta tasho</x:v>
      </x:c>
      <x:c r="C821" t="str">
        <x:v>e</x:v>
      </x:c>
      <x:c r="D821" t="str">
        <x:v>g2d89cbd7-8a0e-499a-8fa1-72196db80d12</x:v>
      </x:c>
      <x:c r="E821" t="str">
        <x:v>g06035952-351c-41e1-a6f3-177e1d2a24b8</x:v>
      </x:c>
      <x:c r="F821" t="str">
        <x:v>https://www.webonary.org/marubo/g06035952-351c-41e1-a6f3-177e1d2a24b8/</x:v>
      </x:c>
      <x:c r="G821" s="20" t="n">
        <x:v>46003.93483931713</x:v>
      </x:c>
    </x:row>
    <x:row r="822">
      <x:c r="A822" t="str">
        <x:v>escudo</x:v>
      </x:c>
      <x:c r="B822" t="str">
        <x:v>vitxi</x:v>
      </x:c>
      <x:c r="C822" t="str">
        <x:v>e</x:v>
      </x:c>
      <x:c r="D822" t="str">
        <x:v>gaaec4b6e-cca4-451b-ba22-5371b3f75cfb</x:v>
      </x:c>
      <x:c r="E822" t="str">
        <x:v>g98f7db7f-b7cb-4c79-9372-ae716cc38f1a</x:v>
      </x:c>
      <x:c r="F822" t="str">
        <x:v>https://www.webonary.org/marubo/g98f7db7f-b7cb-4c79-9372-ae716cc38f1a/</x:v>
      </x:c>
      <x:c r="G822" s="20" t="n">
        <x:v>46003.93483931713</x:v>
      </x:c>
    </x:row>
    <x:row r="823">
      <x:c r="A823" t="str">
        <x:v>escurecer</x:v>
      </x:c>
      <x:c r="B823" t="str">
        <x:v>yãta</x:v>
      </x:c>
      <x:c r="C823" t="str">
        <x:v>e</x:v>
      </x:c>
      <x:c r="D823" t="str">
        <x:v>g01c5ed88-7573-4ba3-913f-138c2be3aba6</x:v>
      </x:c>
      <x:c r="E823" t="str">
        <x:v>gfe91ed03-fdba-4322-9e49-825c3a9bf76c</x:v>
      </x:c>
      <x:c r="F823" t="str">
        <x:v>https://www.webonary.org/marubo/gfe91ed03-fdba-4322-9e49-825c3a9bf76c/</x:v>
      </x:c>
      <x:c r="G823" s="20" t="n">
        <x:v>46003.93483931713</x:v>
      </x:c>
    </x:row>
    <x:row r="824">
      <x:c r="A824" t="str">
        <x:v>escuridão</x:v>
      </x:c>
      <x:c r="B824" t="str">
        <x:v>vakíchi</x:v>
      </x:c>
      <x:c r="C824" t="str">
        <x:v>e</x:v>
      </x:c>
      <x:c r="D824" t="str">
        <x:v>gd7dea954-aaa5-4a5e-b0d7-211ed75a8d7e</x:v>
      </x:c>
      <x:c r="E824" t="str">
        <x:v>g9ab2b190-856e-4cf2-9a36-a3832c1791b8</x:v>
      </x:c>
      <x:c r="F824" t="str">
        <x:v>https://www.webonary.org/marubo/g9ab2b190-856e-4cf2-9a36-a3832c1791b8/</x:v>
      </x:c>
      <x:c r="G824" s="20" t="n">
        <x:v>46003.93483931713</x:v>
      </x:c>
    </x:row>
    <x:row r="825">
      <x:c r="A825" t="str">
        <x:v>escutar</x:v>
      </x:c>
      <x:c r="B825" t="str">
        <x:v>nĩkã</x:v>
      </x:c>
      <x:c r="C825" t="str">
        <x:v>e</x:v>
      </x:c>
      <x:c r="D825" t="str">
        <x:v>gf8cede83-acff-4b79-a226-a9f603f79283</x:v>
      </x:c>
      <x:c r="E825" t="str">
        <x:v>g0719b51b-b5e7-4ee0-80a7-dac132b9d790</x:v>
      </x:c>
      <x:c r="F825" t="str">
        <x:v>https://www.webonary.org/marubo/g0719b51b-b5e7-4ee0-80a7-dac132b9d790/</x:v>
      </x:c>
      <x:c r="G825" s="20" t="n">
        <x:v>46003.93483931713</x:v>
      </x:c>
    </x:row>
    <x:row r="826">
      <x:c r="A826" t="str">
        <x:v>esférico</x:v>
      </x:c>
      <x:c r="B826" t="str">
        <x:v>chomoka</x:v>
      </x:c>
      <x:c r="C826" t="str">
        <x:v>e</x:v>
      </x:c>
      <x:c r="D826" t="str">
        <x:v>g43227ded-fe42-4cd4-98d5-2385190f3b7c</x:v>
      </x:c>
      <x:c r="E826" t="str">
        <x:v>g86af676a-e7bc-4210-ab4c-845480f677df</x:v>
      </x:c>
      <x:c r="F826" t="str">
        <x:v>https://www.webonary.org/marubo/g86af676a-e7bc-4210-ab4c-845480f677df/</x:v>
      </x:c>
      <x:c r="G826" s="20" t="n">
        <x:v>46003.934846724536</x:v>
      </x:c>
    </x:row>
    <x:row r="827">
      <x:c r="A827" t="str">
        <x:v>esfregar</x:v>
      </x:c>
      <x:c r="B827" t="str">
        <x:v>chokĩa</x:v>
      </x:c>
      <x:c r="C827" t="str">
        <x:v>e</x:v>
      </x:c>
      <x:c r="D827" t="str">
        <x:v>gdaf04811-ea6e-4eb0-8a12-97334cc054ec</x:v>
      </x:c>
      <x:c r="E827" t="str">
        <x:v>g8cf522b9-27ce-4d29-bc07-95686778c7c4</x:v>
      </x:c>
      <x:c r="F827" t="str">
        <x:v>https://www.webonary.org/marubo/g8cf522b9-27ce-4d29-bc07-95686778c7c4/</x:v>
      </x:c>
      <x:c r="G827" s="20" t="n">
        <x:v>46003.934846724536</x:v>
      </x:c>
    </x:row>
    <x:row r="828">
      <x:c r="A828" t="str">
        <x:v>esfregar</x:v>
      </x:c>
      <x:c r="B828" t="str">
        <x:v>pacha</x:v>
      </x:c>
      <x:c r="C828" t="str">
        <x:v>e</x:v>
      </x:c>
      <x:c r="D828" t="str">
        <x:v>gdaf04811-ea6e-4eb0-8a12-97334cc054ec</x:v>
      </x:c>
      <x:c r="E828" t="str">
        <x:v>g9e557229-ef66-4854-908f-00f4c3aa1c00</x:v>
      </x:c>
      <x:c r="F828" t="str">
        <x:v>https://www.webonary.org/marubo/g9e557229-ef66-4854-908f-00f4c3aa1c00/</x:v>
      </x:c>
      <x:c r="G828" s="20" t="n">
        <x:v>46003.934846724536</x:v>
      </x:c>
    </x:row>
    <x:row r="829">
      <x:c r="A829" t="str">
        <x:v>esfregar</x:v>
      </x:c>
      <x:c r="B829" t="str">
        <x:v>1</x:v>
      </x:c>
      <x:c r="C829" t="str">
        <x:v>e</x:v>
      </x:c>
      <x:c r="D829" t="str">
        <x:v>gdaf04811-ea6e-4eb0-8a12-97334cc054ec</x:v>
      </x:c>
      <x:c r="E829" t="str">
        <x:v>g9e557229-ef66-4854-908f-00f4c3aa1c00</x:v>
      </x:c>
      <x:c r="F829" t="str">
        <x:v>https://www.webonary.org/marubo/g9e557229-ef66-4854-908f-00f4c3aa1c00/</x:v>
      </x:c>
      <x:c r="G829" s="20" t="n">
        <x:v>46003.934846724536</x:v>
      </x:c>
    </x:row>
    <x:row r="830">
      <x:c r="A830" t="str">
        <x:v>esfregar as costas em algo</x:v>
      </x:c>
      <x:c r="B830" t="str">
        <x:v>peshkía</x:v>
      </x:c>
      <x:c r="C830" t="str">
        <x:v>e</x:v>
      </x:c>
      <x:c r="D830" t="str">
        <x:v>g0dbc72b9-31c9-4348-b210-e37e2753c33f</x:v>
      </x:c>
      <x:c r="E830" t="str">
        <x:v>g7ed48f6a-a95a-4de3-987f-db31bcd29cde</x:v>
      </x:c>
      <x:c r="F830" t="str">
        <x:v>https://www.webonary.org/marubo/g7ed48f6a-a95a-4de3-987f-db31bcd29cde/</x:v>
      </x:c>
      <x:c r="G830" s="20" t="n">
        <x:v>46003.934846724536</x:v>
      </x:c>
    </x:row>
    <x:row r="831">
      <x:c r="A831" t="str">
        <x:v>esfregar pé</x:v>
      </x:c>
      <x:c r="B831" t="str">
        <x:v>taskia</x:v>
      </x:c>
      <x:c r="C831" t="str">
        <x:v>e</x:v>
      </x:c>
      <x:c r="D831" t="str">
        <x:v>g1b5a104b-4218-46d3-b2fd-6c13a78821f7</x:v>
      </x:c>
      <x:c r="E831" t="str">
        <x:v>gdabd340b-be02-495e-b72f-d8be5ffcd81b</x:v>
      </x:c>
      <x:c r="F831" t="str">
        <x:v>https://www.webonary.org/marubo/gdabd340b-be02-495e-b72f-d8be5ffcd81b/</x:v>
      </x:c>
      <x:c r="G831" s="20" t="n">
        <x:v>46003.934846724536</x:v>
      </x:c>
    </x:row>
    <x:row r="832">
      <x:c r="A832" t="str">
        <x:v>esmalte (p unha)</x:v>
      </x:c>
      <x:c r="B832" t="str">
        <x:v>mẽtsísi õchĩti</x:v>
      </x:c>
      <x:c r="C832" t="str">
        <x:v>e</x:v>
      </x:c>
      <x:c r="D832" t="str">
        <x:v>g9e977801-8f8e-4958-8b49-5fa6b9242e19</x:v>
      </x:c>
      <x:c r="E832" t="str">
        <x:v>geca552ee-2c03-43d6-a6ef-afab56d54276</x:v>
      </x:c>
      <x:c r="F832" t="str">
        <x:v>https://www.webonary.org/marubo/geca552ee-2c03-43d6-a6ef-afab56d54276/</x:v>
      </x:c>
      <x:c r="G832" s="20" t="n">
        <x:v>46003.934846724536</x:v>
      </x:c>
    </x:row>
    <x:row r="833">
      <x:c r="A833" t="str">
        <x:v>espaço entre</x:v>
      </x:c>
      <x:c r="B833" t="str">
        <x:v>kena shẽsha</x:v>
      </x:c>
      <x:c r="C833" t="str">
        <x:v>e</x:v>
      </x:c>
      <x:c r="D833" t="str">
        <x:v>g070af314-170d-4e20-a604-09fbce27baf4</x:v>
      </x:c>
      <x:c r="E833" t="str">
        <x:v>g3d08a9c2-e6c7-4693-81db-5a60228f7c4c</x:v>
      </x:c>
      <x:c r="F833" t="str">
        <x:v>https://www.webonary.org/marubo/g3d08a9c2-e6c7-4693-81db-5a60228f7c4c/</x:v>
      </x:c>
      <x:c r="G833" s="20" t="n">
        <x:v>46003.934846724536</x:v>
      </x:c>
    </x:row>
    <x:row r="834">
      <x:c r="A834" t="str">
        <x:v>espaço no crânio de bebê não formado</x:v>
      </x:c>
      <x:c r="B834" t="str">
        <x:v>mãwã́</x:v>
      </x:c>
      <x:c r="C834" t="str">
        <x:v>e</x:v>
      </x:c>
      <x:c r="D834" t="str">
        <x:v>g80796d77-4c7a-4f88-a930-a7c97fd23641</x:v>
      </x:c>
      <x:c r="E834" t="str">
        <x:v>g03ab2d5a-35ed-4ac5-998d-e6cf46c45a1a</x:v>
      </x:c>
      <x:c r="F834" t="str">
        <x:v>https://www.webonary.org/marubo/g03ab2d5a-35ed-4ac5-998d-e6cf46c45a1a/</x:v>
      </x:c>
      <x:c r="G834" s="20" t="n">
        <x:v>46003.934846724536</x:v>
      </x:c>
    </x:row>
    <x:row r="835">
      <x:c r="A835" t="str">
        <x:v>espalhado</x:v>
      </x:c>
      <x:c r="B835" t="str">
        <x:v>mĩtxia</x:v>
      </x:c>
      <x:c r="C835" t="str">
        <x:v>e</x:v>
      </x:c>
      <x:c r="D835" t="str">
        <x:v>g7a9e4146-8b66-4e89-8a6e-d11041c16ebe</x:v>
      </x:c>
      <x:c r="E835" t="str">
        <x:v>gcf259e5d-f386-4d5f-bc72-444534d5f0c4</x:v>
      </x:c>
      <x:c r="F835" t="str">
        <x:v>https://www.webonary.org/marubo/gcf259e5d-f386-4d5f-bc72-444534d5f0c4/</x:v>
      </x:c>
      <x:c r="G835" s="20" t="n">
        <x:v>46003.934846724536</x:v>
      </x:c>
    </x:row>
    <x:row r="836">
      <x:c r="A836" t="str">
        <x:v>espalhar</x:v>
      </x:c>
      <x:c r="B836" t="str">
        <x:v>toá</x:v>
      </x:c>
      <x:c r="C836" t="str">
        <x:v>e</x:v>
      </x:c>
      <x:c r="D836" t="str">
        <x:v>ge7b233f9-ba6b-4c47-a0a0-68a46cef10de</x:v>
      </x:c>
      <x:c r="E836" t="str">
        <x:v>g8523b7c3-be57-4770-9a30-5a7d45892361</x:v>
      </x:c>
      <x:c r="F836" t="str">
        <x:v>https://www.webonary.org/marubo/g8523b7c3-be57-4770-9a30-5a7d45892361/</x:v>
      </x:c>
      <x:c r="G836" s="20" t="n">
        <x:v>46003.934846724536</x:v>
      </x:c>
    </x:row>
    <x:row r="837">
      <x:c r="A837" t="str">
        <x:v>espalhar</x:v>
      </x:c>
      <x:c r="B837" t="str">
        <x:v>2</x:v>
      </x:c>
      <x:c r="C837" t="str">
        <x:v>e</x:v>
      </x:c>
      <x:c r="D837" t="str">
        <x:v>ge7b233f9-ba6b-4c47-a0a0-68a46cef10de</x:v>
      </x:c>
      <x:c r="E837" t="str">
        <x:v>g8523b7c3-be57-4770-9a30-5a7d45892361</x:v>
      </x:c>
      <x:c r="F837" t="str">
        <x:v>https://www.webonary.org/marubo/g8523b7c3-be57-4770-9a30-5a7d45892361/</x:v>
      </x:c>
      <x:c r="G837" s="20" t="n">
        <x:v>46003.934846724536</x:v>
      </x:c>
    </x:row>
    <x:row r="838">
      <x:c r="A838" t="str">
        <x:v>espantar</x:v>
      </x:c>
      <x:c r="B838" t="str">
        <x:v>ichã aká</x:v>
      </x:c>
      <x:c r="C838" t="str">
        <x:v>e</x:v>
      </x:c>
      <x:c r="D838" t="str">
        <x:v>gd4c96d36-c2d9-42de-b941-903b35c7cbf4</x:v>
      </x:c>
      <x:c r="E838" t="str">
        <x:v>ga80f29ff-981b-40ac-8bcd-b2d4099f447e</x:v>
      </x:c>
      <x:c r="F838" t="str">
        <x:v>https://www.webonary.org/marubo/ga80f29ff-981b-40ac-8bcd-b2d4099f447e/</x:v>
      </x:c>
      <x:c r="G838" s="20" t="n">
        <x:v>46003.934846724536</x:v>
      </x:c>
    </x:row>
    <x:row r="839">
      <x:c r="A839" t="str">
        <x:v>espécie de babaçu</x:v>
      </x:c>
      <x:c r="B839" t="str">
        <x:v>txikó</x:v>
      </x:c>
      <x:c r="C839" t="str">
        <x:v>e</x:v>
      </x:c>
      <x:c r="D839" t="str">
        <x:v>g3c59b606-ae8b-4695-95f9-a6b25c53ef17</x:v>
      </x:c>
      <x:c r="E839" t="str">
        <x:v>g3dfc1dac-0d11-4cee-94d9-9a334e3f3e7c</x:v>
      </x:c>
      <x:c r="F839" t="str">
        <x:v>https://www.webonary.org/marubo/g3dfc1dac-0d11-4cee-94d9-9a334e3f3e7c/</x:v>
      </x:c>
      <x:c r="G839" s="20" t="n">
        <x:v>46003.934846724536</x:v>
      </x:c>
    </x:row>
    <x:row r="840">
      <x:c r="A840" t="str">
        <x:v>espécie de concha pequena</x:v>
      </x:c>
      <x:c r="B840" t="str">
        <x:v>txavóshe</x:v>
      </x:c>
      <x:c r="C840" t="str">
        <x:v>e</x:v>
      </x:c>
      <x:c r="D840" t="str">
        <x:v>gdb3a5a69-c214-41dc-98f8-5868d1bd0883</x:v>
      </x:c>
      <x:c r="E840" t="str">
        <x:v>ge1f2bb49-b29c-4e3f-9bcc-4f3a488ee5ab</x:v>
      </x:c>
      <x:c r="F840" t="str">
        <x:v>https://www.webonary.org/marubo/ge1f2bb49-b29c-4e3f-9bcc-4f3a488ee5ab/</x:v>
      </x:c>
      <x:c r="G840" s="20" t="n">
        <x:v>46003.934846724536</x:v>
      </x:c>
    </x:row>
    <x:row r="841">
      <x:c r="A841" t="str">
        <x:v>espécie de cutia pequena</x:v>
      </x:c>
      <x:c r="B841" t="str">
        <x:v>tsãká</x:v>
      </x:c>
      <x:c r="C841" t="str">
        <x:v>e</x:v>
      </x:c>
      <x:c r="D841" t="str">
        <x:v>g15b71004-87f1-4cb0-998f-bca8acad2c95</x:v>
      </x:c>
      <x:c r="E841" t="str">
        <x:v>g6527595b-909c-4d5a-93de-692070dae0eb</x:v>
      </x:c>
      <x:c r="F841" t="str">
        <x:v>https://www.webonary.org/marubo/g6527595b-909c-4d5a-93de-692070dae0eb/</x:v>
      </x:c>
      <x:c r="G841" s="20" t="n">
        <x:v>46003.934846724536</x:v>
      </x:c>
    </x:row>
    <x:row r="842">
      <x:c r="A842" t="str">
        <x:v>espécie de cutia pequena</x:v>
      </x:c>
      <x:c r="B842" t="str">
        <x:v>1</x:v>
      </x:c>
      <x:c r="C842" t="str">
        <x:v>e</x:v>
      </x:c>
      <x:c r="D842" t="str">
        <x:v>g15b71004-87f1-4cb0-998f-bca8acad2c95</x:v>
      </x:c>
      <x:c r="E842" t="str">
        <x:v>g6527595b-909c-4d5a-93de-692070dae0eb</x:v>
      </x:c>
      <x:c r="F842" t="str">
        <x:v>https://www.webonary.org/marubo/g6527595b-909c-4d5a-93de-692070dae0eb/</x:v>
      </x:c>
      <x:c r="G842" s="20" t="n">
        <x:v>46003.934846724536</x:v>
      </x:c>
    </x:row>
    <x:row r="843">
      <x:c r="A843" t="str">
        <x:v>espécie de gavião</x:v>
      </x:c>
      <x:c r="B843" t="str">
        <x:v>vari teté</x:v>
      </x:c>
      <x:c r="C843" t="str">
        <x:v>e</x:v>
      </x:c>
      <x:c r="D843" t="str">
        <x:v>g04ec443c-0cf0-4d67-ad46-cec5666297da</x:v>
      </x:c>
      <x:c r="E843" t="str">
        <x:v>g43cc5c55-13db-4c69-a855-7050e7c294ea</x:v>
      </x:c>
      <x:c r="F843" t="str">
        <x:v>https://www.webonary.org/marubo/g43cc5c55-13db-4c69-a855-7050e7c294ea/</x:v>
      </x:c>
      <x:c r="G843" s="20" t="n">
        <x:v>46003.934846724536</x:v>
      </x:c>
    </x:row>
    <x:row r="844">
      <x:c r="A844" t="str">
        <x:v>espécie de mandioca</x:v>
      </x:c>
      <x:c r="B844" t="str">
        <x:v>vari nato</x:v>
      </x:c>
      <x:c r="C844" t="str">
        <x:v>e</x:v>
      </x:c>
      <x:c r="D844" t="str">
        <x:v>g7e31caeb-f961-47be-97eb-8522e685a1be</x:v>
      </x:c>
      <x:c r="E844" t="str">
        <x:v>g726f77a1-0360-4c50-8b42-08073a5e3f5f</x:v>
      </x:c>
      <x:c r="F844" t="str">
        <x:v>https://www.webonary.org/marubo/g726f77a1-0360-4c50-8b42-08073a5e3f5f/</x:v>
      </x:c>
      <x:c r="G844" s="20" t="n">
        <x:v>46003.934846724536</x:v>
      </x:c>
    </x:row>
    <x:row r="845">
      <x:c r="A845" t="str">
        <x:v>espécie de passaro</x:v>
      </x:c>
      <x:c r="B845" t="str">
        <x:v>pina</x:v>
      </x:c>
      <x:c r="C845" t="str">
        <x:v>e</x:v>
      </x:c>
      <x:c r="D845" t="str">
        <x:v>gaef3aca8-a5b7-4386-be46-b76e4fb5cb68</x:v>
      </x:c>
      <x:c r="E845" t="str">
        <x:v>gab2c9db6-4383-4f46-bb62-9ce0fe5c1e3a</x:v>
      </x:c>
      <x:c r="F845" t="str">
        <x:v>https://www.webonary.org/marubo/gab2c9db6-4383-4f46-bb62-9ce0fe5c1e3a/</x:v>
      </x:c>
      <x:c r="G845" s="20" t="n">
        <x:v>46003.934846724536</x:v>
      </x:c>
    </x:row>
    <x:row r="846">
      <x:c r="A846" t="str">
        <x:v>espécie de pássaro da noite</x:v>
      </x:c>
      <x:c r="B846" t="str">
        <x:v>veno</x:v>
      </x:c>
      <x:c r="C846" t="str">
        <x:v>e</x:v>
      </x:c>
      <x:c r="D846" t="str">
        <x:v>g11656373-47ba-4217-802b-2c1b40fa06e6</x:v>
      </x:c>
      <x:c r="E846" t="str">
        <x:v>g10486f7f-2fb4-47af-8e5f-db8af3b5b2ec</x:v>
      </x:c>
      <x:c r="F846" t="str">
        <x:v>https://www.webonary.org/marubo/g10486f7f-2fb4-47af-8e5f-db8af3b5b2ec/</x:v>
      </x:c>
      <x:c r="G846" s="20" t="n">
        <x:v>46003.934846724536</x:v>
      </x:c>
    </x:row>
    <x:row r="847">
      <x:c r="A847" t="str">
        <x:v>espécie de pássaro que tem tabu para não mexer</x:v>
      </x:c>
      <x:c r="B847" t="str">
        <x:v>vaĩ shawã</x:v>
      </x:c>
      <x:c r="C847" t="str">
        <x:v>e</x:v>
      </x:c>
      <x:c r="D847" t="str">
        <x:v>g52c1da2a-9ae1-41a2-8b48-b9dbc02df951</x:v>
      </x:c>
      <x:c r="E847" t="str">
        <x:v>ga5bcb595-a9c8-456e-a390-607760bc35a9</x:v>
      </x:c>
      <x:c r="F847" t="str">
        <x:v>https://www.webonary.org/marubo/ga5bcb595-a9c8-456e-a390-607760bc35a9/</x:v>
      </x:c>
      <x:c r="G847" s="20" t="n">
        <x:v>46003.934846724536</x:v>
      </x:c>
    </x:row>
    <x:row r="848">
      <x:c r="A848" t="str">
        <x:v>espécie de peixe</x:v>
      </x:c>
      <x:c r="B848" t="str">
        <x:v>vokõ tonõ</x:v>
      </x:c>
      <x:c r="C848" t="str">
        <x:v>e</x:v>
      </x:c>
      <x:c r="D848" t="str">
        <x:v>g87ccb8c8-7671-4a1e-afad-ef5c81365ab5</x:v>
      </x:c>
      <x:c r="E848" t="str">
        <x:v>g3f7971de-91e9-452e-a8cf-0374be524c9d</x:v>
      </x:c>
      <x:c r="F848" t="str">
        <x:v>https://www.webonary.org/marubo/g3f7971de-91e9-452e-a8cf-0374be524c9d/</x:v>
      </x:c>
      <x:c r="G848" s="20" t="n">
        <x:v>46003.934846724536</x:v>
      </x:c>
    </x:row>
    <x:row r="849">
      <x:c r="A849" t="str">
        <x:v>espécie de peixe</x:v>
      </x:c>
      <x:c r="B849" t="str">
        <x:v>vasho</x:v>
      </x:c>
      <x:c r="C849" t="str">
        <x:v>e</x:v>
      </x:c>
      <x:c r="D849" t="str">
        <x:v>g87ccb8c8-7671-4a1e-afad-ef5c81365ab5</x:v>
      </x:c>
      <x:c r="E849" t="str">
        <x:v>g22dca768-44ef-4daa-98dc-4773ff919377</x:v>
      </x:c>
      <x:c r="F849" t="str">
        <x:v>https://www.webonary.org/marubo/g22dca768-44ef-4daa-98dc-4773ff919377/</x:v>
      </x:c>
      <x:c r="G849" s="20" t="n">
        <x:v>46003.934846724536</x:v>
      </x:c>
    </x:row>
    <x:row r="850">
      <x:c r="A850" t="str">
        <x:v>espécie de peixe no igarapé</x:v>
      </x:c>
      <x:c r="B850" t="str">
        <x:v>verochi</x:v>
      </x:c>
      <x:c r="C850" t="str">
        <x:v>e</x:v>
      </x:c>
      <x:c r="D850" t="str">
        <x:v>g72059716-8a84-4c56-bd3f-983d3271ec3e</x:v>
      </x:c>
      <x:c r="E850" t="str">
        <x:v>gd49b9116-5f89-4cc8-8477-56a085809f66</x:v>
      </x:c>
      <x:c r="F850" t="str">
        <x:v>https://www.webonary.org/marubo/gd49b9116-5f89-4cc8-8477-56a085809f66/</x:v>
      </x:c>
      <x:c r="G850" s="20" t="n">
        <x:v>46003.934846724536</x:v>
      </x:c>
    </x:row>
    <x:row r="851">
      <x:c r="A851" t="str">
        <x:v>espécie de periquito</x:v>
      </x:c>
      <x:c r="B851" t="str">
        <x:v>pitso</x:v>
      </x:c>
      <x:c r="C851" t="str">
        <x:v>e</x:v>
      </x:c>
      <x:c r="D851" t="str">
        <x:v>g284fa75f-a5c3-436e-88d3-ea1bf1a65905</x:v>
      </x:c>
      <x:c r="E851" t="str">
        <x:v>g6f24d6fa-e826-4a0f-b465-3ea9cca2135b</x:v>
      </x:c>
      <x:c r="F851" t="str">
        <x:v>https://www.webonary.org/marubo/g6f24d6fa-e826-4a0f-b465-3ea9cca2135b/</x:v>
      </x:c>
      <x:c r="G851" s="20" t="n">
        <x:v>46003.934846724536</x:v>
      </x:c>
    </x:row>
    <x:row r="852">
      <x:c r="A852" t="str">
        <x:v>espécie de sapo</x:v>
      </x:c>
      <x:c r="B852" t="str">
        <x:v>veshna</x:v>
      </x:c>
      <x:c r="C852" t="str">
        <x:v>e</x:v>
      </x:c>
      <x:c r="D852" t="str">
        <x:v>g04780320-2265-4c70-937e-d4d8a83c0e8b</x:v>
      </x:c>
      <x:c r="E852" t="str">
        <x:v>g1058e6e2-93c1-4704-8dd7-f21bcd036969</x:v>
      </x:c>
      <x:c r="F852" t="str">
        <x:v>https://www.webonary.org/marubo/g1058e6e2-93c1-4704-8dd7-f21bcd036969/</x:v>
      </x:c>
      <x:c r="G852" s="20" t="n">
        <x:v>46003.934846724536</x:v>
      </x:c>
    </x:row>
    <x:row r="853">
      <x:c r="A853" t="str">
        <x:v>espécie de saúva comestível</x:v>
      </x:c>
      <x:c r="B853" t="str">
        <x:v>chichĩwã</x:v>
      </x:c>
      <x:c r="C853" t="str">
        <x:v>e</x:v>
      </x:c>
      <x:c r="D853" t="str">
        <x:v>g10396303-e513-45ff-b57b-661533b3714a</x:v>
      </x:c>
      <x:c r="E853" t="str">
        <x:v>gf2c501f7-7b67-4005-987d-2c6f2d6ca53b</x:v>
      </x:c>
      <x:c r="F853" t="str">
        <x:v>https://www.webonary.org/marubo/gf2c501f7-7b67-4005-987d-2c6f2d6ca53b/</x:v>
      </x:c>
      <x:c r="G853" s="20" t="n">
        <x:v>46003.934846724536</x:v>
      </x:c>
    </x:row>
    <x:row r="854">
      <x:c r="A854" t="str">
        <x:v>especie de tartaruga</x:v>
      </x:c>
      <x:c r="B854" t="str">
        <x:v>nesho</x:v>
      </x:c>
      <x:c r="C854" t="str">
        <x:v>e</x:v>
      </x:c>
      <x:c r="D854" t="str">
        <x:v>gacf56826-175f-4e0e-8712-64996a33a5f9</x:v>
      </x:c>
      <x:c r="E854" t="str">
        <x:v>gc299bd32-aeb8-40ad-890d-d093bbfad51f</x:v>
      </x:c>
      <x:c r="F854" t="str">
        <x:v>https://www.webonary.org/marubo/gc299bd32-aeb8-40ad-890d-d093bbfad51f/</x:v>
      </x:c>
      <x:c r="G854" s="20" t="n">
        <x:v>46003.934846724536</x:v>
      </x:c>
    </x:row>
    <x:row r="855">
      <x:c r="A855" t="str">
        <x:v>espectro</x:v>
      </x:c>
      <x:c r="B855" t="str">
        <x:v>yochĩ</x:v>
      </x:c>
      <x:c r="C855" t="str">
        <x:v>e</x:v>
      </x:c>
      <x:c r="D855" t="str">
        <x:v>g042dfa2e-0c72-450e-b79d-2109768bb15f</x:v>
      </x:c>
      <x:c r="E855" t="str">
        <x:v>g3084a2cd-2015-4ad4-955e-e2b91d1b2ba9</x:v>
      </x:c>
      <x:c r="F855" t="str">
        <x:v>https://www.webonary.org/marubo/g3084a2cd-2015-4ad4-955e-e2b91d1b2ba9/</x:v>
      </x:c>
      <x:c r="G855" s="20" t="n">
        <x:v>46003.934846724536</x:v>
      </x:c>
    </x:row>
    <x:row r="856">
      <x:c r="A856" t="str">
        <x:v>espelho</x:v>
      </x:c>
      <x:c r="B856" t="str">
        <x:v>veisti</x:v>
      </x:c>
      <x:c r="C856" t="str">
        <x:v>e</x:v>
      </x:c>
      <x:c r="D856" t="str">
        <x:v>gb483c782-ba49-4841-92b9-db79d623fb3a</x:v>
      </x:c>
      <x:c r="E856" t="str">
        <x:v>g47d979d6-1533-4f01-b45b-837b874e675e</x:v>
      </x:c>
      <x:c r="F856" t="str">
        <x:v>https://www.webonary.org/marubo/g47d979d6-1533-4f01-b45b-837b874e675e/</x:v>
      </x:c>
      <x:c r="G856" s="20" t="n">
        <x:v>46003.934846724536</x:v>
      </x:c>
    </x:row>
    <x:row r="857">
      <x:c r="A857" t="str">
        <x:v>espera para matar pessoas ou animais</x:v>
      </x:c>
      <x:c r="B857" t="str">
        <x:v>vepãti</x:v>
      </x:c>
      <x:c r="C857" t="str">
        <x:v>e</x:v>
      </x:c>
      <x:c r="D857" t="str">
        <x:v>g68cb974d-6769-475e-9908-8bdb3db152b1</x:v>
      </x:c>
      <x:c r="E857" t="str">
        <x:v>g37533b06-8de0-4822-8ea7-bad0753a4479</x:v>
      </x:c>
      <x:c r="F857" t="str">
        <x:v>https://www.webonary.org/marubo/g37533b06-8de0-4822-8ea7-bad0753a4479/</x:v>
      </x:c>
      <x:c r="G857" s="20" t="n">
        <x:v>46003.934846724536</x:v>
      </x:c>
    </x:row>
    <x:row r="858">
      <x:c r="A858" t="str">
        <x:v>esperando a caça</x:v>
      </x:c>
      <x:c r="B858" t="str">
        <x:v>mewe sotã</x:v>
      </x:c>
      <x:c r="C858" t="str">
        <x:v>e</x:v>
      </x:c>
      <x:c r="D858" t="str">
        <x:v>g0964dced-324c-41de-82c4-42b91fe3dda9</x:v>
      </x:c>
      <x:c r="E858" t="str">
        <x:v>g6ff5e2ee-93db-4866-b4e5-4ae717e6a4ea</x:v>
      </x:c>
      <x:c r="F858" t="str">
        <x:v>https://www.webonary.org/marubo/g6ff5e2ee-93db-4866-b4e5-4ae717e6a4ea/</x:v>
      </x:c>
      <x:c r="G858" s="20" t="n">
        <x:v>46003.934846724536</x:v>
      </x:c>
    </x:row>
    <x:row r="859">
      <x:c r="A859" t="str">
        <x:v>esperar</x:v>
      </x:c>
      <x:c r="B859" t="str">
        <x:v>vepãt aká</x:v>
      </x:c>
      <x:c r="C859" t="str">
        <x:v>e</x:v>
      </x:c>
      <x:c r="D859" t="str">
        <x:v>ge2a5d328-8eb6-4e96-bedc-bd3ba8e4c899</x:v>
      </x:c>
      <x:c r="E859" t="str">
        <x:v>g094104be-f3e2-4742-bc58-5968bf0611d2</x:v>
      </x:c>
      <x:c r="F859" t="str">
        <x:v>https://www.webonary.org/marubo/g094104be-f3e2-4742-bc58-5968bf0611d2/</x:v>
      </x:c>
      <x:c r="G859" s="20" t="n">
        <x:v>46003.934846724536</x:v>
      </x:c>
    </x:row>
    <x:row r="860">
      <x:c r="A860" t="str">
        <x:v>espiar</x:v>
      </x:c>
      <x:c r="B860" t="str">
        <x:v>vechpia</x:v>
      </x:c>
      <x:c r="C860" t="str">
        <x:v>e</x:v>
      </x:c>
      <x:c r="D860" t="str">
        <x:v>g46bcd94f-bc00-4102-a126-9e57433de8a8</x:v>
      </x:c>
      <x:c r="E860" t="str">
        <x:v>gb644d301-9a4d-44bb-ab28-196f7ee4c782</x:v>
      </x:c>
      <x:c r="F860" t="str">
        <x:v>https://www.webonary.org/marubo/gb644d301-9a4d-44bb-ab28-196f7ee4c782/</x:v>
      </x:c>
      <x:c r="G860" s="20" t="n">
        <x:v>46003.934846724536</x:v>
      </x:c>
    </x:row>
    <x:row r="861">
      <x:c r="A861" t="str">
        <x:v>espiar</x:v>
      </x:c>
      <x:c r="B861" t="str">
        <x:v>patakoa</x:v>
      </x:c>
      <x:c r="C861" t="str">
        <x:v>e</x:v>
      </x:c>
      <x:c r="D861" t="str">
        <x:v>g46bcd94f-bc00-4102-a126-9e57433de8a8</x:v>
      </x:c>
      <x:c r="E861" t="str">
        <x:v>gfb74a12d-b5bc-4a5a-89a1-649ba4403133</x:v>
      </x:c>
      <x:c r="F861" t="str">
        <x:v>https://www.webonary.org/marubo/gfb74a12d-b5bc-4a5a-89a1-649ba4403133/</x:v>
      </x:c>
      <x:c r="G861" s="20" t="n">
        <x:v>46003.934846724536</x:v>
      </x:c>
    </x:row>
    <x:row r="862">
      <x:c r="A862" t="str">
        <x:v>espiga de milho</x:v>
      </x:c>
      <x:c r="B862" t="str">
        <x:v>eshko</x:v>
      </x:c>
      <x:c r="C862" t="str">
        <x:v>e</x:v>
      </x:c>
      <x:c r="D862" t="str">
        <x:v>gc5554e21-b76e-4bf0-870f-52df4bb34037</x:v>
      </x:c>
      <x:c r="E862" t="str">
        <x:v>g051ab28b-99b7-41af-968a-4309baa25596</x:v>
      </x:c>
      <x:c r="F862" t="str">
        <x:v>https://www.webonary.org/marubo/g051ab28b-99b7-41af-968a-4309baa25596/</x:v>
      </x:c>
      <x:c r="G862" s="20" t="n">
        <x:v>46003.934846724536</x:v>
      </x:c>
    </x:row>
    <x:row r="863">
      <x:c r="A863" t="str">
        <x:v>espingarda</x:v>
      </x:c>
      <x:c r="B863" t="str">
        <x:v>tipi</x:v>
      </x:c>
      <x:c r="C863" t="str">
        <x:v>e</x:v>
      </x:c>
      <x:c r="D863" t="str">
        <x:v>g9b685463-b07b-4ca8-be7d-8cdd6a5e6928</x:v>
      </x:c>
      <x:c r="E863" t="str">
        <x:v>g3b5fa7a0-d98c-441d-8dbd-05a7fc3d0faa</x:v>
      </x:c>
      <x:c r="F863" t="str">
        <x:v>https://www.webonary.org/marubo/g3b5fa7a0-d98c-441d-8dbd-05a7fc3d0faa/</x:v>
      </x:c>
      <x:c r="G863" s="20" t="n">
        <x:v>46003.934846724536</x:v>
      </x:c>
    </x:row>
    <x:row r="864">
      <x:c r="A864" t="str">
        <x:v>espinho</x:v>
      </x:c>
      <x:c r="B864" t="str">
        <x:v>mosha</x:v>
      </x:c>
      <x:c r="C864" t="str">
        <x:v>e</x:v>
      </x:c>
      <x:c r="D864" t="str">
        <x:v>g8b2670d9-2349-49dd-8b8e-1c267a62cf8c</x:v>
      </x:c>
      <x:c r="E864" t="str">
        <x:v>g24392862-3f8f-44c7-8449-4686de8f8d2f</x:v>
      </x:c>
      <x:c r="F864" t="str">
        <x:v>https://www.webonary.org/marubo/g24392862-3f8f-44c7-8449-4686de8f8d2f/</x:v>
      </x:c>
      <x:c r="G864" s="20" t="n">
        <x:v>46003.934846724536</x:v>
      </x:c>
    </x:row>
    <x:row r="865">
      <x:c r="A865" t="str">
        <x:v>espinhoso</x:v>
      </x:c>
      <x:c r="B865" t="str">
        <x:v>txamaka</x:v>
      </x:c>
      <x:c r="C865" t="str">
        <x:v>e</x:v>
      </x:c>
      <x:c r="D865" t="str">
        <x:v>ga6f90d0e-208c-4755-92c3-f5de5863dc31</x:v>
      </x:c>
      <x:c r="E865" t="str">
        <x:v>ga15f52a0-5866-4018-961b-f2939c2f3c30</x:v>
      </x:c>
      <x:c r="F865" t="str">
        <x:v>https://www.webonary.org/marubo/ga15f52a0-5866-4018-961b-f2939c2f3c30/</x:v>
      </x:c>
      <x:c r="G865" s="20" t="n">
        <x:v>46003.934846724536</x:v>
      </x:c>
    </x:row>
    <x:row r="866">
      <x:c r="A866" t="str">
        <x:v>espirito</x:v>
      </x:c>
      <x:c r="B866" t="str">
        <x:v>vaká</x:v>
      </x:c>
      <x:c r="C866" t="str">
        <x:v>e</x:v>
      </x:c>
      <x:c r="D866" t="str">
        <x:v>g2c8420a0-8b1f-4eec-b444-dfa389aa0c75</x:v>
      </x:c>
      <x:c r="E866" t="str">
        <x:v>g3106b296-9f82-4e63-a850-feb3db3d6296</x:v>
      </x:c>
      <x:c r="F866" t="str">
        <x:v>https://www.webonary.org/marubo/g3106b296-9f82-4e63-a850-feb3db3d6296/</x:v>
      </x:c>
      <x:c r="G866" s="20" t="n">
        <x:v>46003.934846724536</x:v>
      </x:c>
    </x:row>
    <x:row r="867">
      <x:c r="A867" t="str">
        <x:v>espírito</x:v>
      </x:c>
      <x:c r="B867" t="str">
        <x:v>shãtákare</x:v>
      </x:c>
      <x:c r="C867" t="str">
        <x:v>e</x:v>
      </x:c>
      <x:c r="D867" t="str">
        <x:v>g61397ce9-57f5-4613-9f2e-f659f8c646b9</x:v>
      </x:c>
      <x:c r="E867" t="str">
        <x:v>gd92bbe76-f6a1-449f-b3e9-cf2f9bcf9de1</x:v>
      </x:c>
      <x:c r="F867" t="str">
        <x:v>https://www.webonary.org/marubo/gd92bbe76-f6a1-449f-b3e9-cf2f9bcf9de1/</x:v>
      </x:c>
      <x:c r="G867" s="20" t="n">
        <x:v>46003.934846724536</x:v>
      </x:c>
    </x:row>
    <x:row r="868">
      <x:c r="A868" t="str">
        <x:v>espírito</x:v>
      </x:c>
      <x:c r="B868" t="str">
        <x:v>yové</x:v>
      </x:c>
      <x:c r="C868" t="str">
        <x:v>e</x:v>
      </x:c>
      <x:c r="D868" t="str">
        <x:v>g61397ce9-57f5-4613-9f2e-f659f8c646b9</x:v>
      </x:c>
      <x:c r="E868" t="str">
        <x:v>gec7c1da4-5e18-40d1-93a8-f17986bace4b</x:v>
      </x:c>
      <x:c r="F868" t="str">
        <x:v>https://www.webonary.org/marubo/gec7c1da4-5e18-40d1-93a8-f17986bace4b/</x:v>
      </x:c>
      <x:c r="G868" s="20" t="n">
        <x:v>46003.934846724536</x:v>
      </x:c>
    </x:row>
    <x:row r="869">
      <x:c r="A869" t="str">
        <x:v>espirito incorporando uma pessoa</x:v>
      </x:c>
      <x:c r="B869" t="str">
        <x:v>peshóte aká</x:v>
      </x:c>
      <x:c r="C869" t="str">
        <x:v>e</x:v>
      </x:c>
      <x:c r="D869" t="str">
        <x:v>g29e7955c-dced-42dd-829a-eda8829a0a57</x:v>
      </x:c>
      <x:c r="E869" t="str">
        <x:v>g89ae8377-f70c-421a-954d-c2a08b256388</x:v>
      </x:c>
      <x:c r="F869" t="str">
        <x:v>https://www.webonary.org/marubo/g89ae8377-f70c-421a-954d-c2a08b256388/</x:v>
      </x:c>
      <x:c r="G869" s="20" t="n">
        <x:v>46003.934846724536</x:v>
      </x:c>
    </x:row>
    <x:row r="870">
      <x:c r="A870" t="str">
        <x:v>espirrar</x:v>
      </x:c>
      <x:c r="B870" t="str">
        <x:v>achtĩ ikí</x:v>
      </x:c>
      <x:c r="C870" t="str">
        <x:v>e</x:v>
      </x:c>
      <x:c r="D870" t="str">
        <x:v>g73821e1e-9500-4480-8c84-017147dec15b</x:v>
      </x:c>
      <x:c r="E870" t="str">
        <x:v>g9b301f5a-f60f-4dd9-b34e-cbaafc3cb47d</x:v>
      </x:c>
      <x:c r="F870" t="str">
        <x:v>https://www.webonary.org/marubo/g9b301f5a-f60f-4dd9-b34e-cbaafc3cb47d/</x:v>
      </x:c>
      <x:c r="G870" s="20" t="n">
        <x:v>46003.934846724536</x:v>
      </x:c>
    </x:row>
    <x:row r="871">
      <x:c r="A871" t="str">
        <x:v>espoleta</x:v>
      </x:c>
      <x:c r="B871" t="str">
        <x:v>paichti</x:v>
      </x:c>
      <x:c r="C871" t="str">
        <x:v>e</x:v>
      </x:c>
      <x:c r="D871" t="str">
        <x:v>g8fd3cecb-4544-4376-9caf-42e3bb7999fb</x:v>
      </x:c>
      <x:c r="E871" t="str">
        <x:v>gac1e367f-756e-4a21-b226-73ee2843733f</x:v>
      </x:c>
      <x:c r="F871" t="str">
        <x:v>https://www.webonary.org/marubo/gac1e367f-756e-4a21-b226-73ee2843733f/</x:v>
      </x:c>
      <x:c r="G871" s="20" t="n">
        <x:v>46003.934846724536</x:v>
      </x:c>
    </x:row>
    <x:row r="872">
      <x:c r="A872" t="str">
        <x:v>esposa</x:v>
      </x:c>
      <x:c r="B872" t="str">
        <x:v>aĩ</x:v>
      </x:c>
      <x:c r="C872" t="str">
        <x:v>e</x:v>
      </x:c>
      <x:c r="D872" t="str">
        <x:v>ge21c6f20-16a1-4ee9-a834-c8b068ec8a1c</x:v>
      </x:c>
      <x:c r="E872" t="str">
        <x:v>g66e3b3c4-db09-4c90-a8ed-ee33339d2e3c</x:v>
      </x:c>
      <x:c r="F872" t="str">
        <x:v>https://www.webonary.org/marubo/g66e3b3c4-db09-4c90-a8ed-ee33339d2e3c/</x:v>
      </x:c>
      <x:c r="G872" s="20" t="n">
        <x:v>46003.934846724536</x:v>
      </x:c>
    </x:row>
    <x:row r="873">
      <x:c r="A873" t="str">
        <x:v>esposa</x:v>
      </x:c>
      <x:c r="B873" t="str">
        <x:v>1</x:v>
      </x:c>
      <x:c r="C873" t="str">
        <x:v>e</x:v>
      </x:c>
      <x:c r="D873" t="str">
        <x:v>ge21c6f20-16a1-4ee9-a834-c8b068ec8a1c</x:v>
      </x:c>
      <x:c r="E873" t="str">
        <x:v>g66e3b3c4-db09-4c90-a8ed-ee33339d2e3c</x:v>
      </x:c>
      <x:c r="F873" t="str">
        <x:v>https://www.webonary.org/marubo/g66e3b3c4-db09-4c90-a8ed-ee33339d2e3c/</x:v>
      </x:c>
      <x:c r="G873" s="20" t="n">
        <x:v>46003.934846724536</x:v>
      </x:c>
    </x:row>
    <x:row r="874">
      <x:c r="A874" t="str">
        <x:v>espremer</x:v>
      </x:c>
      <x:c r="B874" t="str">
        <x:v>tsinĩa</x:v>
      </x:c>
      <x:c r="C874" t="str">
        <x:v>e</x:v>
      </x:c>
      <x:c r="D874" t="str">
        <x:v>ge0c0335e-a188-4def-adaf-d7c44602158b</x:v>
      </x:c>
      <x:c r="E874" t="str">
        <x:v>ga61c7879-06cc-479e-94ae-874127f33c6b</x:v>
      </x:c>
      <x:c r="F874" t="str">
        <x:v>https://www.webonary.org/marubo/ga61c7879-06cc-479e-94ae-874127f33c6b/</x:v>
      </x:c>
      <x:c r="G874" s="20" t="n">
        <x:v>46003.934846724536</x:v>
      </x:c>
    </x:row>
    <x:row r="875">
      <x:c r="A875" t="str">
        <x:v>espressão usado depois de brincar com alguem</x:v>
      </x:c>
      <x:c r="B875" t="str">
        <x:v>parã ikí</x:v>
      </x:c>
      <x:c r="C875" t="str">
        <x:v>e</x:v>
      </x:c>
      <x:c r="D875" t="str">
        <x:v>gac959198-4b96-451e-a1c1-91f725364765</x:v>
      </x:c>
      <x:c r="E875" t="str">
        <x:v>g5416254c-5934-4a84-87d4-a5a5daadd152</x:v>
      </x:c>
      <x:c r="F875" t="str">
        <x:v>https://www.webonary.org/marubo/g5416254c-5934-4a84-87d4-a5a5daadd152/</x:v>
      </x:c>
      <x:c r="G875" s="20" t="n">
        <x:v>46003.934846724536</x:v>
      </x:c>
    </x:row>
    <x:row r="876">
      <x:c r="A876" t="str">
        <x:v>espuma</x:v>
      </x:c>
      <x:c r="B876" t="str">
        <x:v>vakóshe</x:v>
      </x:c>
      <x:c r="C876" t="str">
        <x:v>e</x:v>
      </x:c>
      <x:c r="D876" t="str">
        <x:v>g9cbaf0f0-a4c1-4d84-a3d0-5fdb0392a44b</x:v>
      </x:c>
      <x:c r="E876" t="str">
        <x:v>gf7787529-94dd-4400-ab45-535ed26744d8</x:v>
      </x:c>
      <x:c r="F876" t="str">
        <x:v>https://www.webonary.org/marubo/gf7787529-94dd-4400-ab45-535ed26744d8/</x:v>
      </x:c>
      <x:c r="G876" s="20" t="n">
        <x:v>46003.934846724536</x:v>
      </x:c>
    </x:row>
    <x:row r="877">
      <x:c r="A877" t="str">
        <x:v>esquecer</x:v>
      </x:c>
      <x:c r="B877" t="str">
        <x:v>venoa</x:v>
      </x:c>
      <x:c r="C877" t="str">
        <x:v>e</x:v>
      </x:c>
      <x:c r="D877" t="str">
        <x:v>g21c85252-b211-4f5d-acc9-f402ae08c213</x:v>
      </x:c>
      <x:c r="E877" t="str">
        <x:v>g804b4b7d-f2fe-462d-9483-b7ac108e0cec</x:v>
      </x:c>
      <x:c r="F877" t="str">
        <x:v>https://www.webonary.org/marubo/g804b4b7d-f2fe-462d-9483-b7ac108e0cec/</x:v>
      </x:c>
      <x:c r="G877" s="20" t="n">
        <x:v>46003.934846724536</x:v>
      </x:c>
    </x:row>
    <x:row r="878">
      <x:c r="A878" t="str">
        <x:v>esquecer</x:v>
      </x:c>
      <x:c r="B878" t="str">
        <x:v>petxia</x:v>
      </x:c>
      <x:c r="C878" t="str">
        <x:v>e</x:v>
      </x:c>
      <x:c r="D878" t="str">
        <x:v>g21c85252-b211-4f5d-acc9-f402ae08c213</x:v>
      </x:c>
      <x:c r="E878" t="str">
        <x:v>ga059a65d-dc61-453a-99c7-f8c967cbbe14</x:v>
      </x:c>
      <x:c r="F878" t="str">
        <x:v>https://www.webonary.org/marubo/ga059a65d-dc61-453a-99c7-f8c967cbbe14/</x:v>
      </x:c>
      <x:c r="G878" s="20" t="n">
        <x:v>46003.934846724536</x:v>
      </x:c>
    </x:row>
    <x:row r="879">
      <x:c r="A879" t="str">
        <x:v>esquerdo</x:v>
      </x:c>
      <x:c r="B879" t="str">
        <x:v>mechmiri</x:v>
      </x:c>
      <x:c r="C879" t="str">
        <x:v>e</x:v>
      </x:c>
      <x:c r="D879" t="str">
        <x:v>ga6eb78f5-96b0-4ebc-8a2a-1b72371de63b</x:v>
      </x:c>
      <x:c r="E879" t="str">
        <x:v>g4d4d059c-0839-404c-b350-5b7824e50619</x:v>
      </x:c>
      <x:c r="F879" t="str">
        <x:v>https://www.webonary.org/marubo/g4d4d059c-0839-404c-b350-5b7824e50619/</x:v>
      </x:c>
      <x:c r="G879" s="20" t="n">
        <x:v>46003.934846724536</x:v>
      </x:c>
    </x:row>
    <x:row r="880">
      <x:c r="A880" t="str">
        <x:v>esquilo</x:v>
      </x:c>
      <x:c r="B880" t="str">
        <x:v>wasa</x:v>
      </x:c>
      <x:c r="C880" t="str">
        <x:v>e</x:v>
      </x:c>
      <x:c r="D880" t="str">
        <x:v>g482c255f-2dca-4310-87b2-573b3ed3c47f</x:v>
      </x:c>
      <x:c r="E880" t="str">
        <x:v>g8f5b98ba-f3df-44c9-ba13-3457e86b0bd3</x:v>
      </x:c>
      <x:c r="F880" t="str">
        <x:v>https://www.webonary.org/marubo/g8f5b98ba-f3df-44c9-ba13-3457e86b0bd3/</x:v>
      </x:c>
      <x:c r="G880" s="20" t="n">
        <x:v>46003.934846724536</x:v>
      </x:c>
    </x:row>
    <x:row r="881">
      <x:c r="A881" t="str">
        <x:v>esquilo</x:v>
      </x:c>
      <x:c r="B881" t="str">
        <x:v>1</x:v>
      </x:c>
      <x:c r="C881" t="str">
        <x:v>e</x:v>
      </x:c>
      <x:c r="D881" t="str">
        <x:v>g482c255f-2dca-4310-87b2-573b3ed3c47f</x:v>
      </x:c>
      <x:c r="E881" t="str">
        <x:v>g8f5b98ba-f3df-44c9-ba13-3457e86b0bd3</x:v>
      </x:c>
      <x:c r="F881" t="str">
        <x:v>https://www.webonary.org/marubo/g8f5b98ba-f3df-44c9-ba13-3457e86b0bd3/</x:v>
      </x:c>
      <x:c r="G881" s="20" t="n">
        <x:v>46003.934846724536</x:v>
      </x:c>
    </x:row>
    <x:row r="882">
      <x:c r="A882" t="str">
        <x:v>esquilo</x:v>
      </x:c>
      <x:c r="B882" t="str">
        <x:v>kapa</x:v>
      </x:c>
      <x:c r="C882" t="str">
        <x:v>e</x:v>
      </x:c>
      <x:c r="D882" t="str">
        <x:v>g482c255f-2dca-4310-87b2-573b3ed3c47f</x:v>
      </x:c>
      <x:c r="E882" t="str">
        <x:v>g59a76c91-a3a1-428d-920f-3ba896c59ef3</x:v>
      </x:c>
      <x:c r="F882" t="str">
        <x:v>https://www.webonary.org/marubo/g59a76c91-a3a1-428d-920f-3ba896c59ef3/</x:v>
      </x:c>
      <x:c r="G882" s="20" t="n">
        <x:v>46003.934846724536</x:v>
      </x:c>
    </x:row>
    <x:row r="883">
      <x:c r="A883" t="str">
        <x:v>esquilo</x:v>
      </x:c>
      <x:c r="B883" t="str">
        <x:v>1</x:v>
      </x:c>
      <x:c r="C883" t="str">
        <x:v>e</x:v>
      </x:c>
      <x:c r="D883" t="str">
        <x:v>g482c255f-2dca-4310-87b2-573b3ed3c47f</x:v>
      </x:c>
      <x:c r="E883" t="str">
        <x:v>g59a76c91-a3a1-428d-920f-3ba896c59ef3</x:v>
      </x:c>
      <x:c r="F883" t="str">
        <x:v>https://www.webonary.org/marubo/g59a76c91-a3a1-428d-920f-3ba896c59ef3/</x:v>
      </x:c>
      <x:c r="G883" s="20" t="n">
        <x:v>46003.934846724536</x:v>
      </x:c>
    </x:row>
    <x:row r="884">
      <x:c r="A884" t="str">
        <x:v>esquilo (outro tipo)</x:v>
      </x:c>
      <x:c r="B884" t="str">
        <x:v>kapa toko</x:v>
      </x:c>
      <x:c r="C884" t="str">
        <x:v>e</x:v>
      </x:c>
      <x:c r="D884" t="str">
        <x:v>g0db5ec43-bb13-4cab-ad29-7f3a83bcfe25</x:v>
      </x:c>
      <x:c r="E884" t="str">
        <x:v>ga0e61b48-77a9-4d7b-a659-59853a062782</x:v>
      </x:c>
      <x:c r="F884" t="str">
        <x:v>https://www.webonary.org/marubo/ga0e61b48-77a9-4d7b-a659-59853a062782/</x:v>
      </x:c>
      <x:c r="G884" s="20" t="n">
        <x:v>46003.934846724536</x:v>
      </x:c>
    </x:row>
    <x:row r="885">
      <x:c r="A885" t="str">
        <x:v>estar</x:v>
      </x:c>
      <x:c r="B885" t="str">
        <x:v>niá</x:v>
      </x:c>
      <x:c r="C885" t="str">
        <x:v>e</x:v>
      </x:c>
      <x:c r="D885" t="str">
        <x:v>g1ddbae45-404a-4d4d-9b3e-eb5f977eefec</x:v>
      </x:c>
      <x:c r="E885" t="str">
        <x:v>gc5b5a557-74e2-4b10-bac0-4063a59392d9</x:v>
      </x:c>
      <x:c r="F885" t="str">
        <x:v>https://www.webonary.org/marubo/gc5b5a557-74e2-4b10-bac0-4063a59392d9/</x:v>
      </x:c>
      <x:c r="G885" s="20" t="n">
        <x:v>46003.934846724536</x:v>
      </x:c>
    </x:row>
    <x:row r="886">
      <x:c r="A886" t="str">
        <x:v>estar bebado</x:v>
      </x:c>
      <x:c r="B886" t="str">
        <x:v>vetsa</x:v>
      </x:c>
      <x:c r="C886" t="str">
        <x:v>e</x:v>
      </x:c>
      <x:c r="D886" t="str">
        <x:v>g620555db-bb12-4f10-8781-093d87e90573</x:v>
      </x:c>
      <x:c r="E886" t="str">
        <x:v>g1af30860-40ea-4e60-8a87-291283fbc4fe</x:v>
      </x:c>
      <x:c r="F886" t="str">
        <x:v>https://www.webonary.org/marubo/g1af30860-40ea-4e60-8a87-291283fbc4fe/</x:v>
      </x:c>
      <x:c r="G886" s="20" t="n">
        <x:v>46003.934846724536</x:v>
      </x:c>
    </x:row>
    <x:row r="887">
      <x:c r="A887" t="str">
        <x:v>estar com nojo</x:v>
      </x:c>
      <x:c r="B887" t="str">
        <x:v>veya</x:v>
      </x:c>
      <x:c r="C887" t="str">
        <x:v>e</x:v>
      </x:c>
      <x:c r="D887" t="str">
        <x:v>g73cbf746-2681-4478-b1a0-8ea51060f687</x:v>
      </x:c>
      <x:c r="E887" t="str">
        <x:v>g87f5e8ec-1fda-4e13-96cf-3e43d4f8932a</x:v>
      </x:c>
      <x:c r="F887" t="str">
        <x:v>https://www.webonary.org/marubo/g87f5e8ec-1fda-4e13-96cf-3e43d4f8932a/</x:v>
      </x:c>
      <x:c r="G887" s="20" t="n">
        <x:v>46003.934846724536</x:v>
      </x:c>
    </x:row>
    <x:row r="888">
      <x:c r="A888" t="str">
        <x:v>estar com vontade de (dormir</x:v>
      </x:c>
      <x:c r="B888" t="str">
        <x:v>vetsa</x:v>
      </x:c>
      <x:c r="C888" t="str">
        <x:v>e</x:v>
      </x:c>
      <x:c r="D888" t="str">
        <x:v>g20d5bc6d-e01d-4961-bd7d-acbb288ab1d6</x:v>
      </x:c>
      <x:c r="E888" t="str">
        <x:v>g1af30860-40ea-4e60-8a87-291283fbc4fe</x:v>
      </x:c>
      <x:c r="F888" t="str">
        <x:v>https://www.webonary.org/marubo/g1af30860-40ea-4e60-8a87-291283fbc4fe/</x:v>
      </x:c>
      <x:c r="G888" s="20" t="n">
        <x:v>46003.93485380787</x:v>
      </x:c>
    </x:row>
    <x:row r="889">
      <x:c r="A889" t="str">
        <x:v>estar doente</x:v>
      </x:c>
      <x:c r="B889" t="str">
        <x:v>isĩ tenea</x:v>
      </x:c>
      <x:c r="C889" t="str">
        <x:v>e</x:v>
      </x:c>
      <x:c r="D889" t="str">
        <x:v>gf1683be9-c7cd-4c1b-b2d4-4038f83573d3</x:v>
      </x:c>
      <x:c r="E889" t="str">
        <x:v>g5c363268-f675-4148-9fc7-1e47bb9e4ea3</x:v>
      </x:c>
      <x:c r="F889" t="str">
        <x:v>https://www.webonary.org/marubo/g5c363268-f675-4148-9fc7-1e47bb9e4ea3/</x:v>
      </x:c>
      <x:c r="G889" s="20" t="n">
        <x:v>46003.93485380787</x:v>
      </x:c>
    </x:row>
    <x:row r="890">
      <x:c r="A890" t="str">
        <x:v>estar satisfeito</x:v>
      </x:c>
      <x:c r="B890" t="str">
        <x:v>yania</x:v>
      </x:c>
      <x:c r="C890" t="str">
        <x:v>e</x:v>
      </x:c>
      <x:c r="D890" t="str">
        <x:v>gfed2e92f-195f-4ad9-9cb0-34e41e785675</x:v>
      </x:c>
      <x:c r="E890" t="str">
        <x:v>g9b59a2f8-94da-4641-8dd4-f42098d3d309</x:v>
      </x:c>
      <x:c r="F890" t="str">
        <x:v>https://www.webonary.org/marubo/g9b59a2f8-94da-4641-8dd4-f42098d3d309/</x:v>
      </x:c>
      <x:c r="G890" s="20" t="n">
        <x:v>46003.93485380787</x:v>
      </x:c>
    </x:row>
    <x:row r="891">
      <x:c r="A891" t="str">
        <x:v>estar seco</x:v>
      </x:c>
      <x:c r="B891" t="str">
        <x:v>txochia</x:v>
      </x:c>
      <x:c r="C891" t="str">
        <x:v>e</x:v>
      </x:c>
      <x:c r="D891" t="str">
        <x:v>g3f16484e-e7c4-4fa2-8f84-bee368f586c2</x:v>
      </x:c>
      <x:c r="E891" t="str">
        <x:v>g709cd6b6-31b5-4fe0-a760-163e89721560</x:v>
      </x:c>
      <x:c r="F891" t="str">
        <x:v>https://www.webonary.org/marubo/g709cd6b6-31b5-4fe0-a760-163e89721560/</x:v>
      </x:c>
      <x:c r="G891" s="20" t="n">
        <x:v>46003.93485380787</x:v>
      </x:c>
    </x:row>
    <x:row r="892">
      <x:c r="A892" t="str">
        <x:v>este</x:v>
      </x:c>
      <x:c r="B892" t="str">
        <x:v>naa ivo</x:v>
      </x:c>
      <x:c r="C892" t="str">
        <x:v>e</x:v>
      </x:c>
      <x:c r="D892" t="str">
        <x:v>gdd7b5005-2190-431d-9b0f-283183584f7c</x:v>
      </x:c>
      <x:c r="E892" t="str">
        <x:v>g82b15738-86d0-49a9-81ba-cdfd22d841c2</x:v>
      </x:c>
      <x:c r="F892" t="str">
        <x:v>https://www.webonary.org/marubo/g82b15738-86d0-49a9-81ba-cdfd22d841c2/</x:v>
      </x:c>
      <x:c r="G892" s="20" t="n">
        <x:v>46003.93485380787</x:v>
      </x:c>
    </x:row>
    <x:row r="893">
      <x:c r="A893" t="str">
        <x:v>esticar</x:v>
      </x:c>
      <x:c r="B893" t="str">
        <x:v>tee aká</x:v>
      </x:c>
      <x:c r="C893" t="str">
        <x:v>e</x:v>
      </x:c>
      <x:c r="D893" t="str">
        <x:v>g6305b971-b0fe-49b9-bf66-8ca3510e6eaa</x:v>
      </x:c>
      <x:c r="E893" t="str">
        <x:v>g379d53c2-67ec-4c91-beda-377966a346d1</x:v>
      </x:c>
      <x:c r="F893" t="str">
        <x:v>https://www.webonary.org/marubo/g379d53c2-67ec-4c91-beda-377966a346d1/</x:v>
      </x:c>
      <x:c r="G893" s="20" t="n">
        <x:v>46003.93485380787</x:v>
      </x:c>
    </x:row>
    <x:row r="894">
      <x:c r="A894" t="str">
        <x:v>esticar</x:v>
      </x:c>
      <x:c r="B894" t="str">
        <x:v>onẽa</x:v>
      </x:c>
      <x:c r="C894" t="str">
        <x:v>e</x:v>
      </x:c>
      <x:c r="D894" t="str">
        <x:v>g6305b971-b0fe-49b9-bf66-8ca3510e6eaa</x:v>
      </x:c>
      <x:c r="E894" t="str">
        <x:v>g5ff0cf28-7724-4fc6-b7f9-c55dca650619</x:v>
      </x:c>
      <x:c r="F894" t="str">
        <x:v>https://www.webonary.org/marubo/g5ff0cf28-7724-4fc6-b7f9-c55dca650619/</x:v>
      </x:c>
      <x:c r="G894" s="20" t="n">
        <x:v>46003.93485380787</x:v>
      </x:c>
    </x:row>
    <x:row r="895">
      <x:c r="A895" t="str">
        <x:v>esticar língua (como cobra)</x:v>
      </x:c>
      <x:c r="B895" t="str">
        <x:v>ãsi ikí</x:v>
      </x:c>
      <x:c r="C895" t="str">
        <x:v>e</x:v>
      </x:c>
      <x:c r="D895" t="str">
        <x:v>g8d0f07c2-59ed-4bd6-ba89-429536845635</x:v>
      </x:c>
      <x:c r="E895" t="str">
        <x:v>g8a620291-308b-45c6-b072-3ceb8c211e0c</x:v>
      </x:c>
      <x:c r="F895" t="str">
        <x:v>https://www.webonary.org/marubo/g8a620291-308b-45c6-b072-3ceb8c211e0c/</x:v>
      </x:c>
      <x:c r="G895" s="20" t="n">
        <x:v>46003.93485380787</x:v>
      </x:c>
    </x:row>
    <x:row r="896">
      <x:c r="A896" t="str">
        <x:v>estômago</x:v>
      </x:c>
      <x:c r="B896" t="str">
        <x:v>posto</x:v>
      </x:c>
      <x:c r="C896" t="str">
        <x:v>e</x:v>
      </x:c>
      <x:c r="D896" t="str">
        <x:v>g28a8b79a-1f24-4850-b8c3-b7619c7c060a</x:v>
      </x:c>
      <x:c r="E896" t="str">
        <x:v>g2c7da69f-314b-49d8-802d-862de4f05d01</x:v>
      </x:c>
      <x:c r="F896" t="str">
        <x:v>https://www.webonary.org/marubo/g2c7da69f-314b-49d8-802d-862de4f05d01/</x:v>
      </x:c>
      <x:c r="G896" s="20" t="n">
        <x:v>46003.93485380787</x:v>
      </x:c>
    </x:row>
    <x:row r="897">
      <x:c r="A897" t="str">
        <x:v>estômago</x:v>
      </x:c>
      <x:c r="B897" t="str">
        <x:v>ató</x:v>
      </x:c>
      <x:c r="C897" t="str">
        <x:v>e</x:v>
      </x:c>
      <x:c r="D897" t="str">
        <x:v>g28a8b79a-1f24-4850-b8c3-b7619c7c060a</x:v>
      </x:c>
      <x:c r="E897" t="str">
        <x:v>g22709091-c213-4502-9be3-e40b1261ffc6</x:v>
      </x:c>
      <x:c r="F897" t="str">
        <x:v>https://www.webonary.org/marubo/g22709091-c213-4502-9be3-e40b1261ffc6/</x:v>
      </x:c>
      <x:c r="G897" s="20" t="n">
        <x:v>46003.93485380787</x:v>
      </x:c>
    </x:row>
    <x:row r="898">
      <x:c r="A898" t="str">
        <x:v>estrangeiro</x:v>
      </x:c>
      <x:c r="B898" t="str">
        <x:v>nawa</x:v>
      </x:c>
      <x:c r="C898" t="str">
        <x:v>e</x:v>
      </x:c>
      <x:c r="D898" t="str">
        <x:v>ge1b6bc4a-e6bc-4aed-8aab-92df16d1bf69</x:v>
      </x:c>
      <x:c r="E898" t="str">
        <x:v>g7dc741c9-c46a-4c9b-81f5-d91f6b5cc4bd</x:v>
      </x:c>
      <x:c r="F898" t="str">
        <x:v>https://www.webonary.org/marubo/g7dc741c9-c46a-4c9b-81f5-d91f6b5cc4bd/</x:v>
      </x:c>
      <x:c r="G898" s="20" t="n">
        <x:v>46003.93485380787</x:v>
      </x:c>
    </x:row>
    <x:row r="899">
      <x:c r="A899" t="str">
        <x:v>estrela</x:v>
      </x:c>
      <x:c r="B899" t="str">
        <x:v>ichi</x:v>
      </x:c>
      <x:c r="C899" t="str">
        <x:v>e</x:v>
      </x:c>
      <x:c r="D899" t="str">
        <x:v>gba6cc8e7-4d81-4bcb-b774-f9506c445b17</x:v>
      </x:c>
      <x:c r="E899" t="str">
        <x:v>g8ec7c1ec-50e4-4acc-b9b0-a8b7b6133a96</x:v>
      </x:c>
      <x:c r="F899" t="str">
        <x:v>https://www.webonary.org/marubo/g8ec7c1ec-50e4-4acc-b9b0-a8b7b6133a96/</x:v>
      </x:c>
      <x:c r="G899" s="20" t="n">
        <x:v>46003.93485380787</x:v>
      </x:c>
    </x:row>
    <x:row r="900">
      <x:c r="A900" t="str">
        <x:v>estrela (dialeto antigo)</x:v>
      </x:c>
      <x:c r="B900" t="str">
        <x:v>eche</x:v>
      </x:c>
      <x:c r="C900" t="str">
        <x:v>e</x:v>
      </x:c>
      <x:c r="D900" t="str">
        <x:v>gdc635b7f-3b03-4b29-ada8-c0872209f0e3</x:v>
      </x:c>
      <x:c r="E900" t="str">
        <x:v>gbc0c2a17-835c-4017-834c-a1c979737816</x:v>
      </x:c>
      <x:c r="F900" t="str">
        <x:v>https://www.webonary.org/marubo/gbc0c2a17-835c-4017-834c-a1c979737816/</x:v>
      </x:c>
      <x:c r="G900" s="20" t="n">
        <x:v>46003.93485380787</x:v>
      </x:c>
    </x:row>
    <x:row r="901">
      <x:c r="A901" t="str">
        <x:v>estudar</x:v>
      </x:c>
      <x:c r="B901" t="str">
        <x:v>wichá taná</x:v>
      </x:c>
      <x:c r="C901" t="str">
        <x:v>e</x:v>
      </x:c>
      <x:c r="D901" t="str">
        <x:v>g87e6f3c5-3278-4f27-a633-a59e2465d9fa</x:v>
      </x:c>
      <x:c r="E901" t="str">
        <x:v>g05114568-77b7-4eca-9cc4-254773d9b625</x:v>
      </x:c>
      <x:c r="F901" t="str">
        <x:v>https://www.webonary.org/marubo/g05114568-77b7-4eca-9cc4-254773d9b625/</x:v>
      </x:c>
      <x:c r="G901" s="20" t="n">
        <x:v>46003.93485380787</x:v>
      </x:c>
    </x:row>
    <x:row r="902">
      <x:c r="A902" t="str">
        <x:v>esturrar do jacamim</x:v>
      </x:c>
      <x:c r="B902" t="str">
        <x:v>txirĩa</x:v>
      </x:c>
      <x:c r="C902" t="str">
        <x:v>e</x:v>
      </x:c>
      <x:c r="D902" t="str">
        <x:v>g1f770122-2b01-4fb3-867c-e12aec5f12ce</x:v>
      </x:c>
      <x:c r="E902" t="str">
        <x:v>g26837954-cc01-46be-b52a-539522e5bfd5</x:v>
      </x:c>
      <x:c r="F902" t="str">
        <x:v>https://www.webonary.org/marubo/g26837954-cc01-46be-b52a-539522e5bfd5/</x:v>
      </x:c>
      <x:c r="G902" s="20" t="n">
        <x:v>46003.93485380787</x:v>
      </x:c>
    </x:row>
    <x:row r="903">
      <x:c r="A903" t="str">
        <x:v>esvasiar</x:v>
      </x:c>
      <x:c r="B903" t="str">
        <x:v>wachã</x:v>
      </x:c>
      <x:c r="C903" t="str">
        <x:v>e</x:v>
      </x:c>
      <x:c r="D903" t="str">
        <x:v>g673f1d2c-66ce-4d2b-ab7f-2a9561f18d51</x:v>
      </x:c>
      <x:c r="E903" t="str">
        <x:v>gbb80acb3-53f2-4ea7-b6db-dfaa68ef4675</x:v>
      </x:c>
      <x:c r="F903" t="str">
        <x:v>https://www.webonary.org/marubo/gbb80acb3-53f2-4ea7-b6db-dfaa68ef4675/</x:v>
      </x:c>
      <x:c r="G903" s="20" t="n">
        <x:v>46003.93485380787</x:v>
      </x:c>
    </x:row>
    <x:row r="904">
      <x:c r="A904" t="str">
        <x:v>etc.</x:v>
      </x:c>
      <x:c r="B904" t="str">
        <x:v>voo aká</x:v>
      </x:c>
      <x:c r="C904" t="str">
        <x:v>e</x:v>
      </x:c>
      <x:c r="D904" t="str">
        <x:v>g0af54bfb-aa43-4754-93a3-23e4ed7f346a</x:v>
      </x:c>
      <x:c r="E904" t="str">
        <x:v>g88bbacc3-791c-497b-8434-e336fb260786</x:v>
      </x:c>
      <x:c r="F904" t="str">
        <x:v>https://www.webonary.org/marubo/g88bbacc3-791c-497b-8434-e336fb260786/</x:v>
      </x:c>
      <x:c r="G904" s="20" t="n">
        <x:v>46003.93485380787</x:v>
      </x:c>
    </x:row>
    <x:row r="905">
      <x:c r="A905" t="str">
        <x:v>evaporar</x:v>
      </x:c>
      <x:c r="B905" t="str">
        <x:v>-tsooa</x:v>
      </x:c>
      <x:c r="C905" t="str">
        <x:v>e</x:v>
      </x:c>
      <x:c r="D905" t="str">
        <x:v>gad379a80-de19-4101-8b79-7c032a83e035</x:v>
      </x:c>
      <x:c r="E905" t="str">
        <x:v>g8b44d880-eb2a-41a2-86d8-3f75deffba1e</x:v>
      </x:c>
      <x:c r="F905" t="str">
        <x:v>https://www.webonary.org/marubo/g8b44d880-eb2a-41a2-86d8-3f75deffba1e/</x:v>
      </x:c>
      <x:c r="G905" s="20" t="n">
        <x:v>46003.93485380787</x:v>
      </x:c>
    </x:row>
    <x:row r="906">
      <x:c r="A906" t="str">
        <x:v>evidencial</x:v>
      </x:c>
      <x:c r="B906" t="str">
        <x:v>-katá</x:v>
      </x:c>
      <x:c r="C906" t="str">
        <x:v>e</x:v>
      </x:c>
      <x:c r="D906" t="str">
        <x:v>g1f3ddc57-fad4-4563-8e43-9ef55ad86da6</x:v>
      </x:c>
      <x:c r="E906" t="str">
        <x:v>ge7cee19a-8021-4a73-b782-90189e9af83a</x:v>
      </x:c>
      <x:c r="F906" t="str">
        <x:v>https://www.webonary.org/marubo/ge7cee19a-8021-4a73-b782-90189e9af83a/</x:v>
      </x:c>
      <x:c r="G906" s="20" t="n">
        <x:v>46003.93485380787</x:v>
      </x:c>
    </x:row>
    <x:row r="907">
      <x:c r="A907" t="str">
        <x:v>existir</x:v>
      </x:c>
      <x:c r="B907" t="str">
        <x:v>aya</x:v>
      </x:c>
      <x:c r="C907" t="str">
        <x:v>e</x:v>
      </x:c>
      <x:c r="D907" t="str">
        <x:v>ga32ed03d-3a9a-4d74-97a7-a6d7a76a8c65</x:v>
      </x:c>
      <x:c r="E907" t="str">
        <x:v>gf3b60ef1-faeb-420a-a006-8f69de21bd70</x:v>
      </x:c>
      <x:c r="F907" t="str">
        <x:v>https://www.webonary.org/marubo/gf3b60ef1-faeb-420a-a006-8f69de21bd70/</x:v>
      </x:c>
      <x:c r="G907" s="20" t="n">
        <x:v>46003.93485380787</x:v>
      </x:c>
    </x:row>
    <x:row r="908">
      <x:c r="A908" t="str">
        <x:v>expressao</x:v>
      </x:c>
      <x:c r="B908" t="str">
        <x:v>mã</x:v>
      </x:c>
      <x:c r="C908" t="str">
        <x:v>e</x:v>
      </x:c>
      <x:c r="D908" t="str">
        <x:v>g16ae0a7c-2b76-4913-8f8e-cbf7c0d9ed75</x:v>
      </x:c>
      <x:c r="E908" t="str">
        <x:v>g8433eac0-5370-4d16-8241-24674caa3edd</x:v>
      </x:c>
      <x:c r="F908" t="str">
        <x:v>https://www.webonary.org/marubo/g8433eac0-5370-4d16-8241-24674caa3edd/</x:v>
      </x:c>
      <x:c r="G908" s="20" t="n">
        <x:v>46003.93485380787</x:v>
      </x:c>
    </x:row>
    <x:row r="909">
      <x:c r="A909" t="str">
        <x:v>expressão de</x:v>
      </x:c>
      <x:c r="B909" t="str">
        <x:v>sorĩ</x:v>
      </x:c>
      <x:c r="C909" t="str">
        <x:v>e</x:v>
      </x:c>
      <x:c r="D909" t="str">
        <x:v>g105125e1-d6c0-4782-ae08-dccdd6e07911</x:v>
      </x:c>
      <x:c r="E909" t="str">
        <x:v>ga244708e-5589-4fe8-8c10-1632c64dc540</x:v>
      </x:c>
      <x:c r="F909" t="str">
        <x:v>https://www.webonary.org/marubo/ga244708e-5589-4fe8-8c10-1632c64dc540/</x:v>
      </x:c>
      <x:c r="G909" s="20" t="n">
        <x:v>46003.93485380787</x:v>
      </x:c>
    </x:row>
    <x:row r="910">
      <x:c r="A910" t="str">
        <x:v>expressão de admiração</x:v>
      </x:c>
      <x:c r="B910" t="str">
        <x:v>avii</x:v>
      </x:c>
      <x:c r="C910" t="str">
        <x:v>e</x:v>
      </x:c>
      <x:c r="D910" t="str">
        <x:v>gb531983c-3bba-4a02-aaee-0bfbd28dd253</x:v>
      </x:c>
      <x:c r="E910" t="str">
        <x:v>g7c575fb5-6833-466d-bea2-6b726f0dfe2f</x:v>
      </x:c>
      <x:c r="F910" t="str">
        <x:v>https://www.webonary.org/marubo/g7c575fb5-6833-466d-bea2-6b726f0dfe2f/</x:v>
      </x:c>
      <x:c r="G910" s="20" t="n">
        <x:v>46003.93485380787</x:v>
      </x:c>
    </x:row>
    <x:row r="911">
      <x:c r="A911" t="str">
        <x:v>expressão de admiração ao tamanho</x:v>
      </x:c>
      <x:c r="B911" t="str">
        <x:v>yoo</x:v>
      </x:c>
      <x:c r="C911" t="str">
        <x:v>e</x:v>
      </x:c>
      <x:c r="D911" t="str">
        <x:v>ga2c7e1e4-a215-493b-b7f7-8de3ef22c370</x:v>
      </x:c>
      <x:c r="E911" t="str">
        <x:v>ga1f9ed07-32c0-44ac-8693-43084ded01bd</x:v>
      </x:c>
      <x:c r="F911" t="str">
        <x:v>https://www.webonary.org/marubo/ga1f9ed07-32c0-44ac-8693-43084ded01bd/</x:v>
      </x:c>
      <x:c r="G911" s="20" t="n">
        <x:v>46003.93485380787</x:v>
      </x:c>
    </x:row>
    <x:row r="912">
      <x:c r="A912" t="str">
        <x:v>expressão de desgosto</x:v>
      </x:c>
      <x:c r="B912" t="str">
        <x:v>yesé</x:v>
      </x:c>
      <x:c r="C912" t="str">
        <x:v>e</x:v>
      </x:c>
      <x:c r="D912" t="str">
        <x:v>gc0ce0a54-44d4-4a1a-adc3-91f4df83e0e0</x:v>
      </x:c>
      <x:c r="E912" t="str">
        <x:v>g1ea3e39f-0b42-4922-9428-8452e86e371e</x:v>
      </x:c>
      <x:c r="F912" t="str">
        <x:v>https://www.webonary.org/marubo/g1ea3e39f-0b42-4922-9428-8452e86e371e/</x:v>
      </x:c>
      <x:c r="G912" s="20" t="n">
        <x:v>46003.93485380787</x:v>
      </x:c>
    </x:row>
    <x:row r="913">
      <x:c r="A913" t="str">
        <x:v>expressão de dor</x:v>
      </x:c>
      <x:c r="B913" t="str">
        <x:v>ari</x:v>
      </x:c>
      <x:c r="C913" t="str">
        <x:v>e</x:v>
      </x:c>
      <x:c r="D913" t="str">
        <x:v>g62a7d31e-760b-426d-846a-5126869dc64e</x:v>
      </x:c>
      <x:c r="E913" t="str">
        <x:v>ga1825b7d-40a6-46c6-90f5-9067cd679747</x:v>
      </x:c>
      <x:c r="F913" t="str">
        <x:v>https://www.webonary.org/marubo/ga1825b7d-40a6-46c6-90f5-9067cd679747/</x:v>
      </x:c>
      <x:c r="G913" s="20" t="n">
        <x:v>46003.93485380787</x:v>
      </x:c>
    </x:row>
    <x:row r="914">
      <x:c r="A914" t="str">
        <x:v>expressão de dor</x:v>
      </x:c>
      <x:c r="B914" t="str">
        <x:v>2</x:v>
      </x:c>
      <x:c r="C914" t="str">
        <x:v>e</x:v>
      </x:c>
      <x:c r="D914" t="str">
        <x:v>g62a7d31e-760b-426d-846a-5126869dc64e</x:v>
      </x:c>
      <x:c r="E914" t="str">
        <x:v>ga1825b7d-40a6-46c6-90f5-9067cd679747</x:v>
      </x:c>
      <x:c r="F914" t="str">
        <x:v>https://www.webonary.org/marubo/ga1825b7d-40a6-46c6-90f5-9067cd679747/</x:v>
      </x:c>
      <x:c r="G914" s="20" t="n">
        <x:v>46003.93485380787</x:v>
      </x:c>
    </x:row>
    <x:row r="915">
      <x:c r="A915" t="str">
        <x:v>expressão de medo</x:v>
      </x:c>
      <x:c r="B915" t="str">
        <x:v>ii</x:v>
      </x:c>
      <x:c r="C915" t="str">
        <x:v>e</x:v>
      </x:c>
      <x:c r="D915" t="str">
        <x:v>g5b264ab5-e30a-427e-9e0d-f4aee2d7189b</x:v>
      </x:c>
      <x:c r="E915" t="str">
        <x:v>gd8a34083-eb47-4579-a007-fa5b9cefb0fc</x:v>
      </x:c>
      <x:c r="F915" t="str">
        <x:v>https://www.webonary.org/marubo/gd8a34083-eb47-4579-a007-fa5b9cefb0fc/</x:v>
      </x:c>
      <x:c r="G915" s="20" t="n">
        <x:v>46003.93485380787</x:v>
      </x:c>
    </x:row>
    <x:row r="916">
      <x:c r="A916" t="str">
        <x:v>expressão de surpresa</x:v>
      </x:c>
      <x:c r="B916" t="str">
        <x:v>yee</x:v>
      </x:c>
      <x:c r="C916" t="str">
        <x:v>e</x:v>
      </x:c>
      <x:c r="D916" t="str">
        <x:v>g364dc517-df48-42df-8fe6-02bf7cd39e5d</x:v>
      </x:c>
      <x:c r="E916" t="str">
        <x:v>gddd5c72b-90f9-421e-a774-a68f36114813</x:v>
      </x:c>
      <x:c r="F916" t="str">
        <x:v>https://www.webonary.org/marubo/gddd5c72b-90f9-421e-a774-a68f36114813/</x:v>
      </x:c>
      <x:c r="G916" s="20" t="n">
        <x:v>46003.93485380787</x:v>
      </x:c>
    </x:row>
    <x:row r="917">
      <x:c r="A917" t="str">
        <x:v>expulsar espirito mal</x:v>
      </x:c>
      <x:c r="B917" t="str">
        <x:v>pevía</x:v>
      </x:c>
      <x:c r="C917" t="str">
        <x:v>e</x:v>
      </x:c>
      <x:c r="D917" t="str">
        <x:v>g8951cc8c-089e-4a02-a82f-52294f773bbd</x:v>
      </x:c>
      <x:c r="E917" t="str">
        <x:v>g9ff637cf-5d88-427a-ba09-cd89f04df5c5</x:v>
      </x:c>
      <x:c r="F917" t="str">
        <x:v>https://www.webonary.org/marubo/g9ff637cf-5d88-427a-ba09-cd89f04df5c5/</x:v>
      </x:c>
      <x:c r="G917" s="20" t="n">
        <x:v>46003.93485380787</x:v>
      </x:c>
    </x:row>
    <x:row r="918">
      <x:c r="A918" t="str">
        <x:v>extender</x:v>
      </x:c>
      <x:c r="B918" t="str">
        <x:v>poẽa</x:v>
      </x:c>
      <x:c r="C918" t="str">
        <x:v>e</x:v>
      </x:c>
      <x:c r="D918" t="str">
        <x:v>gbb3b803a-d29e-458a-9cc8-17e70030b46f</x:v>
      </x:c>
      <x:c r="E918" t="str">
        <x:v>g21924e9a-78c1-4eba-a4a7-0089255fbe22</x:v>
      </x:c>
      <x:c r="F918" t="str">
        <x:v>https://www.webonary.org/marubo/g21924e9a-78c1-4eba-a4a7-0089255fbe22/</x:v>
      </x:c>
      <x:c r="G918" s="20" t="n">
        <x:v>46003.93485380787</x:v>
      </x:c>
    </x:row>
    <x:row r="919">
      <x:c r="A919" t="str">
        <x:v>faca</x:v>
      </x:c>
      <x:c r="B919" t="str">
        <x:v>senoti</x:v>
      </x:c>
      <x:c r="C919" t="str">
        <x:v>f</x:v>
      </x:c>
      <x:c r="D919" t="str">
        <x:v>g4100c90b-c365-4fe9-ab70-6ea825d6d6c1</x:v>
      </x:c>
      <x:c r="E919" t="str">
        <x:v>g81a3b3a0-56d5-44c6-aa59-81d7edcfda55</x:v>
      </x:c>
      <x:c r="F919" t="str">
        <x:v>https://www.webonary.org/marubo/g81a3b3a0-56d5-44c6-aa59-81d7edcfda55/</x:v>
      </x:c>
      <x:c r="G919" s="20" t="n">
        <x:v>46003.93485380787</x:v>
      </x:c>
    </x:row>
    <x:row r="920">
      <x:c r="A920" t="str">
        <x:v>fácil</x:v>
      </x:c>
      <x:c r="B920" t="str">
        <x:v>yomẽka</x:v>
      </x:c>
      <x:c r="C920" t="str">
        <x:v>f</x:v>
      </x:c>
      <x:c r="D920" t="str">
        <x:v>gdf7f6d2c-7571-4ac9-92ae-c609beda8866</x:v>
      </x:c>
      <x:c r="E920" t="str">
        <x:v>gabe5ce29-297b-4cf2-9208-45f1c93a7bf7</x:v>
      </x:c>
      <x:c r="F920" t="str">
        <x:v>https://www.webonary.org/marubo/gabe5ce29-297b-4cf2-9208-45f1c93a7bf7/</x:v>
      </x:c>
      <x:c r="G920" s="20" t="n">
        <x:v>46003.93485380787</x:v>
      </x:c>
    </x:row>
    <x:row r="921">
      <x:c r="A921" t="str">
        <x:v>faço</x:v>
      </x:c>
      <x:c r="B921" t="str">
        <x:v>i</x:v>
      </x:c>
      <x:c r="C921" t="str">
        <x:v>f</x:v>
      </x:c>
      <x:c r="D921" t="str">
        <x:v>g284e447c-7ed2-48d5-ac8d-75e14e16759f</x:v>
      </x:c>
      <x:c r="E921" t="str">
        <x:v>g8f3d42c3-26ae-4cc7-a5da-000611c5441f</x:v>
      </x:c>
      <x:c r="F921" t="str">
        <x:v>https://www.webonary.org/marubo/g8f3d42c3-26ae-4cc7-a5da-000611c5441f/</x:v>
      </x:c>
      <x:c r="G921" s="20" t="n">
        <x:v>46003.93485380787</x:v>
      </x:c>
    </x:row>
    <x:row r="922">
      <x:c r="A922" t="str">
        <x:v>fala</x:v>
      </x:c>
      <x:c r="B922" t="str">
        <x:v>vana</x:v>
      </x:c>
      <x:c r="C922" t="str">
        <x:v>f</x:v>
      </x:c>
      <x:c r="D922" t="str">
        <x:v>gd4fd8b73-5304-482c-b439-51ba2945af15</x:v>
      </x:c>
      <x:c r="E922" t="str">
        <x:v>g339d0ad0-31a2-434a-8f70-c0253795d025</x:v>
      </x:c>
      <x:c r="F922" t="str">
        <x:v>https://www.webonary.org/marubo/g339d0ad0-31a2-434a-8f70-c0253795d025/</x:v>
      </x:c>
      <x:c r="G922" s="20" t="n">
        <x:v>46003.93485380787</x:v>
      </x:c>
    </x:row>
    <x:row r="923">
      <x:c r="A923" t="str">
        <x:v>fala</x:v>
      </x:c>
      <x:c r="B923" t="str">
        <x:v>2</x:v>
      </x:c>
      <x:c r="C923" t="str">
        <x:v>f</x:v>
      </x:c>
      <x:c r="D923" t="str">
        <x:v>gd4fd8b73-5304-482c-b439-51ba2945af15</x:v>
      </x:c>
      <x:c r="E923" t="str">
        <x:v>g339d0ad0-31a2-434a-8f70-c0253795d025</x:v>
      </x:c>
      <x:c r="F923" t="str">
        <x:v>https://www.webonary.org/marubo/g339d0ad0-31a2-434a-8f70-c0253795d025/</x:v>
      </x:c>
      <x:c r="G923" s="20" t="n">
        <x:v>46003.93485380787</x:v>
      </x:c>
    </x:row>
    <x:row r="924">
      <x:c r="A924" t="str">
        <x:v>fala pl.</x:v>
      </x:c>
      <x:c r="B924" t="str">
        <x:v>kaká</x:v>
      </x:c>
      <x:c r="C924" t="str">
        <x:v>f</x:v>
      </x:c>
      <x:c r="D924" t="str">
        <x:v>gef763df7-15e3-4468-8dd6-c8573f8e0cda</x:v>
      </x:c>
      <x:c r="E924" t="str">
        <x:v>g3dc4491d-43c7-4c05-a6f0-7e820fcd2006</x:v>
      </x:c>
      <x:c r="F924" t="str">
        <x:v>https://www.webonary.org/marubo/g3dc4491d-43c7-4c05-a6f0-7e820fcd2006/</x:v>
      </x:c>
      <x:c r="G924" s="20" t="n">
        <x:v>46003.93485380787</x:v>
      </x:c>
    </x:row>
    <x:row r="925">
      <x:c r="A925" t="str">
        <x:v>falado quando acontece uma coisa nojento</x:v>
      </x:c>
      <x:c r="B925" t="str">
        <x:v>ichí</x:v>
      </x:c>
      <x:c r="C925" t="str">
        <x:v>f</x:v>
      </x:c>
      <x:c r="D925" t="str">
        <x:v>g914e2db7-bb9c-48b5-87d4-2d0c45bde400</x:v>
      </x:c>
      <x:c r="E925" t="str">
        <x:v>g1dd938a7-8fd5-4731-bf9b-7a81d772d787</x:v>
      </x:c>
      <x:c r="F925" t="str">
        <x:v>https://www.webonary.org/marubo/g1dd938a7-8fd5-4731-bf9b-7a81d772d787/</x:v>
      </x:c>
      <x:c r="G925" s="20" t="n">
        <x:v>46003.93485380787</x:v>
      </x:c>
    </x:row>
    <x:row r="926">
      <x:c r="A926" t="str">
        <x:v>falado quando erra na fala</x:v>
      </x:c>
      <x:c r="B926" t="str">
        <x:v>iche</x:v>
      </x:c>
      <x:c r="C926" t="str">
        <x:v>f</x:v>
      </x:c>
      <x:c r="D926" t="str">
        <x:v>g6b4a9122-0bbe-4290-836d-12d13715c0ca</x:v>
      </x:c>
      <x:c r="E926" t="str">
        <x:v>g6da05c0b-97ea-4729-b142-6213b4eff1f9</x:v>
      </x:c>
      <x:c r="F926" t="str">
        <x:v>https://www.webonary.org/marubo/g6da05c0b-97ea-4729-b142-6213b4eff1f9/</x:v>
      </x:c>
      <x:c r="G926" s="20" t="n">
        <x:v>46003.93485380787</x:v>
      </x:c>
    </x:row>
    <x:row r="927">
      <x:c r="A927" t="str">
        <x:v>falado quando errar</x:v>
      </x:c>
      <x:c r="B927" t="str">
        <x:v>ia</x:v>
      </x:c>
      <x:c r="C927" t="str">
        <x:v>f</x:v>
      </x:c>
      <x:c r="D927" t="str">
        <x:v>gfb5c2f85-9df1-403e-9f90-58a35ae8470a</x:v>
      </x:c>
      <x:c r="E927" t="str">
        <x:v>g87bc243a-d973-4c7c-98ca-4c76f0c714c2</x:v>
      </x:c>
      <x:c r="F927" t="str">
        <x:v>https://www.webonary.org/marubo/g87bc243a-d973-4c7c-98ca-4c76f0c714c2/</x:v>
      </x:c>
      <x:c r="G927" s="20" t="n">
        <x:v>46003.93485380787</x:v>
      </x:c>
    </x:row>
    <x:row r="928">
      <x:c r="A928" t="str">
        <x:v>falado quando errar</x:v>
      </x:c>
      <x:c r="B928" t="str">
        <x:v>2</x:v>
      </x:c>
      <x:c r="C928" t="str">
        <x:v>f</x:v>
      </x:c>
      <x:c r="D928" t="str">
        <x:v>gfb5c2f85-9df1-403e-9f90-58a35ae8470a</x:v>
      </x:c>
      <x:c r="E928" t="str">
        <x:v>g87bc243a-d973-4c7c-98ca-4c76f0c714c2</x:v>
      </x:c>
      <x:c r="F928" t="str">
        <x:v>https://www.webonary.org/marubo/g87bc243a-d973-4c7c-98ca-4c76f0c714c2/</x:v>
      </x:c>
      <x:c r="G928" s="20" t="n">
        <x:v>46003.93485380787</x:v>
      </x:c>
    </x:row>
    <x:row r="929">
      <x:c r="A929" t="str">
        <x:v>falado quando tem situação brava</x:v>
      </x:c>
      <x:c r="B929" t="str">
        <x:v>aĩ</x:v>
      </x:c>
      <x:c r="C929" t="str">
        <x:v>f</x:v>
      </x:c>
      <x:c r="D929" t="str">
        <x:v>g2409fbd8-b500-4256-97c7-201be900cc54</x:v>
      </x:c>
      <x:c r="E929" t="str">
        <x:v>g53a8d056-4f8e-4e5b-9dba-36d98caa50da</x:v>
      </x:c>
      <x:c r="F929" t="str">
        <x:v>https://www.webonary.org/marubo/g53a8d056-4f8e-4e5b-9dba-36d98caa50da/</x:v>
      </x:c>
      <x:c r="G929" s="20" t="n">
        <x:v>46003.93485380787</x:v>
      </x:c>
    </x:row>
    <x:row r="930">
      <x:c r="A930" t="str">
        <x:v>falado quando tem situação brava</x:v>
      </x:c>
      <x:c r="B930" t="str">
        <x:v>2</x:v>
      </x:c>
      <x:c r="C930" t="str">
        <x:v>f</x:v>
      </x:c>
      <x:c r="D930" t="str">
        <x:v>g2409fbd8-b500-4256-97c7-201be900cc54</x:v>
      </x:c>
      <x:c r="E930" t="str">
        <x:v>g53a8d056-4f8e-4e5b-9dba-36d98caa50da</x:v>
      </x:c>
      <x:c r="F930" t="str">
        <x:v>https://www.webonary.org/marubo/g53a8d056-4f8e-4e5b-9dba-36d98caa50da/</x:v>
      </x:c>
      <x:c r="G930" s="20" t="n">
        <x:v>46003.93485380787</x:v>
      </x:c>
    </x:row>
    <x:row r="931">
      <x:c r="A931" t="str">
        <x:v>falado quando termina alguma coisa</x:v>
      </x:c>
      <x:c r="B931" t="str">
        <x:v>ĩtá</x:v>
      </x:c>
      <x:c r="C931" t="str">
        <x:v>f</x:v>
      </x:c>
      <x:c r="D931" t="str">
        <x:v>g150e37af-7008-4649-8e5e-09293fc42479</x:v>
      </x:c>
      <x:c r="E931" t="str">
        <x:v>g41c541c6-cf45-49cc-a5c2-2f155c93213f</x:v>
      </x:c>
      <x:c r="F931" t="str">
        <x:v>https://www.webonary.org/marubo/g41c541c6-cf45-49cc-a5c2-2f155c93213f/</x:v>
      </x:c>
      <x:c r="G931" s="20" t="n">
        <x:v>46003.93485380787</x:v>
      </x:c>
    </x:row>
    <x:row r="932">
      <x:c r="A932" t="str">
        <x:v>falar</x:v>
      </x:c>
      <x:c r="B932" t="str">
        <x:v>vana</x:v>
      </x:c>
      <x:c r="C932" t="str">
        <x:v>f</x:v>
      </x:c>
      <x:c r="D932" t="str">
        <x:v>g6a5ded3a-b3b0-4a65-be18-a12f9f5cb69a</x:v>
      </x:c>
      <x:c r="E932" t="str">
        <x:v>gd2063ae1-f201-49d0-9575-cecf591880b1</x:v>
      </x:c>
      <x:c r="F932" t="str">
        <x:v>https://www.webonary.org/marubo/gd2063ae1-f201-49d0-9575-cecf591880b1/</x:v>
      </x:c>
      <x:c r="G932" s="20" t="n">
        <x:v>46003.93485380787</x:v>
      </x:c>
    </x:row>
    <x:row r="933">
      <x:c r="A933" t="str">
        <x:v>falar</x:v>
      </x:c>
      <x:c r="B933" t="str">
        <x:v>1</x:v>
      </x:c>
      <x:c r="C933" t="str">
        <x:v>f</x:v>
      </x:c>
      <x:c r="D933" t="str">
        <x:v>g6a5ded3a-b3b0-4a65-be18-a12f9f5cb69a</x:v>
      </x:c>
      <x:c r="E933" t="str">
        <x:v>gd2063ae1-f201-49d0-9575-cecf591880b1</x:v>
      </x:c>
      <x:c r="F933" t="str">
        <x:v>https://www.webonary.org/marubo/gd2063ae1-f201-49d0-9575-cecf591880b1/</x:v>
      </x:c>
      <x:c r="G933" s="20" t="n">
        <x:v>46003.93485380787</x:v>
      </x:c>
    </x:row>
    <x:row r="934">
      <x:c r="A934" t="str">
        <x:v>falar</x:v>
      </x:c>
      <x:c r="B934" t="str">
        <x:v>ikí</x:v>
      </x:c>
      <x:c r="C934" t="str">
        <x:v>f</x:v>
      </x:c>
      <x:c r="D934" t="str">
        <x:v>g6a5ded3a-b3b0-4a65-be18-a12f9f5cb69a</x:v>
      </x:c>
      <x:c r="E934" t="str">
        <x:v>g23838059-250e-4a6d-8d54-18a0d88ed3fc</x:v>
      </x:c>
      <x:c r="F934" t="str">
        <x:v>https://www.webonary.org/marubo/g23838059-250e-4a6d-8d54-18a0d88ed3fc/</x:v>
      </x:c>
      <x:c r="G934" s="20" t="n">
        <x:v>46003.93485380787</x:v>
      </x:c>
    </x:row>
    <x:row r="935">
      <x:c r="A935" t="str">
        <x:v>falar</x:v>
      </x:c>
      <x:c r="B935" t="str">
        <x:v>2</x:v>
      </x:c>
      <x:c r="C935" t="str">
        <x:v>f</x:v>
      </x:c>
      <x:c r="D935" t="str">
        <x:v>g6a5ded3a-b3b0-4a65-be18-a12f9f5cb69a</x:v>
      </x:c>
      <x:c r="E935" t="str">
        <x:v>g23838059-250e-4a6d-8d54-18a0d88ed3fc</x:v>
      </x:c>
      <x:c r="F935" t="str">
        <x:v>https://www.webonary.org/marubo/g23838059-250e-4a6d-8d54-18a0d88ed3fc/</x:v>
      </x:c>
      <x:c r="G935" s="20" t="n">
        <x:v>46003.93485380787</x:v>
      </x:c>
    </x:row>
    <x:row r="936">
      <x:c r="A936" t="str">
        <x:v>falar das coisas erradas de alguém</x:v>
      </x:c>
      <x:c r="B936" t="str">
        <x:v>kayá aká</x:v>
      </x:c>
      <x:c r="C936" t="str">
        <x:v>f</x:v>
      </x:c>
      <x:c r="D936" t="str">
        <x:v>g9decb7ef-bfc2-48eb-8207-4a54d3a29c76</x:v>
      </x:c>
      <x:c r="E936" t="str">
        <x:v>g10578cb5-e082-49f6-8270-824d796d9291</x:v>
      </x:c>
      <x:c r="F936" t="str">
        <x:v>https://www.webonary.org/marubo/g10578cb5-e082-49f6-8270-824d796d9291/</x:v>
      </x:c>
      <x:c r="G936" s="20" t="n">
        <x:v>46003.93485380787</x:v>
      </x:c>
    </x:row>
    <x:row r="937">
      <x:c r="A937" t="str">
        <x:v>falar enquanto está dormindo</x:v>
      </x:c>
      <x:c r="B937" t="str">
        <x:v>vevéa</x:v>
      </x:c>
      <x:c r="C937" t="str">
        <x:v>f</x:v>
      </x:c>
      <x:c r="D937" t="str">
        <x:v>g38daa72d-2774-488f-b487-438a1ad3e62d</x:v>
      </x:c>
      <x:c r="E937" t="str">
        <x:v>g66e52793-86c3-45ff-bc48-d55e1894b8d6</x:v>
      </x:c>
      <x:c r="F937" t="str">
        <x:v>https://www.webonary.org/marubo/g66e52793-86c3-45ff-bc48-d55e1894b8d6/</x:v>
      </x:c>
      <x:c r="G937" s="20" t="n">
        <x:v>46003.93485380787</x:v>
      </x:c>
    </x:row>
    <x:row r="938">
      <x:c r="A938" t="str">
        <x:v>falar forte</x:v>
      </x:c>
      <x:c r="B938" t="str">
        <x:v>yawea</x:v>
      </x:c>
      <x:c r="C938" t="str">
        <x:v>f</x:v>
      </x:c>
      <x:c r="D938" t="str">
        <x:v>gc86fbc30-3472-4fee-9bfa-5c1b7479dd3b</x:v>
      </x:c>
      <x:c r="E938" t="str">
        <x:v>gc24d4dbf-aa59-416b-9bce-fe24d75ad569</x:v>
      </x:c>
      <x:c r="F938" t="str">
        <x:v>https://www.webonary.org/marubo/gc24d4dbf-aa59-416b-9bce-fe24d75ad569/</x:v>
      </x:c>
      <x:c r="G938" s="20" t="n">
        <x:v>46003.93485380787</x:v>
      </x:c>
    </x:row>
    <x:row r="939">
      <x:c r="A939" t="str">
        <x:v>falar ruim de alguem que está presente</x:v>
      </x:c>
      <x:c r="B939" t="str">
        <x:v>nĩkãmá</x:v>
      </x:c>
      <x:c r="C939" t="str">
        <x:v>f</x:v>
      </x:c>
      <x:c r="D939" t="str">
        <x:v>g63a1967e-dc9a-46e5-ac0f-82b8699690c1</x:v>
      </x:c>
      <x:c r="E939" t="str">
        <x:v>gd42374a5-b111-49ad-83e6-a73f502d8348</x:v>
      </x:c>
      <x:c r="F939" t="str">
        <x:v>https://www.webonary.org/marubo/gd42374a5-b111-49ad-83e6-a73f502d8348/</x:v>
      </x:c>
      <x:c r="G939" s="20" t="n">
        <x:v>46003.93485380787</x:v>
      </x:c>
    </x:row>
    <x:row r="940">
      <x:c r="A940" t="str">
        <x:v>faltar</x:v>
      </x:c>
      <x:c r="B940" t="str">
        <x:v>mãa</x:v>
      </x:c>
      <x:c r="C940" t="str">
        <x:v>f</x:v>
      </x:c>
      <x:c r="D940" t="str">
        <x:v>g0470d9be-d6a6-43e0-8b4d-3649860d4b16</x:v>
      </x:c>
      <x:c r="E940" t="str">
        <x:v>g287eadf7-5d6b-4627-84cd-b3fe428d449d</x:v>
      </x:c>
      <x:c r="F940" t="str">
        <x:v>https://www.webonary.org/marubo/g287eadf7-5d6b-4627-84cd-b3fe428d449d/</x:v>
      </x:c>
      <x:c r="G940" s="20" t="n">
        <x:v>46003.93485380787</x:v>
      </x:c>
    </x:row>
    <x:row r="941">
      <x:c r="A941" t="str">
        <x:v>faltar? perder?</x:v>
      </x:c>
      <x:c r="B941" t="str">
        <x:v>nanã</x:v>
      </x:c>
      <x:c r="C941" t="str">
        <x:v>f</x:v>
      </x:c>
      <x:c r="D941" t="str">
        <x:v>g45354404-5f86-4bb2-a869-1c68c2ab597c</x:v>
      </x:c>
      <x:c r="E941" t="str">
        <x:v>g276181fa-58c5-4ef1-a2df-36e573cca149</x:v>
      </x:c>
      <x:c r="F941" t="str">
        <x:v>https://www.webonary.org/marubo/g276181fa-58c5-4ef1-a2df-36e573cca149/</x:v>
      </x:c>
      <x:c r="G941" s="20" t="n">
        <x:v>46003.93485380787</x:v>
      </x:c>
    </x:row>
    <x:row r="942">
      <x:c r="A942" t="str">
        <x:v>fantasma</x:v>
      </x:c>
      <x:c r="B942" t="str">
        <x:v>yochĩ</x:v>
      </x:c>
      <x:c r="C942" t="str">
        <x:v>f</x:v>
      </x:c>
      <x:c r="D942" t="str">
        <x:v>gb8791d9d-e523-4279-9d4a-8509bb409026</x:v>
      </x:c>
      <x:c r="E942" t="str">
        <x:v>g3084a2cd-2015-4ad4-955e-e2b91d1b2ba9</x:v>
      </x:c>
      <x:c r="F942" t="str">
        <x:v>https://www.webonary.org/marubo/g3084a2cd-2015-4ad4-955e-e2b91d1b2ba9/</x:v>
      </x:c>
      <x:c r="G942" s="20" t="n">
        <x:v>46003.93485380787</x:v>
      </x:c>
    </x:row>
    <x:row r="943">
      <x:c r="A943" t="str">
        <x:v>farinha</x:v>
      </x:c>
      <x:c r="B943" t="str">
        <x:v>atsa poto</x:v>
      </x:c>
      <x:c r="C943" t="str">
        <x:v>f</x:v>
      </x:c>
      <x:c r="D943" t="str">
        <x:v>g14e08d1e-ab45-4ef9-a433-9440d0a84d46</x:v>
      </x:c>
      <x:c r="E943" t="str">
        <x:v>ged53cd67-98d9-40db-b7ce-ebf1b5ed1e6a</x:v>
      </x:c>
      <x:c r="F943" t="str">
        <x:v>https://www.webonary.org/marubo/ged53cd67-98d9-40db-b7ce-ebf1b5ed1e6a/</x:v>
      </x:c>
      <x:c r="G943" s="20" t="n">
        <x:v>46003.93485380787</x:v>
      </x:c>
    </x:row>
    <x:row r="944">
      <x:c r="A944" t="str">
        <x:v>fazer</x:v>
      </x:c>
      <x:c r="B944" t="str">
        <x:v>aká</x:v>
      </x:c>
      <x:c r="C944" t="str">
        <x:v>f</x:v>
      </x:c>
      <x:c r="D944" t="str">
        <x:v>g4fe082c3-4e82-453e-9319-890fea9abb5f</x:v>
      </x:c>
      <x:c r="E944" t="str">
        <x:v>g8b4c427c-1a70-4127-9a9c-1f176da21e86</x:v>
      </x:c>
      <x:c r="F944" t="str">
        <x:v>https://www.webonary.org/marubo/g8b4c427c-1a70-4127-9a9c-1f176da21e86/</x:v>
      </x:c>
      <x:c r="G944" s="20" t="n">
        <x:v>46003.93485380787</x:v>
      </x:c>
    </x:row>
    <x:row r="945">
      <x:c r="A945" t="str">
        <x:v>fazer</x:v>
      </x:c>
      <x:c r="B945" t="str">
        <x:v>3</x:v>
      </x:c>
      <x:c r="C945" t="str">
        <x:v>f</x:v>
      </x:c>
      <x:c r="D945" t="str">
        <x:v>g4fe082c3-4e82-453e-9319-890fea9abb5f</x:v>
      </x:c>
      <x:c r="E945" t="str">
        <x:v>g8b4c427c-1a70-4127-9a9c-1f176da21e86</x:v>
      </x:c>
      <x:c r="F945" t="str">
        <x:v>https://www.webonary.org/marubo/g8b4c427c-1a70-4127-9a9c-1f176da21e86/</x:v>
      </x:c>
      <x:c r="G945" s="20" t="n">
        <x:v>46003.93485380787</x:v>
      </x:c>
    </x:row>
    <x:row r="946">
      <x:c r="A946" t="str">
        <x:v>fazer</x:v>
      </x:c>
      <x:c r="B946" t="str">
        <x:v>aká</x:v>
      </x:c>
      <x:c r="C946" t="str">
        <x:v>f</x:v>
      </x:c>
      <x:c r="D946" t="str">
        <x:v>g4fe082c3-4e82-453e-9319-890fea9abb5f</x:v>
      </x:c>
      <x:c r="E946" t="str">
        <x:v>g8afba2aa-4fcf-4e47-b721-fb852ba7891b</x:v>
      </x:c>
      <x:c r="F946" t="str">
        <x:v>https://www.webonary.org/marubo/g8afba2aa-4fcf-4e47-b721-fb852ba7891b/</x:v>
      </x:c>
      <x:c r="G946" s="20" t="n">
        <x:v>46003.93485380787</x:v>
      </x:c>
    </x:row>
    <x:row r="947">
      <x:c r="A947" t="str">
        <x:v>fazer</x:v>
      </x:c>
      <x:c r="B947" t="str">
        <x:v>2</x:v>
      </x:c>
      <x:c r="C947" t="str">
        <x:v>f</x:v>
      </x:c>
      <x:c r="D947" t="str">
        <x:v>g4fe082c3-4e82-453e-9319-890fea9abb5f</x:v>
      </x:c>
      <x:c r="E947" t="str">
        <x:v>g8afba2aa-4fcf-4e47-b721-fb852ba7891b</x:v>
      </x:c>
      <x:c r="F947" t="str">
        <x:v>https://www.webonary.org/marubo/g8afba2aa-4fcf-4e47-b721-fb852ba7891b/</x:v>
      </x:c>
      <x:c r="G947" s="20" t="n">
        <x:v>46003.93485380787</x:v>
      </x:c>
    </x:row>
    <x:row r="948">
      <x:c r="A948" t="str">
        <x:v>fazer buraco</x:v>
      </x:c>
      <x:c r="B948" t="str">
        <x:v>oroa</x:v>
      </x:c>
      <x:c r="C948" t="str">
        <x:v>f</x:v>
      </x:c>
      <x:c r="D948" t="str">
        <x:v>g5cb0f5e8-148b-4612-8cca-4dbc614f48c2</x:v>
      </x:c>
      <x:c r="E948" t="str">
        <x:v>ge7d06478-36a2-44c3-b27e-e77b9f202662</x:v>
      </x:c>
      <x:c r="F948" t="str">
        <x:v>https://www.webonary.org/marubo/ge7d06478-36a2-44c3-b27e-e77b9f202662/</x:v>
      </x:c>
      <x:c r="G948" s="20" t="n">
        <x:v>46003.93485380787</x:v>
      </x:c>
    </x:row>
    <x:row r="949">
      <x:c r="A949" t="str">
        <x:v>fazer buraco com vara na plantação de milho</x:v>
      </x:c>
      <x:c r="B949" t="str">
        <x:v>txatxia</x:v>
      </x:c>
      <x:c r="C949" t="str">
        <x:v>f</x:v>
      </x:c>
      <x:c r="D949" t="str">
        <x:v>gc8d52d25-5a87-4cf2-84f9-dffbf3b6ea0c</x:v>
      </x:c>
      <x:c r="E949" t="str">
        <x:v>g39f88ccf-477f-4db1-9cc6-b03b507dedc3</x:v>
      </x:c>
      <x:c r="F949" t="str">
        <x:v>https://www.webonary.org/marubo/g39f88ccf-477f-4db1-9cc6-b03b507dedc3/</x:v>
      </x:c>
      <x:c r="G949" s="20" t="n">
        <x:v>46003.93485380787</x:v>
      </x:c>
    </x:row>
    <x:row r="950">
      <x:c r="A950" t="str">
        <x:v>fazer buraco no meio</x:v>
      </x:c>
      <x:c r="B950" t="str">
        <x:v>ota</x:v>
      </x:c>
      <x:c r="C950" t="str">
        <x:v>f</x:v>
      </x:c>
      <x:c r="D950" t="str">
        <x:v>g1e82f1b8-a6eb-4d1e-b2e0-fdd6ef72f82a</x:v>
      </x:c>
      <x:c r="E950" t="str">
        <x:v>gaaec6c73-c1ff-4e9b-ad32-fcc4162d9842</x:v>
      </x:c>
      <x:c r="F950" t="str">
        <x:v>https://www.webonary.org/marubo/gaaec6c73-c1ff-4e9b-ad32-fcc4162d9842/</x:v>
      </x:c>
      <x:c r="G950" s="20" t="n">
        <x:v>46003.934861747686</x:v>
      </x:c>
    </x:row>
    <x:row r="951">
      <x:c r="A951" t="str">
        <x:v>fazer cirurgia</x:v>
      </x:c>
      <x:c r="B951" t="str">
        <x:v>potéa</x:v>
      </x:c>
      <x:c r="C951" t="str">
        <x:v>f</x:v>
      </x:c>
      <x:c r="D951" t="str">
        <x:v>gb00aec02-9ec9-4621-97a0-45d40b124654</x:v>
      </x:c>
      <x:c r="E951" t="str">
        <x:v>g8884ff69-178a-4887-9d2c-032932961d11</x:v>
      </x:c>
      <x:c r="F951" t="str">
        <x:v>https://www.webonary.org/marubo/g8884ff69-178a-4887-9d2c-032932961d11/</x:v>
      </x:c>
      <x:c r="G951" s="20" t="n">
        <x:v>46003.934861747686</x:v>
      </x:c>
    </x:row>
    <x:row r="952">
      <x:c r="A952" t="str">
        <x:v>fazer coscas</x:v>
      </x:c>
      <x:c r="B952" t="str">
        <x:v>pichkĩa</x:v>
      </x:c>
      <x:c r="C952" t="str">
        <x:v>f</x:v>
      </x:c>
      <x:c r="D952" t="str">
        <x:v>g63dccab6-63a6-42a6-8c0d-ab7777ec032b</x:v>
      </x:c>
      <x:c r="E952" t="str">
        <x:v>gf88d761c-fe4e-4054-b2c5-ecf2bfd611f6</x:v>
      </x:c>
      <x:c r="F952" t="str">
        <x:v>https://www.webonary.org/marubo/gf88d761c-fe4e-4054-b2c5-ecf2bfd611f6/</x:v>
      </x:c>
      <x:c r="G952" s="20" t="n">
        <x:v>46003.934861747686</x:v>
      </x:c>
    </x:row>
    <x:row r="953">
      <x:c r="A953" t="str">
        <x:v>fazer escuro</x:v>
      </x:c>
      <x:c r="B953" t="str">
        <x:v>koro aká</x:v>
      </x:c>
      <x:c r="C953" t="str">
        <x:v>f</x:v>
      </x:c>
      <x:c r="D953" t="str">
        <x:v>g485ebadd-5202-487e-af3e-5bcce3d90e4c</x:v>
      </x:c>
      <x:c r="E953" t="str">
        <x:v>gdf02c114-5ca9-4996-8b6b-fbbaf8bdeec3</x:v>
      </x:c>
      <x:c r="F953" t="str">
        <x:v>https://www.webonary.org/marubo/gdf02c114-5ca9-4996-8b6b-fbbaf8bdeec3/</x:v>
      </x:c>
      <x:c r="G953" s="20" t="n">
        <x:v>46003.934861747686</x:v>
      </x:c>
    </x:row>
    <x:row r="954">
      <x:c r="A954" t="str">
        <x:v>fazer fogo</x:v>
      </x:c>
      <x:c r="B954" t="str">
        <x:v>txi rekẽ aká</x:v>
      </x:c>
      <x:c r="C954" t="str">
        <x:v>f</x:v>
      </x:c>
      <x:c r="D954" t="str">
        <x:v>gd6f48bc1-0ffa-4024-adcd-80b64191c040</x:v>
      </x:c>
      <x:c r="E954" t="str">
        <x:v>ged1e45ac-e8c0-4f5a-9e29-87704d858d97</x:v>
      </x:c>
      <x:c r="F954" t="str">
        <x:v>https://www.webonary.org/marubo/ged1e45ac-e8c0-4f5a-9e29-87704d858d97/</x:v>
      </x:c>
      <x:c r="G954" s="20" t="n">
        <x:v>46003.934861747686</x:v>
      </x:c>
    </x:row>
    <x:row r="955">
      <x:c r="A955" t="str">
        <x:v>fazer fogo com cipó</x:v>
      </x:c>
      <x:c r="B955" t="str">
        <x:v>chokia</x:v>
      </x:c>
      <x:c r="C955" t="str">
        <x:v>f</x:v>
      </x:c>
      <x:c r="D955" t="str">
        <x:v>g9e504d6f-eb80-4422-9b56-79cc363a1f88</x:v>
      </x:c>
      <x:c r="E955" t="str">
        <x:v>ga3763302-1838-483c-8233-07e85c9eb274</x:v>
      </x:c>
      <x:c r="F955" t="str">
        <x:v>https://www.webonary.org/marubo/ga3763302-1838-483c-8233-07e85c9eb274/</x:v>
      </x:c>
      <x:c r="G955" s="20" t="n">
        <x:v>46003.934861747686</x:v>
      </x:c>
    </x:row>
    <x:row r="956">
      <x:c r="A956" t="str">
        <x:v>fazer mais forte</x:v>
      </x:c>
      <x:c r="B956" t="str">
        <x:v>isĩ aká</x:v>
      </x:c>
      <x:c r="C956" t="str">
        <x:v>f</x:v>
      </x:c>
      <x:c r="D956" t="str">
        <x:v>g5159686e-758b-4de7-bf5f-c9d8d23c23b1</x:v>
      </x:c>
      <x:c r="E956" t="str">
        <x:v>g1a124880-7a98-4ca3-a645-de6525b5f3cb</x:v>
      </x:c>
      <x:c r="F956" t="str">
        <x:v>https://www.webonary.org/marubo/g1a124880-7a98-4ca3-a645-de6525b5f3cb/</x:v>
      </x:c>
      <x:c r="G956" s="20" t="n">
        <x:v>46003.934861747686</x:v>
      </x:c>
    </x:row>
    <x:row r="957">
      <x:c r="A957" t="str">
        <x:v>fazer mudança de distancia longa</x:v>
      </x:c>
      <x:c r="B957" t="str">
        <x:v>mae tekia</x:v>
      </x:c>
      <x:c r="C957" t="str">
        <x:v>f</x:v>
      </x:c>
      <x:c r="D957" t="str">
        <x:v>ged5912a3-0d15-4347-b382-bcaacdd7fe9e</x:v>
      </x:c>
      <x:c r="E957" t="str">
        <x:v>gc3a1d17d-bea6-4679-962d-5c69462a7b92</x:v>
      </x:c>
      <x:c r="F957" t="str">
        <x:v>https://www.webonary.org/marubo/gc3a1d17d-bea6-4679-962d-5c69462a7b92/</x:v>
      </x:c>
      <x:c r="G957" s="20" t="n">
        <x:v>46003.934861747686</x:v>
      </x:c>
    </x:row>
    <x:row r="958">
      <x:c r="A958" t="str">
        <x:v>fazer novo</x:v>
      </x:c>
      <x:c r="B958" t="str">
        <x:v>vená aká</x:v>
      </x:c>
      <x:c r="C958" t="str">
        <x:v>f</x:v>
      </x:c>
      <x:c r="D958" t="str">
        <x:v>gcc565089-68c2-427d-a888-f9ef66a2b254</x:v>
      </x:c>
      <x:c r="E958" t="str">
        <x:v>gd01f5b90-2684-4929-bcff-98e2d3c36f56</x:v>
      </x:c>
      <x:c r="F958" t="str">
        <x:v>https://www.webonary.org/marubo/gd01f5b90-2684-4929-bcff-98e2d3c36f56/</x:v>
      </x:c>
      <x:c r="G958" s="20" t="n">
        <x:v>46003.934861747686</x:v>
      </x:c>
    </x:row>
    <x:row r="959">
      <x:c r="A959" t="str">
        <x:v>fazer paralelo</x:v>
      </x:c>
      <x:c r="B959" t="str">
        <x:v>tsisá aká</x:v>
      </x:c>
      <x:c r="C959" t="str">
        <x:v>f</x:v>
      </x:c>
      <x:c r="D959" t="str">
        <x:v>g860f68ea-2654-4cd0-a6e1-a36dd89c207a</x:v>
      </x:c>
      <x:c r="E959" t="str">
        <x:v>gbdfc8c0f-80fd-42a9-9cec-0199f20f1d6f</x:v>
      </x:c>
      <x:c r="F959" t="str">
        <x:v>https://www.webonary.org/marubo/gbdfc8c0f-80fd-42a9-9cec-0199f20f1d6f/</x:v>
      </x:c>
      <x:c r="G959" s="20" t="n">
        <x:v>46003.934861747686</x:v>
      </x:c>
    </x:row>
    <x:row r="960">
      <x:c r="A960" t="str">
        <x:v>fazer uma incisão</x:v>
      </x:c>
      <x:c r="B960" t="str">
        <x:v>serea</x:v>
      </x:c>
      <x:c r="C960" t="str">
        <x:v>f</x:v>
      </x:c>
      <x:c r="D960" t="str">
        <x:v>g9d9d4b89-30db-415d-b30a-fb18fea11071</x:v>
      </x:c>
      <x:c r="E960" t="str">
        <x:v>gb950191f-3035-4607-8b61-cc9d189db7f2</x:v>
      </x:c>
      <x:c r="F960" t="str">
        <x:v>https://www.webonary.org/marubo/gb950191f-3035-4607-8b61-cc9d189db7f2/</x:v>
      </x:c>
      <x:c r="G960" s="20" t="n">
        <x:v>46003.934861747686</x:v>
      </x:c>
    </x:row>
    <x:row r="961">
      <x:c r="A961" t="str">
        <x:v>febre</x:v>
      </x:c>
      <x:c r="B961" t="str">
        <x:v>yoná</x:v>
      </x:c>
      <x:c r="C961" t="str">
        <x:v>f</x:v>
      </x:c>
      <x:c r="D961" t="str">
        <x:v>g4e2a0b47-154f-4f7a-9e8c-25f969cd521f</x:v>
      </x:c>
      <x:c r="E961" t="str">
        <x:v>ge13db638-0b34-4267-af80-f63a9a4abb57</x:v>
      </x:c>
      <x:c r="F961" t="str">
        <x:v>https://www.webonary.org/marubo/ge13db638-0b34-4267-af80-f63a9a4abb57/</x:v>
      </x:c>
      <x:c r="G961" s="20" t="n">
        <x:v>46003.934861747686</x:v>
      </x:c>
    </x:row>
    <x:row r="962">
      <x:c r="A962" t="str">
        <x:v>febre</x:v>
      </x:c>
      <x:c r="B962" t="str">
        <x:v>1</x:v>
      </x:c>
      <x:c r="C962" t="str">
        <x:v>f</x:v>
      </x:c>
      <x:c r="D962" t="str">
        <x:v>g4e2a0b47-154f-4f7a-9e8c-25f969cd521f</x:v>
      </x:c>
      <x:c r="E962" t="str">
        <x:v>ge13db638-0b34-4267-af80-f63a9a4abb57</x:v>
      </x:c>
      <x:c r="F962" t="str">
        <x:v>https://www.webonary.org/marubo/ge13db638-0b34-4267-af80-f63a9a4abb57/</x:v>
      </x:c>
      <x:c r="G962" s="20" t="n">
        <x:v>46003.934861747686</x:v>
      </x:c>
    </x:row>
    <x:row r="963">
      <x:c r="A963" t="str">
        <x:v>fechando os olhos quando sentir azedo</x:v>
      </x:c>
      <x:c r="B963" t="str">
        <x:v>vetxo</x:v>
      </x:c>
      <x:c r="C963" t="str">
        <x:v>f</x:v>
      </x:c>
      <x:c r="D963" t="str">
        <x:v>ga220ba9b-79f8-4da9-a9a1-4d017aec727a</x:v>
      </x:c>
      <x:c r="E963" t="str">
        <x:v>g41ab6700-c099-4247-b405-46d21c4a474a</x:v>
      </x:c>
      <x:c r="F963" t="str">
        <x:v>https://www.webonary.org/marubo/g41ab6700-c099-4247-b405-46d21c4a474a/</x:v>
      </x:c>
      <x:c r="G963" s="20" t="n">
        <x:v>46003.934861747686</x:v>
      </x:c>
    </x:row>
    <x:row r="964">
      <x:c r="A964" t="str">
        <x:v>fechando os olhos quando sentir azedo</x:v>
      </x:c>
      <x:c r="B964" t="str">
        <x:v>1</x:v>
      </x:c>
      <x:c r="C964" t="str">
        <x:v>f</x:v>
      </x:c>
      <x:c r="D964" t="str">
        <x:v>ga220ba9b-79f8-4da9-a9a1-4d017aec727a</x:v>
      </x:c>
      <x:c r="E964" t="str">
        <x:v>g41ab6700-c099-4247-b405-46d21c4a474a</x:v>
      </x:c>
      <x:c r="F964" t="str">
        <x:v>https://www.webonary.org/marubo/g41ab6700-c099-4247-b405-46d21c4a474a/</x:v>
      </x:c>
      <x:c r="G964" s="20" t="n">
        <x:v>46003.934861747686</x:v>
      </x:c>
    </x:row>
    <x:row r="965">
      <x:c r="A965" t="str">
        <x:v>fechar</x:v>
      </x:c>
      <x:c r="B965" t="str">
        <x:v>kepoa</x:v>
      </x:c>
      <x:c r="C965" t="str">
        <x:v>f</x:v>
      </x:c>
      <x:c r="D965" t="str">
        <x:v>gb4707910-9c34-43ee-8132-760317597b8d</x:v>
      </x:c>
      <x:c r="E965" t="str">
        <x:v>gc5cc3359-e095-4584-95f9-d289015bc6bf</x:v>
      </x:c>
      <x:c r="F965" t="str">
        <x:v>https://www.webonary.org/marubo/gc5cc3359-e095-4584-95f9-d289015bc6bf/</x:v>
      </x:c>
      <x:c r="G965" s="20" t="n">
        <x:v>46003.934861747686</x:v>
      </x:c>
    </x:row>
    <x:row r="966">
      <x:c r="A966" t="str">
        <x:v>fedido/a</x:v>
      </x:c>
      <x:c r="B966" t="str">
        <x:v>pisika</x:v>
      </x:c>
      <x:c r="C966" t="str">
        <x:v>f</x:v>
      </x:c>
      <x:c r="D966" t="str">
        <x:v>gd4487c9f-e7d4-4f91-9c1f-2993dad68998</x:v>
      </x:c>
      <x:c r="E966" t="str">
        <x:v>g51b1db9c-e883-494d-b43c-d4e170a95f79</x:v>
      </x:c>
      <x:c r="F966" t="str">
        <x:v>https://www.webonary.org/marubo/g51b1db9c-e883-494d-b43c-d4e170a95f79/</x:v>
      </x:c>
      <x:c r="G966" s="20" t="n">
        <x:v>46003.934861747686</x:v>
      </x:c>
    </x:row>
    <x:row r="967">
      <x:c r="A967" t="str">
        <x:v>fedor de humano</x:v>
      </x:c>
      <x:c r="B967" t="str">
        <x:v>kõpíska</x:v>
      </x:c>
      <x:c r="C967" t="str">
        <x:v>f</x:v>
      </x:c>
      <x:c r="D967" t="str">
        <x:v>g393bf35b-19bb-4b7c-bb00-0fc7af061b83</x:v>
      </x:c>
      <x:c r="E967" t="str">
        <x:v>gf3ebfc20-92bd-4033-885a-def97504932c</x:v>
      </x:c>
      <x:c r="F967" t="str">
        <x:v>https://www.webonary.org/marubo/gf3ebfc20-92bd-4033-885a-def97504932c/</x:v>
      </x:c>
      <x:c r="G967" s="20" t="n">
        <x:v>46003.934861747686</x:v>
      </x:c>
    </x:row>
    <x:row r="968">
      <x:c r="A968" t="str">
        <x:v>feijão</x:v>
      </x:c>
      <x:c r="B968" t="str">
        <x:v>poróti</x:v>
      </x:c>
      <x:c r="C968" t="str">
        <x:v>f</x:v>
      </x:c>
      <x:c r="D968" t="str">
        <x:v>gf98ad3f8-f8bb-418b-a0e4-4a045af24510</x:v>
      </x:c>
      <x:c r="E968" t="str">
        <x:v>g0d1d3a98-cb6c-4b02-a493-0490f292412d</x:v>
      </x:c>
      <x:c r="F968" t="str">
        <x:v>https://www.webonary.org/marubo/g0d1d3a98-cb6c-4b02-a493-0490f292412d/</x:v>
      </x:c>
      <x:c r="G968" s="20" t="n">
        <x:v>46003.934861747686</x:v>
      </x:c>
    </x:row>
    <x:row r="969">
      <x:c r="A969" t="str">
        <x:v>ferida</x:v>
      </x:c>
      <x:c r="B969" t="str">
        <x:v>txewe</x:v>
      </x:c>
      <x:c r="C969" t="str">
        <x:v>f</x:v>
      </x:c>
      <x:c r="D969" t="str">
        <x:v>g305ef2cb-ebe0-42b8-8928-f651e5350f1a</x:v>
      </x:c>
      <x:c r="E969" t="str">
        <x:v>gd91617c2-9737-42dd-b27b-c1407c1bedc7</x:v>
      </x:c>
      <x:c r="F969" t="str">
        <x:v>https://www.webonary.org/marubo/gd91617c2-9737-42dd-b27b-c1407c1bedc7/</x:v>
      </x:c>
      <x:c r="G969" s="20" t="n">
        <x:v>46003.934861747686</x:v>
      </x:c>
    </x:row>
    <x:row r="970">
      <x:c r="A970" t="str">
        <x:v>ferida</x:v>
      </x:c>
      <x:c r="B970" t="str">
        <x:v>tsewe</x:v>
      </x:c>
      <x:c r="C970" t="str">
        <x:v>f</x:v>
      </x:c>
      <x:c r="D970" t="str">
        <x:v>g305ef2cb-ebe0-42b8-8928-f651e5350f1a</x:v>
      </x:c>
      <x:c r="E970" t="str">
        <x:v>g569126a5-42a6-43c6-8c61-c6fc09d9e272</x:v>
      </x:c>
      <x:c r="F970" t="str">
        <x:v>https://www.webonary.org/marubo/g569126a5-42a6-43c6-8c61-c6fc09d9e272/</x:v>
      </x:c>
      <x:c r="G970" s="20" t="n">
        <x:v>46003.934861747686</x:v>
      </x:c>
    </x:row>
    <x:row r="971">
      <x:c r="A971" t="str">
        <x:v>ferida no pé</x:v>
      </x:c>
      <x:c r="B971" t="str">
        <x:v>oste</x:v>
      </x:c>
      <x:c r="C971" t="str">
        <x:v>f</x:v>
      </x:c>
      <x:c r="D971" t="str">
        <x:v>gdc8ebc0a-0e7b-4b9e-b4b8-ec3c468d9933</x:v>
      </x:c>
      <x:c r="E971" t="str">
        <x:v>gb0370655-02eb-4148-ae02-074977315086</x:v>
      </x:c>
      <x:c r="F971" t="str">
        <x:v>https://www.webonary.org/marubo/gb0370655-02eb-4148-ae02-074977315086/</x:v>
      </x:c>
      <x:c r="G971" s="20" t="n">
        <x:v>46003.934861747686</x:v>
      </x:c>
    </x:row>
    <x:row r="972">
      <x:c r="A972" t="str">
        <x:v>ferida pronto para sarar</x:v>
      </x:c>
      <x:c r="B972" t="str">
        <x:v>vetã ikí</x:v>
      </x:c>
      <x:c r="C972" t="str">
        <x:v>f</x:v>
      </x:c>
      <x:c r="D972" t="str">
        <x:v>g3c433241-4581-4d85-983a-de233c45842a</x:v>
      </x:c>
      <x:c r="E972" t="str">
        <x:v>g98f84fd8-6aa0-487c-8fa7-5835f27e27e4</x:v>
      </x:c>
      <x:c r="F972" t="str">
        <x:v>https://www.webonary.org/marubo/g98f84fd8-6aa0-487c-8fa7-5835f27e27e4/</x:v>
      </x:c>
      <x:c r="G972" s="20" t="n">
        <x:v>46003.934861747686</x:v>
      </x:c>
    </x:row>
    <x:row r="973">
      <x:c r="A973" t="str">
        <x:v>feridas na boca</x:v>
      </x:c>
      <x:c r="B973" t="str">
        <x:v>vinã piá</x:v>
      </x:c>
      <x:c r="C973" t="str">
        <x:v>f</x:v>
      </x:c>
      <x:c r="D973" t="str">
        <x:v>ge6b11484-fdd7-4ab5-9057-889ea8a0c403</x:v>
      </x:c>
      <x:c r="E973" t="str">
        <x:v>g2e578572-2d32-4c57-a519-d8d3126cf549</x:v>
      </x:c>
      <x:c r="F973" t="str">
        <x:v>https://www.webonary.org/marubo/g2e578572-2d32-4c57-a519-d8d3126cf549/</x:v>
      </x:c>
      <x:c r="G973" s="20" t="n">
        <x:v>46003.934861747686</x:v>
      </x:c>
    </x:row>
    <x:row r="974">
      <x:c r="A974" t="str">
        <x:v>ferir</x:v>
      </x:c>
      <x:c r="B974" t="str">
        <x:v>tsewéa</x:v>
      </x:c>
      <x:c r="C974" t="str">
        <x:v>f</x:v>
      </x:c>
      <x:c r="D974" t="str">
        <x:v>gd8e9da8d-cd27-47bb-a102-6f160a87bfc5</x:v>
      </x:c>
      <x:c r="E974" t="str">
        <x:v>gb1e7be3c-e59f-4816-8cf6-dbd247aa66b8</x:v>
      </x:c>
      <x:c r="F974" t="str">
        <x:v>https://www.webonary.org/marubo/gb1e7be3c-e59f-4816-8cf6-dbd247aa66b8/</x:v>
      </x:c>
      <x:c r="G974" s="20" t="n">
        <x:v>46003.934861747686</x:v>
      </x:c>
    </x:row>
    <x:row r="975">
      <x:c r="A975" t="str">
        <x:v>ferrão</x:v>
      </x:c>
      <x:c r="B975" t="str">
        <x:v>nichpí</x:v>
      </x:c>
      <x:c r="C975" t="str">
        <x:v>f</x:v>
      </x:c>
      <x:c r="D975" t="str">
        <x:v>gb260e0c3-443c-4dc8-8fb9-b0b096982193</x:v>
      </x:c>
      <x:c r="E975" t="str">
        <x:v>g02aca545-0c22-4b33-ba59-1fa2587f6bb4</x:v>
      </x:c>
      <x:c r="F975" t="str">
        <x:v>https://www.webonary.org/marubo/g02aca545-0c22-4b33-ba59-1fa2587f6bb4/</x:v>
      </x:c>
      <x:c r="G975" s="20" t="n">
        <x:v>46003.934861747686</x:v>
      </x:c>
    </x:row>
    <x:row r="976">
      <x:c r="A976" t="str">
        <x:v>ferver</x:v>
      </x:c>
      <x:c r="B976" t="str">
        <x:v>toko ikí</x:v>
      </x:c>
      <x:c r="C976" t="str">
        <x:v>f</x:v>
      </x:c>
      <x:c r="D976" t="str">
        <x:v>gd7d080cb-23bf-42cc-a80d-de7b6b989d1a</x:v>
      </x:c>
      <x:c r="E976" t="str">
        <x:v>g941c2f2d-d4da-415e-bbea-34c5c78e55dc</x:v>
      </x:c>
      <x:c r="F976" t="str">
        <x:v>https://www.webonary.org/marubo/g941c2f2d-d4da-415e-bbea-34c5c78e55dc/</x:v>
      </x:c>
      <x:c r="G976" s="20" t="n">
        <x:v>46003.934861747686</x:v>
      </x:c>
    </x:row>
    <x:row r="977">
      <x:c r="A977" t="str">
        <x:v>ferver</x:v>
      </x:c>
      <x:c r="B977" t="str">
        <x:v>vori ikí</x:v>
      </x:c>
      <x:c r="C977" t="str">
        <x:v>f</x:v>
      </x:c>
      <x:c r="D977" t="str">
        <x:v>gd7d080cb-23bf-42cc-a80d-de7b6b989d1a</x:v>
      </x:c>
      <x:c r="E977" t="str">
        <x:v>gabfead92-dff9-43b8-8e0f-272d4e17924a</x:v>
      </x:c>
      <x:c r="F977" t="str">
        <x:v>https://www.webonary.org/marubo/gabfead92-dff9-43b8-8e0f-272d4e17924a/</x:v>
      </x:c>
      <x:c r="G977" s="20" t="n">
        <x:v>46003.934861747686</x:v>
      </x:c>
    </x:row>
    <x:row r="978">
      <x:c r="A978" t="str">
        <x:v>festa</x:v>
      </x:c>
      <x:c r="B978" t="str">
        <x:v>sai ikí</x:v>
      </x:c>
      <x:c r="C978" t="str">
        <x:v>f</x:v>
      </x:c>
      <x:c r="D978" t="str">
        <x:v>g60858dd9-c654-4fd8-a7fc-ffd2006f85fa</x:v>
      </x:c>
      <x:c r="E978" t="str">
        <x:v>g7d8d39ee-147d-453c-afce-358be25f44ce</x:v>
      </x:c>
      <x:c r="F978" t="str">
        <x:v>https://www.webonary.org/marubo/g7d8d39ee-147d-453c-afce-358be25f44ce/</x:v>
      </x:c>
      <x:c r="G978" s="20" t="n">
        <x:v>46003.934861747686</x:v>
      </x:c>
    </x:row>
    <x:row r="979">
      <x:c r="A979" t="str">
        <x:v>feto</x:v>
      </x:c>
      <x:c r="B979" t="str">
        <x:v>ovẽ</x:v>
      </x:c>
      <x:c r="C979" t="str">
        <x:v>f</x:v>
      </x:c>
      <x:c r="D979" t="str">
        <x:v>geaf36ee4-90b2-4d12-8f68-05bd59d9b8a9</x:v>
      </x:c>
      <x:c r="E979" t="str">
        <x:v>gb2846753-2bd6-4308-9f6a-9b0c9c68a249</x:v>
      </x:c>
      <x:c r="F979" t="str">
        <x:v>https://www.webonary.org/marubo/gb2846753-2bd6-4308-9f6a-9b0c9c68a249/</x:v>
      </x:c>
      <x:c r="G979" s="20" t="n">
        <x:v>46003.934861747686</x:v>
      </x:c>
    </x:row>
    <x:row r="980">
      <x:c r="A980" t="str">
        <x:v>fezes</x:v>
      </x:c>
      <x:c r="B980" t="str">
        <x:v>poi</x:v>
      </x:c>
      <x:c r="C980" t="str">
        <x:v>f</x:v>
      </x:c>
      <x:c r="D980" t="str">
        <x:v>g2e3dedc6-7d59-48d9-bce6-2c2234124d6c</x:v>
      </x:c>
      <x:c r="E980" t="str">
        <x:v>gbdb40d19-ff32-468f-97f1-5e07297514fc</x:v>
      </x:c>
      <x:c r="F980" t="str">
        <x:v>https://www.webonary.org/marubo/gbdb40d19-ff32-468f-97f1-5e07297514fc/</x:v>
      </x:c>
      <x:c r="G980" s="20" t="n">
        <x:v>46003.934861747686</x:v>
      </x:c>
    </x:row>
    <x:row r="981">
      <x:c r="A981" t="str">
        <x:v>fibroso</x:v>
      </x:c>
      <x:c r="B981" t="str">
        <x:v>opoka</x:v>
      </x:c>
      <x:c r="C981" t="str">
        <x:v>f</x:v>
      </x:c>
      <x:c r="D981" t="str">
        <x:v>geb9a802e-4f61-4980-b643-b3233de8c560</x:v>
      </x:c>
      <x:c r="E981" t="str">
        <x:v>gfa7fd91c-eab1-46ae-9928-94724bf66db1</x:v>
      </x:c>
      <x:c r="F981" t="str">
        <x:v>https://www.webonary.org/marubo/gfa7fd91c-eab1-46ae-9928-94724bf66db1/</x:v>
      </x:c>
      <x:c r="G981" s="20" t="n">
        <x:v>46003.934861747686</x:v>
      </x:c>
    </x:row>
    <x:row r="982">
      <x:c r="A982" t="str">
        <x:v>ficar cansado (out of breath) e o esturro de sucuri</x:v>
      </x:c>
      <x:c r="B982" t="str">
        <x:v>pinía</x:v>
      </x:c>
      <x:c r="C982" t="str">
        <x:v>f</x:v>
      </x:c>
      <x:c r="D982" t="str">
        <x:v>g7b416d87-aae0-4856-b555-1d2267ef6469</x:v>
      </x:c>
      <x:c r="E982" t="str">
        <x:v>g5f4d2884-5a1e-4b93-b208-0f25a1200b61</x:v>
      </x:c>
      <x:c r="F982" t="str">
        <x:v>https://www.webonary.org/marubo/g5f4d2884-5a1e-4b93-b208-0f25a1200b61/</x:v>
      </x:c>
      <x:c r="G982" s="20" t="n">
        <x:v>46003.934861747686</x:v>
      </x:c>
    </x:row>
    <x:row r="983">
      <x:c r="A983" t="str">
        <x:v>ficar cansado no corpo inteiro</x:v>
      </x:c>
      <x:c r="B983" t="str">
        <x:v>osh ikí</x:v>
      </x:c>
      <x:c r="C983" t="str">
        <x:v>f</x:v>
      </x:c>
      <x:c r="D983" t="str">
        <x:v>gb654c733-8a3b-4a30-8a86-e4f3d40ef77c</x:v>
      </x:c>
      <x:c r="E983" t="str">
        <x:v>g1fc5311a-1361-453f-a103-c89079f30df5</x:v>
      </x:c>
      <x:c r="F983" t="str">
        <x:v>https://www.webonary.org/marubo/g1fc5311a-1361-453f-a103-c89079f30df5/</x:v>
      </x:c>
      <x:c r="G983" s="20" t="n">
        <x:v>46003.934861747686</x:v>
      </x:c>
    </x:row>
    <x:row r="984">
      <x:c r="A984" t="str">
        <x:v>ficar com buraco</x:v>
      </x:c>
      <x:c r="B984" t="str">
        <x:v>oróa</x:v>
      </x:c>
      <x:c r="C984" t="str">
        <x:v>f</x:v>
      </x:c>
      <x:c r="D984" t="str">
        <x:v>ga36807da-adcc-4c31-af7b-d151f0939869</x:v>
      </x:c>
      <x:c r="E984" t="str">
        <x:v>ga47c29db-36f5-4ac9-8b01-eb46b1cde7f3</x:v>
      </x:c>
      <x:c r="F984" t="str">
        <x:v>https://www.webonary.org/marubo/ga47c29db-36f5-4ac9-8b01-eb46b1cde7f3/</x:v>
      </x:c>
      <x:c r="G984" s="20" t="n">
        <x:v>46003.934861747686</x:v>
      </x:c>
    </x:row>
    <x:row r="985">
      <x:c r="A985" t="str">
        <x:v>ficar com buraco</x:v>
      </x:c>
      <x:c r="B985" t="str">
        <x:v>2</x:v>
      </x:c>
      <x:c r="C985" t="str">
        <x:v>f</x:v>
      </x:c>
      <x:c r="D985" t="str">
        <x:v>ga36807da-adcc-4c31-af7b-d151f0939869</x:v>
      </x:c>
      <x:c r="E985" t="str">
        <x:v>ga47c29db-36f5-4ac9-8b01-eb46b1cde7f3</x:v>
      </x:c>
      <x:c r="F985" t="str">
        <x:v>https://www.webonary.org/marubo/ga47c29db-36f5-4ac9-8b01-eb46b1cde7f3/</x:v>
      </x:c>
      <x:c r="G985" s="20" t="n">
        <x:v>46003.934861747686</x:v>
      </x:c>
    </x:row>
    <x:row r="986">
      <x:c r="A986" t="str">
        <x:v>ficar com listrado</x:v>
      </x:c>
      <x:c r="B986" t="str">
        <x:v>oshtõa</x:v>
      </x:c>
      <x:c r="C986" t="str">
        <x:v>f</x:v>
      </x:c>
      <x:c r="D986" t="str">
        <x:v>g03d23554-85c7-43b2-b0e8-fc1b76ed79fa</x:v>
      </x:c>
      <x:c r="E986" t="str">
        <x:v>g3dd83b28-66dd-4f26-af3f-5e2795100f7d</x:v>
      </x:c>
      <x:c r="F986" t="str">
        <x:v>https://www.webonary.org/marubo/g3dd83b28-66dd-4f26-af3f-5e2795100f7d/</x:v>
      </x:c>
      <x:c r="G986" s="20" t="n">
        <x:v>46003.934861747686</x:v>
      </x:c>
    </x:row>
    <x:row r="987">
      <x:c r="A987" t="str">
        <x:v>ficar com raiva</x:v>
      </x:c>
      <x:c r="B987" t="str">
        <x:v>orã ikí</x:v>
      </x:c>
      <x:c r="C987" t="str">
        <x:v>f</x:v>
      </x:c>
      <x:c r="D987" t="str">
        <x:v>g2d307e22-a4a7-4e2e-8d0f-513b47dc7bac</x:v>
      </x:c>
      <x:c r="E987" t="str">
        <x:v>g54ee7856-ba73-4778-9569-4e6702885dbc</x:v>
      </x:c>
      <x:c r="F987" t="str">
        <x:v>https://www.webonary.org/marubo/g54ee7856-ba73-4778-9569-4e6702885dbc/</x:v>
      </x:c>
      <x:c r="G987" s="20" t="n">
        <x:v>46003.934861747686</x:v>
      </x:c>
    </x:row>
    <x:row r="988">
      <x:c r="A988" t="str">
        <x:v>ficar com raiva</x:v>
      </x:c>
      <x:c r="B988" t="str">
        <x:v>omísa</x:v>
      </x:c>
      <x:c r="C988" t="str">
        <x:v>f</x:v>
      </x:c>
      <x:c r="D988" t="str">
        <x:v>g2d307e22-a4a7-4e2e-8d0f-513b47dc7bac</x:v>
      </x:c>
      <x:c r="E988" t="str">
        <x:v>gbe8bc7c6-8c39-469d-b704-e2f7f70a8e5b</x:v>
      </x:c>
      <x:c r="F988" t="str">
        <x:v>https://www.webonary.org/marubo/gbe8bc7c6-8c39-469d-b704-e2f7f70a8e5b/</x:v>
      </x:c>
      <x:c r="G988" s="20" t="n">
        <x:v>46003.934861747686</x:v>
      </x:c>
    </x:row>
    <x:row r="989">
      <x:c r="A989" t="str">
        <x:v>ficar de pé</x:v>
      </x:c>
      <x:c r="B989" t="str">
        <x:v>weni iná</x:v>
      </x:c>
      <x:c r="C989" t="str">
        <x:v>f</x:v>
      </x:c>
      <x:c r="D989" t="str">
        <x:v>ge779cc9c-4b24-4fdc-a9ec-68cabd156b80</x:v>
      </x:c>
      <x:c r="E989" t="str">
        <x:v>g01591bb4-9a4d-44ae-b512-8b4d355200fd</x:v>
      </x:c>
      <x:c r="F989" t="str">
        <x:v>https://www.webonary.org/marubo/g01591bb4-9a4d-44ae-b512-8b4d355200fd/</x:v>
      </x:c>
      <x:c r="G989" s="20" t="n">
        <x:v>46003.934861747686</x:v>
      </x:c>
    </x:row>
    <x:row r="990">
      <x:c r="A990" t="str">
        <x:v>ficar desesperado</x:v>
      </x:c>
      <x:c r="B990" t="str">
        <x:v>naia</x:v>
      </x:c>
      <x:c r="C990" t="str">
        <x:v>f</x:v>
      </x:c>
      <x:c r="D990" t="str">
        <x:v>gbe5a3d51-9bfd-4156-bb6d-dd1afca98da2</x:v>
      </x:c>
      <x:c r="E990" t="str">
        <x:v>gfc38cc26-2d4e-45a2-b277-ac70ab01693f</x:v>
      </x:c>
      <x:c r="F990" t="str">
        <x:v>https://www.webonary.org/marubo/gfc38cc26-2d4e-45a2-b277-ac70ab01693f/</x:v>
      </x:c>
      <x:c r="G990" s="20" t="n">
        <x:v>46003.934861747686</x:v>
      </x:c>
    </x:row>
    <x:row r="991">
      <x:c r="A991" t="str">
        <x:v>ficar gripado</x:v>
      </x:c>
      <x:c r="B991" t="str">
        <x:v>shanã iki</x:v>
      </x:c>
      <x:c r="C991" t="str">
        <x:v>f</x:v>
      </x:c>
      <x:c r="D991" t="str">
        <x:v>g3224f30e-0905-454d-a341-1a456caed4ef</x:v>
      </x:c>
      <x:c r="E991" t="str">
        <x:v>g6851b3b4-0c6e-488b-8259-67e6067cf4ac</x:v>
      </x:c>
      <x:c r="F991" t="str">
        <x:v>https://www.webonary.org/marubo/g6851b3b4-0c6e-488b-8259-67e6067cf4ac/</x:v>
      </x:c>
      <x:c r="G991" s="20" t="n">
        <x:v>46003.934861747686</x:v>
      </x:c>
    </x:row>
    <x:row r="992">
      <x:c r="A992" t="str">
        <x:v>ficar maduro</x:v>
      </x:c>
      <x:c r="B992" t="str">
        <x:v>õchĩa</x:v>
      </x:c>
      <x:c r="C992" t="str">
        <x:v>f</x:v>
      </x:c>
      <x:c r="D992" t="str">
        <x:v>gfe692c26-e664-4f87-b5c9-f1fd2e5e0994</x:v>
      </x:c>
      <x:c r="E992" t="str">
        <x:v>gee9a1747-6170-468f-a510-20f85a5fadae</x:v>
      </x:c>
      <x:c r="F992" t="str">
        <x:v>https://www.webonary.org/marubo/gee9a1747-6170-468f-a510-20f85a5fadae/</x:v>
      </x:c>
      <x:c r="G992" s="20" t="n">
        <x:v>46003.934861747686</x:v>
      </x:c>
    </x:row>
    <x:row r="993">
      <x:c r="A993" t="str">
        <x:v>ficar magro</x:v>
      </x:c>
      <x:c r="B993" t="str">
        <x:v>txooa</x:v>
      </x:c>
      <x:c r="C993" t="str">
        <x:v>f</x:v>
      </x:c>
      <x:c r="D993" t="str">
        <x:v>g2d8d5fb6-84ea-4672-8155-0fd7d660a5a0</x:v>
      </x:c>
      <x:c r="E993" t="str">
        <x:v>g2e00697f-e563-4f0c-87f5-108a2c5e8e4c</x:v>
      </x:c>
      <x:c r="F993" t="str">
        <x:v>https://www.webonary.org/marubo/g2e00697f-e563-4f0c-87f5-108a2c5e8e4c/</x:v>
      </x:c>
      <x:c r="G993" s="20" t="n">
        <x:v>46003.934861747686</x:v>
      </x:c>
    </x:row>
    <x:row r="994">
      <x:c r="A994" t="str">
        <x:v>ficar suspenso (macaco que fica enganchado) quando árvore fica suspenso</x:v>
      </x:c>
      <x:c r="B994" t="str">
        <x:v>poéa</x:v>
      </x:c>
      <x:c r="C994" t="str">
        <x:v>f</x:v>
      </x:c>
      <x:c r="D994" t="str">
        <x:v>g7facef07-4c24-4825-a6b9-d63f7c88cdbf</x:v>
      </x:c>
      <x:c r="E994" t="str">
        <x:v>g0f8b7ded-8c08-4d73-a6e3-be25019f1315</x:v>
      </x:c>
      <x:c r="F994" t="str">
        <x:v>https://www.webonary.org/marubo/g0f8b7ded-8c08-4d73-a6e3-be25019f1315/</x:v>
      </x:c>
      <x:c r="G994" s="20" t="n">
        <x:v>46003.934861747686</x:v>
      </x:c>
    </x:row>
    <x:row r="995">
      <x:c r="A995" t="str">
        <x:v>ficar tonto</x:v>
      </x:c>
      <x:c r="B995" t="str">
        <x:v>vesĩktã ikí</x:v>
      </x:c>
      <x:c r="C995" t="str">
        <x:v>f</x:v>
      </x:c>
      <x:c r="D995" t="str">
        <x:v>gda94f07c-ba0c-41b4-a1d8-610981a373c2</x:v>
      </x:c>
      <x:c r="E995" t="str">
        <x:v>g97df48a0-6bac-458b-b880-a77428fc258c</x:v>
      </x:c>
      <x:c r="F995" t="str">
        <x:v>https://www.webonary.org/marubo/g97df48a0-6bac-458b-b880-a77428fc258c/</x:v>
      </x:c>
      <x:c r="G995" s="20" t="n">
        <x:v>46003.934861747686</x:v>
      </x:c>
    </x:row>
    <x:row r="996">
      <x:c r="A996" t="str">
        <x:v>ficar triste</x:v>
      </x:c>
      <x:c r="B996" t="str">
        <x:v>onísa</x:v>
      </x:c>
      <x:c r="C996" t="str">
        <x:v>f</x:v>
      </x:c>
      <x:c r="D996" t="str">
        <x:v>gf211291b-8552-4fe3-933b-59e6a6408b80</x:v>
      </x:c>
      <x:c r="E996" t="str">
        <x:v>g3d6e75a7-6121-49d1-984a-3b1981508889</x:v>
      </x:c>
      <x:c r="F996" t="str">
        <x:v>https://www.webonary.org/marubo/g3d6e75a7-6121-49d1-984a-3b1981508889/</x:v>
      </x:c>
      <x:c r="G996" s="20" t="n">
        <x:v>46003.934861747686</x:v>
      </x:c>
    </x:row>
    <x:row r="997">
      <x:c r="A997" t="str">
        <x:v>ficou velho</x:v>
      </x:c>
      <x:c r="B997" t="str">
        <x:v>siwáá</x:v>
      </x:c>
      <x:c r="C997" t="str">
        <x:v>f</x:v>
      </x:c>
      <x:c r="D997" t="str">
        <x:v>g5607bcfe-66c2-4c27-8f3e-e335101d5e65</x:v>
      </x:c>
      <x:c r="E997" t="str">
        <x:v>gbe037e71-ec93-460d-81bb-73c07ffb1258</x:v>
      </x:c>
      <x:c r="F997" t="str">
        <x:v>https://www.webonary.org/marubo/gbe037e71-ec93-460d-81bb-73c07ffb1258/</x:v>
      </x:c>
      <x:c r="G997" s="20" t="n">
        <x:v>46003.934861747686</x:v>
      </x:c>
    </x:row>
    <x:row r="998">
      <x:c r="A998" t="str">
        <x:v>fígado</x:v>
      </x:c>
      <x:c r="B998" t="str">
        <x:v>taka</x:v>
      </x:c>
      <x:c r="C998" t="str">
        <x:v>f</x:v>
      </x:c>
      <x:c r="D998" t="str">
        <x:v>g5d5833b7-90ba-4173-9d5d-4964a4b45b03</x:v>
      </x:c>
      <x:c r="E998" t="str">
        <x:v>ge8cdf9dc-e8c4-49d5-905a-8a24afe1b27f</x:v>
      </x:c>
      <x:c r="F998" t="str">
        <x:v>https://www.webonary.org/marubo/ge8cdf9dc-e8c4-49d5-905a-8a24afe1b27f/</x:v>
      </x:c>
      <x:c r="G998" s="20" t="n">
        <x:v>46003.934861747686</x:v>
      </x:c>
    </x:row>
    <x:row r="999">
      <x:c r="A999" t="str">
        <x:v>filho da irmã</x:v>
      </x:c>
      <x:c r="B999" t="str">
        <x:v>shavõ toá</x:v>
      </x:c>
      <x:c r="C999" t="str">
        <x:v>f</x:v>
      </x:c>
      <x:c r="D999" t="str">
        <x:v>g4c47e480-04ad-4e5f-adaa-8c2360ba139e</x:v>
      </x:c>
      <x:c r="E999" t="str">
        <x:v>g935ccdee-0dde-4b8f-8996-4d1a10529061</x:v>
      </x:c>
      <x:c r="F999" t="str">
        <x:v>https://www.webonary.org/marubo/g935ccdee-0dde-4b8f-8996-4d1a10529061/</x:v>
      </x:c>
      <x:c r="G999" s="20" t="n">
        <x:v>46003.934861747686</x:v>
      </x:c>
    </x:row>
    <x:row r="1000">
      <x:c r="A1000" t="str">
        <x:v>fino</x:v>
      </x:c>
      <x:c r="B1000" t="str">
        <x:v>tsãpaka</x:v>
      </x:c>
      <x:c r="C1000" t="str">
        <x:v>f</x:v>
      </x:c>
      <x:c r="D1000" t="str">
        <x:v>gb6c97ced-9402-44ef-ab19-d25bb0fbee34</x:v>
      </x:c>
      <x:c r="E1000" t="str">
        <x:v>ga0844953-c8b4-4167-94b0-9f8b1bcfab89</x:v>
      </x:c>
      <x:c r="F1000" t="str">
        <x:v>https://www.webonary.org/marubo/ga0844953-c8b4-4167-94b0-9f8b1bcfab89/</x:v>
      </x:c>
      <x:c r="G1000" s="20" t="n">
        <x:v>46003.934861747686</x:v>
      </x:c>
    </x:row>
    <x:row r="1001">
      <x:c r="A1001" t="str">
        <x:v>fino</x:v>
      </x:c>
      <x:c r="B1001" t="str">
        <x:v>2</x:v>
      </x:c>
      <x:c r="C1001" t="str">
        <x:v>f</x:v>
      </x:c>
      <x:c r="D1001" t="str">
        <x:v>gb6c97ced-9402-44ef-ab19-d25bb0fbee34</x:v>
      </x:c>
      <x:c r="E1001" t="str">
        <x:v>ga0844953-c8b4-4167-94b0-9f8b1bcfab89</x:v>
      </x:c>
      <x:c r="F1001" t="str">
        <x:v>https://www.webonary.org/marubo/ga0844953-c8b4-4167-94b0-9f8b1bcfab89/</x:v>
      </x:c>
      <x:c r="G1001" s="20" t="n">
        <x:v>46003.934861747686</x:v>
      </x:c>
    </x:row>
    <x:row r="1002">
      <x:c r="A1002" t="str">
        <x:v>fino</x:v>
      </x:c>
      <x:c r="B1002" t="str">
        <x:v>pashpichta</x:v>
      </x:c>
      <x:c r="C1002" t="str">
        <x:v>f</x:v>
      </x:c>
      <x:c r="D1002" t="str">
        <x:v>gb6c97ced-9402-44ef-ab19-d25bb0fbee34</x:v>
      </x:c>
      <x:c r="E1002" t="str">
        <x:v>g957e19f0-4d13-4f15-9d4e-bf44603ea31f</x:v>
      </x:c>
      <x:c r="F1002" t="str">
        <x:v>https://www.webonary.org/marubo/g957e19f0-4d13-4f15-9d4e-bf44603ea31f/</x:v>
      </x:c>
      <x:c r="G1002" s="20" t="n">
        <x:v>46003.934861747686</x:v>
      </x:c>
    </x:row>
    <x:row r="1003">
      <x:c r="A1003" t="str">
        <x:v>flechar</x:v>
      </x:c>
      <x:c r="B1003" t="str">
        <x:v>tekõa</x:v>
      </x:c>
      <x:c r="C1003" t="str">
        <x:v>f</x:v>
      </x:c>
      <x:c r="D1003" t="str">
        <x:v>ga6a39d26-c2c6-47b4-8bc5-3b988f3ef34a</x:v>
      </x:c>
      <x:c r="E1003" t="str">
        <x:v>g16360942-4951-46c3-bf7e-d7ec9b4058b1</x:v>
      </x:c>
      <x:c r="F1003" t="str">
        <x:v>https://www.webonary.org/marubo/g16360942-4951-46c3-bf7e-d7ec9b4058b1/</x:v>
      </x:c>
      <x:c r="G1003" s="20" t="n">
        <x:v>46003.934861747686</x:v>
      </x:c>
    </x:row>
    <x:row r="1004">
      <x:c r="A1004" t="str">
        <x:v>flechas de brinquedo</x:v>
      </x:c>
      <x:c r="B1004" t="str">
        <x:v>kashke</x:v>
      </x:c>
      <x:c r="C1004" t="str">
        <x:v>f</x:v>
      </x:c>
      <x:c r="D1004" t="str">
        <x:v>ga99c71e3-eb5e-41d2-8b6e-a46ea64d18fa</x:v>
      </x:c>
      <x:c r="E1004" t="str">
        <x:v>g2e7f28b8-25b4-4108-a0f4-494947d56b65</x:v>
      </x:c>
      <x:c r="F1004" t="str">
        <x:v>https://www.webonary.org/marubo/g2e7f28b8-25b4-4108-a0f4-494947d56b65/</x:v>
      </x:c>
      <x:c r="G1004" s="20" t="n">
        <x:v>46003.934861747686</x:v>
      </x:c>
    </x:row>
    <x:row r="1005">
      <x:c r="A1005" t="str">
        <x:v>flor</x:v>
      </x:c>
      <x:c r="B1005" t="str">
        <x:v>oa</x:v>
      </x:c>
      <x:c r="C1005" t="str">
        <x:v>f</x:v>
      </x:c>
      <x:c r="D1005" t="str">
        <x:v>ga77c8cbd-4fba-4c36-9cc5-1771cd1ab588</x:v>
      </x:c>
      <x:c r="E1005" t="str">
        <x:v>gd26adda8-4c0b-4aaf-8b4a-e2e74cea3e08</x:v>
      </x:c>
      <x:c r="F1005" t="str">
        <x:v>https://www.webonary.org/marubo/gd26adda8-4c0b-4aaf-8b4a-e2e74cea3e08/</x:v>
      </x:c>
      <x:c r="G1005" s="20" t="n">
        <x:v>46003.934861747686</x:v>
      </x:c>
    </x:row>
    <x:row r="1006">
      <x:c r="A1006" t="str">
        <x:v>flutuar</x:v>
      </x:c>
      <x:c r="B1006" t="str">
        <x:v>nonoa</x:v>
      </x:c>
      <x:c r="C1006" t="str">
        <x:v>f</x:v>
      </x:c>
      <x:c r="D1006" t="str">
        <x:v>g97ef7e99-d3dc-4321-b6a6-798a66fff856</x:v>
      </x:c>
      <x:c r="E1006" t="str">
        <x:v>g7cbbb8a5-53bb-4086-a46c-56257f64721d</x:v>
      </x:c>
      <x:c r="F1006" t="str">
        <x:v>https://www.webonary.org/marubo/g7cbbb8a5-53bb-4086-a46c-56257f64721d/</x:v>
      </x:c>
      <x:c r="G1006" s="20" t="n">
        <x:v>46003.934861747686</x:v>
      </x:c>
    </x:row>
    <x:row r="1007">
      <x:c r="A1007" t="str">
        <x:v>FOC</x:v>
      </x:c>
      <x:c r="B1007" t="str">
        <x:f>"=ro"</x:f>
        <x:v>=ro</x:v>
      </x:c>
      <x:c r="C1007" t="str">
        <x:v>f</x:v>
      </x:c>
      <x:c r="D1007" t="str">
        <x:v>gd5117ad1-ac38-49cf-90c5-3a53bb74ff8f</x:v>
      </x:c>
      <x:c r="E1007" t="str">
        <x:v>g2df9779c-8c1a-491c-8e79-c9c854e03bfe</x:v>
      </x:c>
      <x:c r="F1007" t="str">
        <x:v>https://www.webonary.org/marubo/g2df9779c-8c1a-491c-8e79-c9c854e03bfe/</x:v>
      </x:c>
      <x:c r="G1007" s="20" t="n">
        <x:v>46003.934861747686</x:v>
      </x:c>
    </x:row>
    <x:row r="1008">
      <x:c r="A1008" t="str">
        <x:v>focar luz</x:v>
      </x:c>
      <x:c r="B1008" t="str">
        <x:v>ota</x:v>
      </x:c>
      <x:c r="C1008" t="str">
        <x:v>f</x:v>
      </x:c>
      <x:c r="D1008" t="str">
        <x:v>g433d3904-0c80-4343-a003-e19df11f7c16</x:v>
      </x:c>
      <x:c r="E1008" t="str">
        <x:v>gaaec6c73-c1ff-4e9b-ad32-fcc4162d9842</x:v>
      </x:c>
      <x:c r="F1008" t="str">
        <x:v>https://www.webonary.org/marubo/gaaec6c73-c1ff-4e9b-ad32-fcc4162d9842/</x:v>
      </x:c>
      <x:c r="G1008" s="20" t="n">
        <x:v>46003.93487005787</x:v>
      </x:c>
    </x:row>
    <x:row r="1009">
      <x:c r="A1009" t="str">
        <x:v>focar nos olhos</x:v>
      </x:c>
      <x:c r="B1009" t="str">
        <x:v>vetĩa</x:v>
      </x:c>
      <x:c r="C1009" t="str">
        <x:v>f</x:v>
      </x:c>
      <x:c r="D1009" t="str">
        <x:v>g9acb7174-84f3-4b4c-b8ef-5487c7bd03e0</x:v>
      </x:c>
      <x:c r="E1009" t="str">
        <x:v>g106c2b82-0d21-433c-b65b-253c7ba0ffc1</x:v>
      </x:c>
      <x:c r="F1009" t="str">
        <x:v>https://www.webonary.org/marubo/g106c2b82-0d21-433c-b65b-253c7ba0ffc1/</x:v>
      </x:c>
      <x:c r="G1009" s="20" t="n">
        <x:v>46003.93487005787</x:v>
      </x:c>
    </x:row>
    <x:row r="1010">
      <x:c r="A1010" t="str">
        <x:v>fogo</x:v>
      </x:c>
      <x:c r="B1010" t="str">
        <x:v>txii</x:v>
      </x:c>
      <x:c r="C1010" t="str">
        <x:v>f</x:v>
      </x:c>
      <x:c r="D1010" t="str">
        <x:v>g93a3fc39-635b-408e-a059-b626858fc6ab</x:v>
      </x:c>
      <x:c r="E1010" t="str">
        <x:v>gf4623a6a-9c25-4457-831a-b0cc25b4efd1</x:v>
      </x:c>
      <x:c r="F1010" t="str">
        <x:v>https://www.webonary.org/marubo/gf4623a6a-9c25-4457-831a-b0cc25b4efd1/</x:v>
      </x:c>
      <x:c r="G1010" s="20" t="n">
        <x:v>46003.93487005787</x:v>
      </x:c>
    </x:row>
    <x:row r="1011">
      <x:c r="A1011" t="str">
        <x:v>folha</x:v>
      </x:c>
      <x:c r="B1011" t="str">
        <x:v>pei</x:v>
      </x:c>
      <x:c r="C1011" t="str">
        <x:v>f</x:v>
      </x:c>
      <x:c r="D1011" t="str">
        <x:v>gd5757120-326b-408b-83a8-cc82bca135bd</x:v>
      </x:c>
      <x:c r="E1011" t="str">
        <x:v>g6e5da3ce-519d-4bb7-998f-997ebd93a294</x:v>
      </x:c>
      <x:c r="F1011" t="str">
        <x:v>https://www.webonary.org/marubo/g6e5da3ce-519d-4bb7-998f-997ebd93a294/</x:v>
      </x:c>
      <x:c r="G1011" s="20" t="n">
        <x:v>46003.93487005787</x:v>
      </x:c>
    </x:row>
    <x:row r="1012">
      <x:c r="A1012" t="str">
        <x:v>folhas</x:v>
      </x:c>
      <x:c r="B1012" t="str">
        <x:v>võko</x:v>
      </x:c>
      <x:c r="C1012" t="str">
        <x:v>f</x:v>
      </x:c>
      <x:c r="D1012" t="str">
        <x:v>gd9761d0a-cd45-42c3-bca2-5d5254fa9a69</x:v>
      </x:c>
      <x:c r="E1012" t="str">
        <x:v>g1e770090-a0d6-4764-a3f8-548624aaafd5</x:v>
      </x:c>
      <x:c r="F1012" t="str">
        <x:v>https://www.webonary.org/marubo/g1e770090-a0d6-4764-a3f8-548624aaafd5/</x:v>
      </x:c>
      <x:c r="G1012" s="20" t="n">
        <x:v>46003.93487005787</x:v>
      </x:c>
    </x:row>
    <x:row r="1013">
      <x:c r="A1013" t="str">
        <x:v>folhas deitadas no chão para colocar carne</x:v>
      </x:c>
      <x:c r="B1013" t="str">
        <x:v>kakã</x:v>
      </x:c>
      <x:c r="C1013" t="str">
        <x:v>f</x:v>
      </x:c>
      <x:c r="D1013" t="str">
        <x:v>g0d5f7356-aa8b-4d86-9527-86b36bbdf0cd</x:v>
      </x:c>
      <x:c r="E1013" t="str">
        <x:v>gc3c58a73-5945-4d4b-9423-0dadf553263f</x:v>
      </x:c>
      <x:c r="F1013" t="str">
        <x:v>https://www.webonary.org/marubo/gc3c58a73-5945-4d4b-9423-0dadf553263f/</x:v>
      </x:c>
      <x:c r="G1013" s="20" t="n">
        <x:v>46003.93487005787</x:v>
      </x:c>
    </x:row>
    <x:row r="1014">
      <x:c r="A1014" t="str">
        <x:v>fontanela</x:v>
      </x:c>
      <x:c r="B1014" t="str">
        <x:v>mãwã́</x:v>
      </x:c>
      <x:c r="C1014" t="str">
        <x:v>f</x:v>
      </x:c>
      <x:c r="D1014" t="str">
        <x:v>g4e502cc7-3cfe-4d3b-bbce-8e2c7ebde681</x:v>
      </x:c>
      <x:c r="E1014" t="str">
        <x:v>g03ab2d5a-35ed-4ac5-998d-e6cf46c45a1a</x:v>
      </x:c>
      <x:c r="F1014" t="str">
        <x:v>https://www.webonary.org/marubo/g03ab2d5a-35ed-4ac5-998d-e6cf46c45a1a/</x:v>
      </x:c>
      <x:c r="G1014" s="20" t="n">
        <x:v>46003.93487005787</x:v>
      </x:c>
    </x:row>
    <x:row r="1015">
      <x:c r="A1015" t="str">
        <x:v>fora</x:v>
      </x:c>
      <x:c r="B1015" t="str">
        <x:v>veyó</x:v>
      </x:c>
      <x:c r="C1015" t="str">
        <x:v>f</x:v>
      </x:c>
      <x:c r="D1015" t="str">
        <x:v>g5944b36d-a507-4ef9-bde9-82259c46022d</x:v>
      </x:c>
      <x:c r="E1015" t="str">
        <x:v>gc5c8d4a6-f4b3-49db-9773-39a197f89cff</x:v>
      </x:c>
      <x:c r="F1015" t="str">
        <x:v>https://www.webonary.org/marubo/gc5c8d4a6-f4b3-49db-9773-39a197f89cff/</x:v>
      </x:c>
      <x:c r="G1015" s="20" t="n">
        <x:v>46003.93487005787</x:v>
      </x:c>
    </x:row>
    <x:row r="1016">
      <x:c r="A1016" t="str">
        <x:v>fora</x:v>
      </x:c>
      <x:c r="B1016" t="str">
        <x:v>ikoti</x:v>
      </x:c>
      <x:c r="C1016" t="str">
        <x:v>f</x:v>
      </x:c>
      <x:c r="D1016" t="str">
        <x:v>g5944b36d-a507-4ef9-bde9-82259c46022d</x:v>
      </x:c>
      <x:c r="E1016" t="str">
        <x:v>gf284ceb9-2c89-410c-9255-20f59c86ea35</x:v>
      </x:c>
      <x:c r="F1016" t="str">
        <x:v>https://www.webonary.org/marubo/gf284ceb9-2c89-410c-9255-20f59c86ea35/</x:v>
      </x:c>
      <x:c r="G1016" s="20" t="n">
        <x:v>46003.93487005787</x:v>
      </x:c>
    </x:row>
    <x:row r="1017">
      <x:c r="A1017" t="str">
        <x:v>formiga cortadeira</x:v>
      </x:c>
      <x:c r="B1017" t="str">
        <x:v>maísi</x:v>
      </x:c>
      <x:c r="C1017" t="str">
        <x:v>f</x:v>
      </x:c>
      <x:c r="D1017" t="str">
        <x:v>g61aa151e-fccd-41f3-98ec-586b93735815</x:v>
      </x:c>
      <x:c r="E1017" t="str">
        <x:v>gea99578a-6036-4f3b-8623-b039dc26f1b9</x:v>
      </x:c>
      <x:c r="F1017" t="str">
        <x:v>https://www.webonary.org/marubo/gea99578a-6036-4f3b-8623-b039dc26f1b9/</x:v>
      </x:c>
      <x:c r="G1017" s="20" t="n">
        <x:v>46003.93487005787</x:v>
      </x:c>
    </x:row>
    <x:row r="1018">
      <x:c r="A1018" t="str">
        <x:v>formiga de baúba</x:v>
      </x:c>
      <x:c r="B1018" t="str">
        <x:v>võkó ikí</x:v>
      </x:c>
      <x:c r="C1018" t="str">
        <x:v>f</x:v>
      </x:c>
      <x:c r="D1018" t="str">
        <x:v>g41377468-5838-43da-922c-66b86e2014f0</x:v>
      </x:c>
      <x:c r="E1018" t="str">
        <x:v>gab3b092e-8e88-4ced-81a4-fab808daf91d</x:v>
      </x:c>
      <x:c r="F1018" t="str">
        <x:v>https://www.webonary.org/marubo/gab3b092e-8e88-4ced-81a4-fab808daf91d/</x:v>
      </x:c>
      <x:c r="G1018" s="20" t="n">
        <x:v>46003.93487005787</x:v>
      </x:c>
    </x:row>
    <x:row r="1019">
      <x:c r="A1019" t="str">
        <x:v>formiga de fogo</x:v>
      </x:c>
      <x:c r="B1019" t="str">
        <x:v>ima</x:v>
      </x:c>
      <x:c r="C1019" t="str">
        <x:v>f</x:v>
      </x:c>
      <x:c r="D1019" t="str">
        <x:v>g27939d84-6318-4cfd-aa39-3815c94f4c0d</x:v>
      </x:c>
      <x:c r="E1019" t="str">
        <x:v>g4b2fab18-1d05-48a6-9e6b-3045364abeca</x:v>
      </x:c>
      <x:c r="F1019" t="str">
        <x:v>https://www.webonary.org/marubo/g4b2fab18-1d05-48a6-9e6b-3045364abeca/</x:v>
      </x:c>
      <x:c r="G1019" s="20" t="n">
        <x:v>46003.93487005787</x:v>
      </x:c>
    </x:row>
    <x:row r="1020">
      <x:c r="A1020" t="str">
        <x:v>formiga de fogo pequeno</x:v>
      </x:c>
      <x:c r="B1020" t="str">
        <x:v>ee</x:v>
      </x:c>
      <x:c r="C1020" t="str">
        <x:v>f</x:v>
      </x:c>
      <x:c r="D1020" t="str">
        <x:v>g59990dab-f699-498d-8b91-9aaa5d27a696</x:v>
      </x:c>
      <x:c r="E1020" t="str">
        <x:v>g3cd836f8-73f5-4afd-9866-1450a431e622</x:v>
      </x:c>
      <x:c r="F1020" t="str">
        <x:v>https://www.webonary.org/marubo/g3cd836f8-73f5-4afd-9866-1450a431e622/</x:v>
      </x:c>
      <x:c r="G1020" s="20" t="n">
        <x:v>46003.93487005787</x:v>
      </x:c>
    </x:row>
    <x:row r="1021">
      <x:c r="A1021" t="str">
        <x:v>formigar</x:v>
      </x:c>
      <x:c r="B1021" t="str">
        <x:v>tae senã</x:v>
      </x:c>
      <x:c r="C1021" t="str">
        <x:v>f</x:v>
      </x:c>
      <x:c r="D1021" t="str">
        <x:v>g4c9bb056-930c-4916-9021-cc97cbe71f4f</x:v>
      </x:c>
      <x:c r="E1021" t="str">
        <x:v>ga1591c73-3515-4724-b197-51e42a1a0b3b</x:v>
      </x:c>
      <x:c r="F1021" t="str">
        <x:v>https://www.webonary.org/marubo/ga1591c73-3515-4724-b197-51e42a1a0b3b/</x:v>
      </x:c>
      <x:c r="G1021" s="20" t="n">
        <x:v>46003.93487005787</x:v>
      </x:c>
    </x:row>
    <x:row r="1022">
      <x:c r="A1022" t="str">
        <x:v>forquilha</x:v>
      </x:c>
      <x:c r="B1022" t="str">
        <x:v>teãvakĩ</x:v>
      </x:c>
      <x:c r="C1022" t="str">
        <x:v>f</x:v>
      </x:c>
      <x:c r="D1022" t="str">
        <x:v>g9c451bbb-8540-4a04-af3a-32250596d7e3</x:v>
      </x:c>
      <x:c r="E1022" t="str">
        <x:v>gb7e57519-703e-4e35-ba8f-11bf2509542c</x:v>
      </x:c>
      <x:c r="F1022" t="str">
        <x:v>https://www.webonary.org/marubo/gb7e57519-703e-4e35-ba8f-11bf2509542c/</x:v>
      </x:c>
      <x:c r="G1022" s="20" t="n">
        <x:v>46003.93487005787</x:v>
      </x:c>
    </x:row>
    <x:row r="1023">
      <x:c r="A1023" t="str">
        <x:v>forte</x:v>
      </x:c>
      <x:c r="B1023" t="str">
        <x:v>isĩka</x:v>
      </x:c>
      <x:c r="C1023" t="str">
        <x:v>f</x:v>
      </x:c>
      <x:c r="D1023" t="str">
        <x:v>g210431e7-6a39-45ba-9d3d-73891c62748b</x:v>
      </x:c>
      <x:c r="E1023" t="str">
        <x:v>g03cd81a5-52c4-40af-91db-512c72ea3925</x:v>
      </x:c>
      <x:c r="F1023" t="str">
        <x:v>https://www.webonary.org/marubo/g03cd81a5-52c4-40af-91db-512c72ea3925/</x:v>
      </x:c>
      <x:c r="G1023" s="20" t="n">
        <x:v>46003.93487005787</x:v>
      </x:c>
    </x:row>
    <x:row r="1024">
      <x:c r="A1024" t="str">
        <x:v>fraco</x:v>
      </x:c>
      <x:c r="B1024" t="str">
        <x:v>chaika</x:v>
      </x:c>
      <x:c r="C1024" t="str">
        <x:v>f</x:v>
      </x:c>
      <x:c r="D1024" t="str">
        <x:v>g06f4534b-b640-45d1-a6f7-4e65fd8e3a0a</x:v>
      </x:c>
      <x:c r="E1024" t="str">
        <x:v>g003c3291-c4e4-4dee-9e71-0a9a10e8c42c</x:v>
      </x:c>
      <x:c r="F1024" t="str">
        <x:v>https://www.webonary.org/marubo/g003c3291-c4e4-4dee-9e71-0a9a10e8c42c/</x:v>
      </x:c>
      <x:c r="G1024" s="20" t="n">
        <x:v>46003.93487005787</x:v>
      </x:c>
    </x:row>
    <x:row r="1025">
      <x:c r="A1025" t="str">
        <x:v>fraco</x:v>
      </x:c>
      <x:c r="B1025" t="str">
        <x:v>kochima</x:v>
      </x:c>
      <x:c r="C1025" t="str">
        <x:v>f</x:v>
      </x:c>
      <x:c r="D1025" t="str">
        <x:v>g06f4534b-b640-45d1-a6f7-4e65fd8e3a0a</x:v>
      </x:c>
      <x:c r="E1025" t="str">
        <x:v>g0123c0ea-1b43-49bc-a8ef-f8f66d38b02a</x:v>
      </x:c>
      <x:c r="F1025" t="str">
        <x:v>https://www.webonary.org/marubo/g0123c0ea-1b43-49bc-a8ef-f8f66d38b02a/</x:v>
      </x:c>
      <x:c r="G1025" s="20" t="n">
        <x:v>46003.93487005787</x:v>
      </x:c>
    </x:row>
    <x:row r="1026">
      <x:c r="A1026" t="str">
        <x:v>frio</x:v>
      </x:c>
      <x:c r="B1026" t="str">
        <x:v>matsika</x:v>
      </x:c>
      <x:c r="C1026" t="str">
        <x:v>f</x:v>
      </x:c>
      <x:c r="D1026" t="str">
        <x:v>g62f03dfc-29f6-4f9e-b8f8-9001924b6752</x:v>
      </x:c>
      <x:c r="E1026" t="str">
        <x:v>gbea35baf-6d97-4f1a-b55c-58cc5b96b49e</x:v>
      </x:c>
      <x:c r="F1026" t="str">
        <x:v>https://www.webonary.org/marubo/gbea35baf-6d97-4f1a-b55c-58cc5b96b49e/</x:v>
      </x:c>
      <x:c r="G1026" s="20" t="n">
        <x:v>46003.93487005787</x:v>
      </x:c>
    </x:row>
    <x:row r="1027">
      <x:c r="A1027" t="str">
        <x:v>fritar</x:v>
      </x:c>
      <x:c r="B1027" t="str">
        <x:v>kachka aká</x:v>
      </x:c>
      <x:c r="C1027" t="str">
        <x:v>f</x:v>
      </x:c>
      <x:c r="D1027" t="str">
        <x:v>g232c52ee-20e7-4db4-8aa4-4af8dc384215</x:v>
      </x:c>
      <x:c r="E1027" t="str">
        <x:v>gcfe926cf-938a-4aca-86ae-b3e039087e05</x:v>
      </x:c>
      <x:c r="F1027" t="str">
        <x:v>https://www.webonary.org/marubo/gcfe926cf-938a-4aca-86ae-b3e039087e05/</x:v>
      </x:c>
      <x:c r="G1027" s="20" t="n">
        <x:v>46003.93487005787</x:v>
      </x:c>
    </x:row>
    <x:row r="1028">
      <x:c r="A1028" t="str">
        <x:v>FRUST</x:v>
      </x:c>
      <x:c r="B1028" t="str">
        <x:f>"=mẽkĩ"</x:f>
        <x:v>=mẽkĩ</x:v>
      </x:c>
      <x:c r="C1028" t="str">
        <x:v>f</x:v>
      </x:c>
      <x:c r="D1028" t="str">
        <x:v>g2857b910-9ba8-462e-86ec-00cad5d5e98b</x:v>
      </x:c>
      <x:c r="E1028" t="str">
        <x:v>g29685d41-d058-46fa-bcb5-4264c21aea46</x:v>
      </x:c>
      <x:c r="F1028" t="str">
        <x:v>https://www.webonary.org/marubo/g29685d41-d058-46fa-bcb5-4264c21aea46/</x:v>
      </x:c>
      <x:c r="G1028" s="20" t="n">
        <x:v>46003.93487005787</x:v>
      </x:c>
    </x:row>
    <x:row r="1029">
      <x:c r="A1029" t="str">
        <x:v>fruta</x:v>
      </x:c>
      <x:c r="B1029" t="str">
        <x:v>vimi</x:v>
      </x:c>
      <x:c r="C1029" t="str">
        <x:v>f</x:v>
      </x:c>
      <x:c r="D1029" t="str">
        <x:v>gba65f776-531c-4703-a28c-b551cc4dec10</x:v>
      </x:c>
      <x:c r="E1029" t="str">
        <x:v>g2dd5c06b-8f41-48a1-8bb0-7e6d6ba48675</x:v>
      </x:c>
      <x:c r="F1029" t="str">
        <x:v>https://www.webonary.org/marubo/g2dd5c06b-8f41-48a1-8bb0-7e6d6ba48675/</x:v>
      </x:c>
      <x:c r="G1029" s="20" t="n">
        <x:v>46003.93487005787</x:v>
      </x:c>
    </x:row>
    <x:row r="1030">
      <x:c r="A1030" t="str">
        <x:v>fruta da mata</x:v>
      </x:c>
      <x:c r="B1030" t="str">
        <x:v>vopata vimi</x:v>
      </x:c>
      <x:c r="C1030" t="str">
        <x:v>f</x:v>
      </x:c>
      <x:c r="D1030" t="str">
        <x:v>gde93bddb-9f39-4a2b-93a3-4b787d9c635b</x:v>
      </x:c>
      <x:c r="E1030" t="str">
        <x:v>ga43247da-34a8-42dd-bd1e-70d1bcf65d45</x:v>
      </x:c>
      <x:c r="F1030" t="str">
        <x:v>https://www.webonary.org/marubo/ga43247da-34a8-42dd-bd1e-70d1bcf65d45/</x:v>
      </x:c>
      <x:c r="G1030" s="20" t="n">
        <x:v>46003.93487005787</x:v>
      </x:c>
    </x:row>
    <x:row r="1031">
      <x:c r="A1031" t="str">
        <x:v>fruta da mata</x:v>
      </x:c>
      <x:c r="B1031" t="str">
        <x:v>vitxi karõti</x:v>
      </x:c>
      <x:c r="C1031" t="str">
        <x:v>f</x:v>
      </x:c>
      <x:c r="D1031" t="str">
        <x:v>gde93bddb-9f39-4a2b-93a3-4b787d9c635b</x:v>
      </x:c>
      <x:c r="E1031" t="str">
        <x:v>gbca1e696-108a-49c9-9b68-4b4d46cf626b</x:v>
      </x:c>
      <x:c r="F1031" t="str">
        <x:v>https://www.webonary.org/marubo/gbca1e696-108a-49c9-9b68-4b4d46cf626b/</x:v>
      </x:c>
      <x:c r="G1031" s="20" t="n">
        <x:v>46003.93487005787</x:v>
      </x:c>
    </x:row>
    <x:row r="1032">
      <x:c r="A1032" t="str">
        <x:v>fruta da mata</x:v>
      </x:c>
      <x:c r="B1032" t="str">
        <x:v>vonã txomavi</x:v>
      </x:c>
      <x:c r="C1032" t="str">
        <x:v>f</x:v>
      </x:c>
      <x:c r="D1032" t="str">
        <x:v>gde93bddb-9f39-4a2b-93a3-4b787d9c635b</x:v>
      </x:c>
      <x:c r="E1032" t="str">
        <x:v>g92de01b9-4c5e-4f76-b224-a8458cc0be10</x:v>
      </x:c>
      <x:c r="F1032" t="str">
        <x:v>https://www.webonary.org/marubo/g92de01b9-4c5e-4f76-b224-a8458cc0be10/</x:v>
      </x:c>
      <x:c r="G1032" s="20" t="n">
        <x:v>46003.93487005787</x:v>
      </x:c>
    </x:row>
    <x:row r="1033">
      <x:c r="A1033" t="str">
        <x:v>fruta da mata</x:v>
      </x:c>
      <x:c r="B1033" t="str">
        <x:v>voivi</x:v>
      </x:c>
      <x:c r="C1033" t="str">
        <x:v>f</x:v>
      </x:c>
      <x:c r="D1033" t="str">
        <x:v>gde93bddb-9f39-4a2b-93a3-4b787d9c635b</x:v>
      </x:c>
      <x:c r="E1033" t="str">
        <x:v>ge82509f5-3b69-4594-949f-0132b73f357d</x:v>
      </x:c>
      <x:c r="F1033" t="str">
        <x:v>https://www.webonary.org/marubo/ge82509f5-3b69-4594-949f-0132b73f357d/</x:v>
      </x:c>
      <x:c r="G1033" s="20" t="n">
        <x:v>46003.93487005787</x:v>
      </x:c>
    </x:row>
    <x:row r="1034">
      <x:c r="A1034" t="str">
        <x:v>fruta da mata</x:v>
      </x:c>
      <x:c r="B1034" t="str">
        <x:v>yae</x:v>
      </x:c>
      <x:c r="C1034" t="str">
        <x:v>f</x:v>
      </x:c>
      <x:c r="D1034" t="str">
        <x:v>gde93bddb-9f39-4a2b-93a3-4b787d9c635b</x:v>
      </x:c>
      <x:c r="E1034" t="str">
        <x:v>g6bd1eb60-3ff5-4068-8877-83f85b0cc543</x:v>
      </x:c>
      <x:c r="F1034" t="str">
        <x:v>https://www.webonary.org/marubo/g6bd1eb60-3ff5-4068-8877-83f85b0cc543/</x:v>
      </x:c>
      <x:c r="G1034" s="20" t="n">
        <x:v>46003.93487005787</x:v>
      </x:c>
    </x:row>
    <x:row r="1035">
      <x:c r="A1035" t="str">
        <x:v>fruta da mata</x:v>
      </x:c>
      <x:c r="B1035" t="str">
        <x:v>yãkíchi maiti tanama</x:v>
      </x:c>
      <x:c r="C1035" t="str">
        <x:v>f</x:v>
      </x:c>
      <x:c r="D1035" t="str">
        <x:v>gde93bddb-9f39-4a2b-93a3-4b787d9c635b</x:v>
      </x:c>
      <x:c r="E1035" t="str">
        <x:v>gec8c9134-9d1f-40e4-8546-eed65362fb07</x:v>
      </x:c>
      <x:c r="F1035" t="str">
        <x:v>https://www.webonary.org/marubo/gec8c9134-9d1f-40e4-8546-eed65362fb07/</x:v>
      </x:c>
      <x:c r="G1035" s="20" t="n">
        <x:v>46003.93487005787</x:v>
      </x:c>
    </x:row>
    <x:row r="1036">
      <x:c r="A1036" t="str">
        <x:v>fruta da mata</x:v>
      </x:c>
      <x:c r="B1036" t="str">
        <x:v>varivi</x:v>
      </x:c>
      <x:c r="C1036" t="str">
        <x:v>f</x:v>
      </x:c>
      <x:c r="D1036" t="str">
        <x:v>gde93bddb-9f39-4a2b-93a3-4b787d9c635b</x:v>
      </x:c>
      <x:c r="E1036" t="str">
        <x:v>gf7c4629f-e8a2-481c-ad0d-48a3c7613c5c</x:v>
      </x:c>
      <x:c r="F1036" t="str">
        <x:v>https://www.webonary.org/marubo/gf7c4629f-e8a2-481c-ad0d-48a3c7613c5c/</x:v>
      </x:c>
      <x:c r="G1036" s="20" t="n">
        <x:v>46003.93487005787</x:v>
      </x:c>
    </x:row>
    <x:row r="1037">
      <x:c r="A1037" t="str">
        <x:v>fruta da mata</x:v>
      </x:c>
      <x:c r="B1037" t="str">
        <x:v>chekéchi</x:v>
      </x:c>
      <x:c r="C1037" t="str">
        <x:v>f</x:v>
      </x:c>
      <x:c r="D1037" t="str">
        <x:v>gde93bddb-9f39-4a2b-93a3-4b787d9c635b</x:v>
      </x:c>
      <x:c r="E1037" t="str">
        <x:v>g2b1707b6-7107-4516-b7e5-f638eface11a</x:v>
      </x:c>
      <x:c r="F1037" t="str">
        <x:v>https://www.webonary.org/marubo/g2b1707b6-7107-4516-b7e5-f638eface11a/</x:v>
      </x:c>
      <x:c r="G1037" s="20" t="n">
        <x:v>46003.93487005787</x:v>
      </x:c>
    </x:row>
    <x:row r="1038">
      <x:c r="A1038" t="str">
        <x:v>fruta da mata shãkoi</x:v>
      </x:c>
      <x:c r="B1038" t="str">
        <x:v>võkó vata vimi</x:v>
      </x:c>
      <x:c r="C1038" t="str">
        <x:v>f</x:v>
      </x:c>
      <x:c r="D1038" t="str">
        <x:v>gc7c20134-4f13-4125-8e12-45ba46aeffb9</x:v>
      </x:c>
      <x:c r="E1038" t="str">
        <x:v>g4786d58a-1100-4ef3-a17e-b6c431a76fc9</x:v>
      </x:c>
      <x:c r="F1038" t="str">
        <x:v>https://www.webonary.org/marubo/g4786d58a-1100-4ef3-a17e-b6c431a76fc9/</x:v>
      </x:c>
      <x:c r="G1038" s="20" t="n">
        <x:v>46003.93487005787</x:v>
      </x:c>
    </x:row>
    <x:row r="1039">
      <x:c r="A1039" t="str">
        <x:v>fruta que não presta para comer</x:v>
      </x:c>
      <x:c r="B1039" t="str">
        <x:v>pacho</x:v>
      </x:c>
      <x:c r="C1039" t="str">
        <x:v>f</x:v>
      </x:c>
      <x:c r="D1039" t="str">
        <x:v>g032bd7b6-a9ad-4566-80ee-0652ea3a6179</x:v>
      </x:c>
      <x:c r="E1039" t="str">
        <x:v>g92b6d47f-1761-44a9-a3bc-d4f5399e5ac5</x:v>
      </x:c>
      <x:c r="F1039" t="str">
        <x:v>https://www.webonary.org/marubo/g92b6d47f-1761-44a9-a3bc-d4f5399e5ac5/</x:v>
      </x:c>
      <x:c r="G1039" s="20" t="n">
        <x:v>46003.93487005787</x:v>
      </x:c>
    </x:row>
    <x:row r="1040">
      <x:c r="A1040" t="str">
        <x:v>frutas</x:v>
      </x:c>
      <x:c r="B1040" t="str">
        <x:v>vimirasĩ</x:v>
      </x:c>
      <x:c r="C1040" t="str">
        <x:v>f</x:v>
      </x:c>
      <x:c r="D1040" t="str">
        <x:v>gc53b5d2c-e357-4012-8590-bb8a0605482c</x:v>
      </x:c>
      <x:c r="E1040" t="str">
        <x:v>g9036028d-f8b7-4167-8849-b8e89b43e26b</x:v>
      </x:c>
      <x:c r="F1040" t="str">
        <x:v>https://www.webonary.org/marubo/g9036028d-f8b7-4167-8849-b8e89b43e26b/</x:v>
      </x:c>
      <x:c r="G1040" s="20" t="n">
        <x:v>46003.93487005787</x:v>
      </x:c>
    </x:row>
    <x:row r="1041">
      <x:c r="A1041" t="str">
        <x:v>fugir</x:v>
      </x:c>
      <x:c r="B1041" t="str">
        <x:v>kaya</x:v>
      </x:c>
      <x:c r="C1041" t="str">
        <x:v>f</x:v>
      </x:c>
      <x:c r="D1041" t="str">
        <x:v>g692187b3-fc0d-44df-898e-649d9d2eda29</x:v>
      </x:c>
      <x:c r="E1041" t="str">
        <x:v>gf171b5e5-2de4-41eb-8cb5-173fc1f75ad1</x:v>
      </x:c>
      <x:c r="F1041" t="str">
        <x:v>https://www.webonary.org/marubo/gf171b5e5-2de4-41eb-8cb5-173fc1f75ad1/</x:v>
      </x:c>
      <x:c r="G1041" s="20" t="n">
        <x:v>46003.93487005787</x:v>
      </x:c>
    </x:row>
    <x:row r="1042">
      <x:c r="A1042" t="str">
        <x:v>fugir</x:v>
      </x:c>
      <x:c r="B1042" t="str">
        <x:v>1</x:v>
      </x:c>
      <x:c r="C1042" t="str">
        <x:v>f</x:v>
      </x:c>
      <x:c r="D1042" t="str">
        <x:v>g692187b3-fc0d-44df-898e-649d9d2eda29</x:v>
      </x:c>
      <x:c r="E1042" t="str">
        <x:v>gf171b5e5-2de4-41eb-8cb5-173fc1f75ad1</x:v>
      </x:c>
      <x:c r="F1042" t="str">
        <x:v>https://www.webonary.org/marubo/gf171b5e5-2de4-41eb-8cb5-173fc1f75ad1/</x:v>
      </x:c>
      <x:c r="G1042" s="20" t="n">
        <x:v>46003.93487005787</x:v>
      </x:c>
    </x:row>
    <x:row r="1043">
      <x:c r="A1043" t="str">
        <x:v>fumaça</x:v>
      </x:c>
      <x:c r="B1043" t="str">
        <x:v>koĩ</x:v>
      </x:c>
      <x:c r="C1043" t="str">
        <x:v>f</x:v>
      </x:c>
      <x:c r="D1043" t="str">
        <x:v>gdd3bf5dd-f80f-41ed-9048-30bcad6a3833</x:v>
      </x:c>
      <x:c r="E1043" t="str">
        <x:v>gd6c7e6fe-565a-4a90-a6a8-d30019418ecf</x:v>
      </x:c>
      <x:c r="F1043" t="str">
        <x:v>https://www.webonary.org/marubo/gd6c7e6fe-565a-4a90-a6a8-d30019418ecf/</x:v>
      </x:c>
      <x:c r="G1043" s="20" t="n">
        <x:v>46003.93487005787</x:v>
      </x:c>
    </x:row>
    <x:row r="1044">
      <x:c r="A1044" t="str">
        <x:v>fumacento</x:v>
      </x:c>
      <x:c r="B1044" t="str">
        <x:v>koĩka</x:v>
      </x:c>
      <x:c r="C1044" t="str">
        <x:v>f</x:v>
      </x:c>
      <x:c r="D1044" t="str">
        <x:v>gd28814af-627a-4303-84a2-9d4728a6dc84</x:v>
      </x:c>
      <x:c r="E1044" t="str">
        <x:v>g7d521d00-2f46-4435-a0bd-73ff5f3b314f</x:v>
      </x:c>
      <x:c r="F1044" t="str">
        <x:v>https://www.webonary.org/marubo/g7d521d00-2f46-4435-a0bd-73ff5f3b314f/</x:v>
      </x:c>
      <x:c r="G1044" s="20" t="n">
        <x:v>46003.93487005787</x:v>
      </x:c>
    </x:row>
    <x:row r="1045">
      <x:c r="A1045" t="str">
        <x:v>fumacento</x:v>
      </x:c>
      <x:c r="B1045" t="str">
        <x:v>1</x:v>
      </x:c>
      <x:c r="C1045" t="str">
        <x:v>f</x:v>
      </x:c>
      <x:c r="D1045" t="str">
        <x:v>gd28814af-627a-4303-84a2-9d4728a6dc84</x:v>
      </x:c>
      <x:c r="E1045" t="str">
        <x:v>g7d521d00-2f46-4435-a0bd-73ff5f3b314f</x:v>
      </x:c>
      <x:c r="F1045" t="str">
        <x:v>https://www.webonary.org/marubo/g7d521d00-2f46-4435-a0bd-73ff5f3b314f/</x:v>
      </x:c>
      <x:c r="G1045" s="20" t="n">
        <x:v>46003.93487005787</x:v>
      </x:c>
    </x:row>
    <x:row r="1046">
      <x:c r="A1046" t="str">
        <x:v>fundo</x:v>
      </x:c>
      <x:c r="B1046" t="str">
        <x:v>okeka</x:v>
      </x:c>
      <x:c r="C1046" t="str">
        <x:v>f</x:v>
      </x:c>
      <x:c r="D1046" t="str">
        <x:v>g2d341892-b258-4321-b719-0c7341a7e314</x:v>
      </x:c>
      <x:c r="E1046" t="str">
        <x:v>g80bec46b-7911-4694-a1eb-cb8a565543d4</x:v>
      </x:c>
      <x:c r="F1046" t="str">
        <x:v>https://www.webonary.org/marubo/g80bec46b-7911-4694-a1eb-cb8a565543d4/</x:v>
      </x:c>
      <x:c r="G1046" s="20" t="n">
        <x:v>46003.93487005787</x:v>
      </x:c>
    </x:row>
    <x:row r="1047">
      <x:c r="A1047" t="str">
        <x:v>fundo</x:v>
      </x:c>
      <x:c r="B1047" t="str">
        <x:v>oke</x:v>
      </x:c>
      <x:c r="C1047" t="str">
        <x:v>f</x:v>
      </x:c>
      <x:c r="D1047" t="str">
        <x:v>g2d341892-b258-4321-b719-0c7341a7e314</x:v>
      </x:c>
      <x:c r="E1047" t="str">
        <x:v>g12d5c57a-0c77-436b-915d-b39c2f7eb85d</x:v>
      </x:c>
      <x:c r="F1047" t="str">
        <x:v>https://www.webonary.org/marubo/g12d5c57a-0c77-436b-915d-b39c2f7eb85d/</x:v>
      </x:c>
      <x:c r="G1047" s="20" t="n">
        <x:v>46003.93487005787</x:v>
      </x:c>
    </x:row>
    <x:row r="1048">
      <x:c r="A1048" t="str">
        <x:v>fundo do quarto</x:v>
      </x:c>
      <x:c r="B1048" t="str">
        <x:v>txivi tavá</x:v>
      </x:c>
      <x:c r="C1048" t="str">
        <x:v>f</x:v>
      </x:c>
      <x:c r="D1048" t="str">
        <x:v>g57b16224-3f03-4b11-bba3-540d8b269552</x:v>
      </x:c>
      <x:c r="E1048" t="str">
        <x:v>gf143d578-4f60-4da6-94fb-99859369472c</x:v>
      </x:c>
      <x:c r="F1048" t="str">
        <x:v>https://www.webonary.org/marubo/gf143d578-4f60-4da6-94fb-99859369472c/</x:v>
      </x:c>
      <x:c r="G1048" s="20" t="n">
        <x:v>46003.93487005787</x:v>
      </x:c>
    </x:row>
    <x:row r="1049">
      <x:c r="A1049" t="str">
        <x:v>furar a ponta de orelha</x:v>
      </x:c>
      <x:c r="B1049" t="str">
        <x:v>patós ikí</x:v>
      </x:c>
      <x:c r="C1049" t="str">
        <x:v>f</x:v>
      </x:c>
      <x:c r="D1049" t="str">
        <x:v>gbfc7e414-93fc-4f46-be72-e32d1d72d920</x:v>
      </x:c>
      <x:c r="E1049" t="str">
        <x:v>gd599884a-ffed-444b-a483-479e09e154ff</x:v>
      </x:c>
      <x:c r="F1049" t="str">
        <x:v>https://www.webonary.org/marubo/gd599884a-ffed-444b-a483-479e09e154ff/</x:v>
      </x:c>
      <x:c r="G1049" s="20" t="n">
        <x:v>46003.93487005787</x:v>
      </x:c>
    </x:row>
    <x:row r="1050">
      <x:c r="A1050" t="str">
        <x:v>furo</x:v>
      </x:c>
      <x:c r="B1050" t="str">
        <x:v>tepó aká</x:v>
      </x:c>
      <x:c r="C1050" t="str">
        <x:v>f</x:v>
      </x:c>
      <x:c r="D1050" t="str">
        <x:v>g8b2ec0f6-e8eb-482a-b916-52b13f359374</x:v>
      </x:c>
      <x:c r="E1050" t="str">
        <x:v>gab97b606-7a69-4a3d-ae40-4d849925a930</x:v>
      </x:c>
      <x:c r="F1050" t="str">
        <x:v>https://www.webonary.org/marubo/gab97b606-7a69-4a3d-ae40-4d849925a930/</x:v>
      </x:c>
      <x:c r="G1050" s="20" t="n">
        <x:v>46003.93487005787</x:v>
      </x:c>
    </x:row>
    <x:row r="1051">
      <x:c r="A1051" t="str">
        <x:v>furtar</x:v>
      </x:c>
      <x:c r="B1051" t="str">
        <x:v>kerómá</x:v>
      </x:c>
      <x:c r="C1051" t="str">
        <x:v>f</x:v>
      </x:c>
      <x:c r="D1051" t="str">
        <x:v>ga9215656-c03b-45f3-b55e-bf0d2e68560d</x:v>
      </x:c>
      <x:c r="E1051" t="str">
        <x:v>g75eb0105-4c39-4991-a5c7-1056f5ddccb0</x:v>
      </x:c>
      <x:c r="F1051" t="str">
        <x:v>https://www.webonary.org/marubo/g75eb0105-4c39-4991-a5c7-1056f5ddccb0/</x:v>
      </x:c>
      <x:c r="G1051" s="20" t="n">
        <x:v>46003.93487005787</x:v>
      </x:c>
    </x:row>
    <x:row r="1052">
      <x:c r="A1052" t="str">
        <x:v>FUT</x:v>
      </x:c>
      <x:c r="B1052" t="str">
        <x:v>-katsai</x:v>
      </x:c>
      <x:c r="C1052" t="str">
        <x:v>f</x:v>
      </x:c>
      <x:c r="D1052" t="str">
        <x:v>g059adba6-b320-4e78-aebb-40f338b92b80</x:v>
      </x:c>
      <x:c r="E1052" t="str">
        <x:v>g933f7345-4654-4cc2-9067-db7fcbffc203</x:v>
      </x:c>
      <x:c r="F1052" t="str">
        <x:v>https://www.webonary.org/marubo/g933f7345-4654-4cc2-9067-db7fcbffc203/</x:v>
      </x:c>
      <x:c r="G1052" s="20" t="n">
        <x:v>46003.93487005787</x:v>
      </x:c>
    </x:row>
    <x:row r="1053">
      <x:c r="A1053" t="str">
        <x:v>FUT</x:v>
      </x:c>
      <x:c r="B1053" t="str">
        <x:v>-katsa</x:v>
      </x:c>
      <x:c r="C1053" t="str">
        <x:v>f</x:v>
      </x:c>
      <x:c r="D1053" t="str">
        <x:v>g059adba6-b320-4e78-aebb-40f338b92b80</x:v>
      </x:c>
      <x:c r="E1053" t="str">
        <x:v>g51d216de-fe82-488b-879d-82021fad490a</x:v>
      </x:c>
      <x:c r="F1053" t="str">
        <x:v>https://www.webonary.org/marubo/g51d216de-fe82-488b-879d-82021fad490a/</x:v>
      </x:c>
      <x:c r="G1053" s="20" t="n">
        <x:v>46003.93487005787</x:v>
      </x:c>
    </x:row>
    <x:row r="1054">
      <x:c r="A1054" t="str">
        <x:v>gafanhoto</x:v>
      </x:c>
      <x:c r="B1054" t="str">
        <x:v>txãpo</x:v>
      </x:c>
      <x:c r="C1054" t="str">
        <x:v>g</x:v>
      </x:c>
      <x:c r="D1054" t="str">
        <x:v>gb115eb9d-804d-4f1d-924b-145cffc4779e</x:v>
      </x:c>
      <x:c r="E1054" t="str">
        <x:v>ga6fac48c-01e5-449f-a9b3-7ec29b7bc65b</x:v>
      </x:c>
      <x:c r="F1054" t="str">
        <x:v>https://www.webonary.org/marubo/ga6fac48c-01e5-449f-a9b3-7ec29b7bc65b/</x:v>
      </x:c>
      <x:c r="G1054" s="20" t="n">
        <x:v>46003.93487005787</x:v>
      </x:c>
    </x:row>
    <x:row r="1055">
      <x:c r="A1055" t="str">
        <x:v>gageijo</x:v>
      </x:c>
      <x:c r="B1055" t="str">
        <x:v>ãcho</x:v>
      </x:c>
      <x:c r="C1055" t="str">
        <x:v>g</x:v>
      </x:c>
      <x:c r="D1055" t="str">
        <x:v>g70bc12dd-5680-4864-af01-798cfceb05a4</x:v>
      </x:c>
      <x:c r="E1055" t="str">
        <x:v>g1a68a48f-20a5-4b3c-9fc7-ad593c903b0a</x:v>
      </x:c>
      <x:c r="F1055" t="str">
        <x:v>https://www.webonary.org/marubo/g1a68a48f-20a5-4b3c-9fc7-ad593c903b0a/</x:v>
      </x:c>
      <x:c r="G1055" s="20" t="n">
        <x:v>46003.93487005787</x:v>
      </x:c>
    </x:row>
    <x:row r="1056">
      <x:c r="A1056" t="str">
        <x:v>gageijo</x:v>
      </x:c>
      <x:c r="B1056" t="str">
        <x:v>1</x:v>
      </x:c>
      <x:c r="C1056" t="str">
        <x:v>g</x:v>
      </x:c>
      <x:c r="D1056" t="str">
        <x:v>g70bc12dd-5680-4864-af01-798cfceb05a4</x:v>
      </x:c>
      <x:c r="E1056" t="str">
        <x:v>g1a68a48f-20a5-4b3c-9fc7-ad593c903b0a</x:v>
      </x:c>
      <x:c r="F1056" t="str">
        <x:v>https://www.webonary.org/marubo/g1a68a48f-20a5-4b3c-9fc7-ad593c903b0a/</x:v>
      </x:c>
      <x:c r="G1056" s="20" t="n">
        <x:v>46003.93487005787</x:v>
      </x:c>
    </x:row>
    <x:row r="1057">
      <x:c r="A1057" t="str">
        <x:v>galho</x:v>
      </x:c>
      <x:c r="B1057" t="str">
        <x:v>meã</x:v>
      </x:c>
      <x:c r="C1057" t="str">
        <x:v>g</x:v>
      </x:c>
      <x:c r="D1057" t="str">
        <x:v>g095dca2b-db56-43ab-9c1d-de392685f397</x:v>
      </x:c>
      <x:c r="E1057" t="str">
        <x:v>gd58e1b73-9aef-4de4-9abe-6f00e2c8b87c</x:v>
      </x:c>
      <x:c r="F1057" t="str">
        <x:v>https://www.webonary.org/marubo/gd58e1b73-9aef-4de4-9abe-6f00e2c8b87c/</x:v>
      </x:c>
      <x:c r="G1057" s="20" t="n">
        <x:v>46003.93487005787</x:v>
      </x:c>
    </x:row>
    <x:row r="1058">
      <x:c r="A1058" t="str">
        <x:v>galho de árvore</x:v>
      </x:c>
      <x:c r="B1058" t="str">
        <x:v>iwi mevi</x:v>
      </x:c>
      <x:c r="C1058" t="str">
        <x:v>g</x:v>
      </x:c>
      <x:c r="D1058" t="str">
        <x:v>g274a99d2-09d3-439b-8b99-f7598a66c599</x:v>
      </x:c>
      <x:c r="E1058" t="str">
        <x:v>geebffcbc-49e1-4577-892c-564b767b0510</x:v>
      </x:c>
      <x:c r="F1058" t="str">
        <x:v>https://www.webonary.org/marubo/geebffcbc-49e1-4577-892c-564b767b0510/</x:v>
      </x:c>
      <x:c r="G1058" s="20" t="n">
        <x:v>46003.93487005787</x:v>
      </x:c>
    </x:row>
    <x:row r="1059">
      <x:c r="A1059" t="str">
        <x:v>galinha</x:v>
      </x:c>
      <x:c r="B1059" t="str">
        <x:v>takare</x:v>
      </x:c>
      <x:c r="C1059" t="str">
        <x:v>g</x:v>
      </x:c>
      <x:c r="D1059" t="str">
        <x:v>gd95b9ba2-3690-45ee-b0ab-9a232b0aa7e3</x:v>
      </x:c>
      <x:c r="E1059" t="str">
        <x:v>gbbf978d6-3253-4959-b313-ce1aa5960d12</x:v>
      </x:c>
      <x:c r="F1059" t="str">
        <x:v>https://www.webonary.org/marubo/gbbf978d6-3253-4959-b313-ce1aa5960d12/</x:v>
      </x:c>
      <x:c r="G1059" s="20" t="n">
        <x:v>46003.93487005787</x:v>
      </x:c>
    </x:row>
    <x:row r="1060">
      <x:c r="A1060" t="str">
        <x:v>gambá</x:v>
      </x:c>
      <x:c r="B1060" t="str">
        <x:v>mashó</x:v>
      </x:c>
      <x:c r="C1060" t="str">
        <x:v>g</x:v>
      </x:c>
      <x:c r="D1060" t="str">
        <x:v>g2e9eabbc-6506-41ba-9ebe-d2ed3bcaa08b</x:v>
      </x:c>
      <x:c r="E1060" t="str">
        <x:v>g1959aa74-d7f7-4340-8391-da87bbe4a509</x:v>
      </x:c>
      <x:c r="F1060" t="str">
        <x:v>https://www.webonary.org/marubo/g1959aa74-d7f7-4340-8391-da87bbe4a509/</x:v>
      </x:c>
      <x:c r="G1060" s="20" t="n">
        <x:v>46003.93487005787</x:v>
      </x:c>
    </x:row>
    <x:row r="1061">
      <x:c r="A1061" t="str">
        <x:v>garça</x:v>
      </x:c>
      <x:c r="B1061" t="str">
        <x:v>osho</x:v>
      </x:c>
      <x:c r="C1061" t="str">
        <x:v>g</x:v>
      </x:c>
      <x:c r="D1061" t="str">
        <x:v>g546bc2f0-1f71-4992-8a1e-922e7216097b</x:v>
      </x:c>
      <x:c r="E1061" t="str">
        <x:v>ga1105418-f22b-4b33-b084-6dda07d59e78</x:v>
      </x:c>
      <x:c r="F1061" t="str">
        <x:v>https://www.webonary.org/marubo/ga1105418-f22b-4b33-b084-6dda07d59e78/</x:v>
      </x:c>
      <x:c r="G1061" s="20" t="n">
        <x:v>46003.93487005787</x:v>
      </x:c>
    </x:row>
    <x:row r="1062">
      <x:c r="A1062" t="str">
        <x:v>garganta</x:v>
      </x:c>
      <x:c r="B1062" t="str">
        <x:v>tepoke</x:v>
      </x:c>
      <x:c r="C1062" t="str">
        <x:v>g</x:v>
      </x:c>
      <x:c r="D1062" t="str">
        <x:v>gd24f8165-cbca-4bb9-8554-48ceb5200181</x:v>
      </x:c>
      <x:c r="E1062" t="str">
        <x:v>g50f52c72-dcf6-4b7f-b956-1a5648f51d8b</x:v>
      </x:c>
      <x:c r="F1062" t="str">
        <x:v>https://www.webonary.org/marubo/g50f52c72-dcf6-4b7f-b956-1a5648f51d8b/</x:v>
      </x:c>
      <x:c r="G1062" s="20" t="n">
        <x:v>46003.93487005787</x:v>
      </x:c>
    </x:row>
    <x:row r="1063">
      <x:c r="A1063" t="str">
        <x:v>gasolina (palavra emprestada)</x:v>
      </x:c>
      <x:c r="B1063" t="str">
        <x:v>kasorĩ</x:v>
      </x:c>
      <x:c r="C1063" t="str">
        <x:v>g</x:v>
      </x:c>
      <x:c r="D1063" t="str">
        <x:v>g34ca32ef-df16-4083-a9f0-fa481486a499</x:v>
      </x:c>
      <x:c r="E1063" t="str">
        <x:v>gf8bbe859-387d-44c5-ab8c-d633af9140f8</x:v>
      </x:c>
      <x:c r="F1063" t="str">
        <x:v>https://www.webonary.org/marubo/gf8bbe859-387d-44c5-ab8c-d633af9140f8/</x:v>
      </x:c>
      <x:c r="G1063" s="20" t="n">
        <x:v>46003.93487005787</x:v>
      </x:c>
    </x:row>
    <x:row r="1064">
      <x:c r="A1064" t="str">
        <x:v>gato da mata</x:v>
      </x:c>
      <x:c r="B1064" t="str">
        <x:v>ketsĩ</x:v>
      </x:c>
      <x:c r="C1064" t="str">
        <x:v>g</x:v>
      </x:c>
      <x:c r="D1064" t="str">
        <x:v>g2bb6be9b-62f6-46d6-8b7d-5201906e63a1</x:v>
      </x:c>
      <x:c r="E1064" t="str">
        <x:v>gfdb15266-03df-4f37-96a1-3dd140308b2c</x:v>
      </x:c>
      <x:c r="F1064" t="str">
        <x:v>https://www.webonary.org/marubo/gfdb15266-03df-4f37-96a1-3dd140308b2c/</x:v>
      </x:c>
      <x:c r="G1064" s="20" t="n">
        <x:v>46003.93487005787</x:v>
      </x:c>
    </x:row>
    <x:row r="1065">
      <x:c r="A1065" t="str">
        <x:v>gavião</x:v>
      </x:c>
      <x:c r="B1065" t="str">
        <x:v>teté</x:v>
      </x:c>
      <x:c r="C1065" t="str">
        <x:v>g</x:v>
      </x:c>
      <x:c r="D1065" t="str">
        <x:v>gd2247a05-499f-4e83-8b09-7ea07e6a49cc</x:v>
      </x:c>
      <x:c r="E1065" t="str">
        <x:v>g22454928-99a1-43fe-acdb-635a65dfba02</x:v>
      </x:c>
      <x:c r="F1065" t="str">
        <x:v>https://www.webonary.org/marubo/g22454928-99a1-43fe-acdb-635a65dfba02/</x:v>
      </x:c>
      <x:c r="G1065" s="20" t="n">
        <x:v>46003.93487005787</x:v>
      </x:c>
    </x:row>
    <x:row r="1066">
      <x:c r="A1066" t="str">
        <x:v>gavião</x:v>
      </x:c>
      <x:c r="B1066" t="str">
        <x:v>1</x:v>
      </x:c>
      <x:c r="C1066" t="str">
        <x:v>g</x:v>
      </x:c>
      <x:c r="D1066" t="str">
        <x:v>gd2247a05-499f-4e83-8b09-7ea07e6a49cc</x:v>
      </x:c>
      <x:c r="E1066" t="str">
        <x:v>g22454928-99a1-43fe-acdb-635a65dfba02</x:v>
      </x:c>
      <x:c r="F1066" t="str">
        <x:v>https://www.webonary.org/marubo/g22454928-99a1-43fe-acdb-635a65dfba02/</x:v>
      </x:c>
      <x:c r="G1066" s="20" t="n">
        <x:v>46003.93487005787</x:v>
      </x:c>
    </x:row>
    <x:row r="1067">
      <x:c r="A1067" t="str">
        <x:v>gênero de discurso formal</x:v>
      </x:c>
      <x:c r="B1067" t="str">
        <x:v>tsãi ikí</x:v>
      </x:c>
      <x:c r="C1067" t="str">
        <x:v>g</x:v>
      </x:c>
      <x:c r="D1067" t="str">
        <x:v>g0f693f38-1413-4163-8c13-be73e6d65cf6</x:v>
      </x:c>
      <x:c r="E1067" t="str">
        <x:v>gb0a508da-7677-4bf8-9ab8-db7e57eff0a4</x:v>
      </x:c>
      <x:c r="F1067" t="str">
        <x:v>https://www.webonary.org/marubo/gb0a508da-7677-4bf8-9ab8-db7e57eff0a4/</x:v>
      </x:c>
      <x:c r="G1067" s="20" t="n">
        <x:v>46003.93487005787</x:v>
      </x:c>
    </x:row>
    <x:row r="1068">
      <x:c r="A1068" t="str">
        <x:v>gênero de fala feito para ensinar ou disciplinar</x:v>
      </x:c>
      <x:c r="B1068" t="str">
        <x:v>vana aká</x:v>
      </x:c>
      <x:c r="C1068" t="str">
        <x:v>g</x:v>
      </x:c>
      <x:c r="D1068" t="str">
        <x:v>gb693b9b1-2bae-436e-9eed-3cd474760ae9</x:v>
      </x:c>
      <x:c r="E1068" t="str">
        <x:v>gb00faf0f-2868-4c0a-8a27-593d7f060857</x:v>
      </x:c>
      <x:c r="F1068" t="str">
        <x:v>https://www.webonary.org/marubo/gb00faf0f-2868-4c0a-8a27-593d7f060857/</x:v>
      </x:c>
      <x:c r="G1068" s="20" t="n">
        <x:v>46003.93487005787</x:v>
      </x:c>
    </x:row>
    <x:row r="1069">
      <x:c r="A1069" t="str">
        <x:v>gênero de música</x:v>
      </x:c>
      <x:c r="B1069" t="str">
        <x:v>wai ikí</x:v>
      </x:c>
      <x:c r="C1069" t="str">
        <x:v>g</x:v>
      </x:c>
      <x:c r="D1069" t="str">
        <x:v>g34289dc8-3f69-4159-933a-b0d079c8ff37</x:v>
      </x:c>
      <x:c r="E1069" t="str">
        <x:v>g1920b07d-c4d1-4c2f-bb87-b9e4c4dfd1e0</x:v>
      </x:c>
      <x:c r="F1069" t="str">
        <x:v>https://www.webonary.org/marubo/g1920b07d-c4d1-4c2f-bb87-b9e4c4dfd1e0/</x:v>
      </x:c>
      <x:c r="G1069" s="20" t="n">
        <x:v>46003.93487005787</x:v>
      </x:c>
    </x:row>
    <x:row r="1070">
      <x:c r="A1070" t="str">
        <x:v>gênero de música</x:v>
      </x:c>
      <x:c r="B1070" t="str">
        <x:v>vake koka ishõa</x:v>
      </x:c>
      <x:c r="C1070" t="str">
        <x:v>g</x:v>
      </x:c>
      <x:c r="D1070" t="str">
        <x:v>g34289dc8-3f69-4159-933a-b0d079c8ff37</x:v>
      </x:c>
      <x:c r="E1070" t="str">
        <x:v>g1cdce3bb-c343-4611-b212-5d9cd6c9a20c</x:v>
      </x:c>
      <x:c r="F1070" t="str">
        <x:v>https://www.webonary.org/marubo/g1cdce3bb-c343-4611-b212-5d9cd6c9a20c/</x:v>
      </x:c>
      <x:c r="G1070" s="20" t="n">
        <x:v>46003.93487005787</x:v>
      </x:c>
    </x:row>
    <x:row r="1071">
      <x:c r="A1071" t="str">
        <x:v>genero de música cantada</x:v>
      </x:c>
      <x:c r="B1071" t="str">
        <x:v>saiti</x:v>
      </x:c>
      <x:c r="C1071" t="str">
        <x:v>g</x:v>
      </x:c>
      <x:c r="D1071" t="str">
        <x:v>ged38c7a6-217d-471c-b057-f69bcdea0827</x:v>
      </x:c>
      <x:c r="E1071" t="str">
        <x:v>g0a050535-813b-4ab2-88bd-4940c7a75828</x:v>
      </x:c>
      <x:c r="F1071" t="str">
        <x:v>https://www.webonary.org/marubo/g0a050535-813b-4ab2-88bd-4940c7a75828/</x:v>
      </x:c>
      <x:c r="G1071" s="20" t="n">
        <x:v>46003.93487005787</x:v>
      </x:c>
    </x:row>
    <x:row r="1072">
      <x:c r="A1072" t="str">
        <x:v>gênero de música para chamar espíritos</x:v>
      </x:c>
      <x:c r="B1072" t="str">
        <x:v>ini ikí</x:v>
      </x:c>
      <x:c r="C1072" t="str">
        <x:v>g</x:v>
      </x:c>
      <x:c r="D1072" t="str">
        <x:v>g3b1b1609-fcfc-4e2f-ad74-15073f054396</x:v>
      </x:c>
      <x:c r="E1072" t="str">
        <x:v>g56ec7b0b-e1ad-4bf7-a5e0-b589a6f4e4f4</x:v>
      </x:c>
      <x:c r="F1072" t="str">
        <x:v>https://www.webonary.org/marubo/g56ec7b0b-e1ad-4bf7-a5e0-b589a6f4e4f4/</x:v>
      </x:c>
      <x:c r="G1072" s="20" t="n">
        <x:v>46003.93487005787</x:v>
      </x:c>
    </x:row>
    <x:row r="1073">
      <x:c r="A1073" t="str">
        <x:v>gengibre</x:v>
      </x:c>
      <x:c r="B1073" t="str">
        <x:v>võkíchi</x:v>
      </x:c>
      <x:c r="C1073" t="str">
        <x:v>g</x:v>
      </x:c>
      <x:c r="D1073" t="str">
        <x:v>g23c0c452-2711-4aeb-acce-160b5a7a2fd5</x:v>
      </x:c>
      <x:c r="E1073" t="str">
        <x:v>g0b2b3ffa-958a-4521-a5b4-026cc50599e9</x:v>
      </x:c>
      <x:c r="F1073" t="str">
        <x:v>https://www.webonary.org/marubo/g0b2b3ffa-958a-4521-a5b4-026cc50599e9/</x:v>
      </x:c>
      <x:c r="G1073" s="20" t="n">
        <x:v>46003.93487005787</x:v>
      </x:c>
    </x:row>
    <x:row r="1074">
      <x:c r="A1074" t="str">
        <x:v>genipapo</x:v>
      </x:c>
      <x:c r="B1074" t="str">
        <x:v>nane</x:v>
      </x:c>
      <x:c r="C1074" t="str">
        <x:v>g</x:v>
      </x:c>
      <x:c r="D1074" t="str">
        <x:v>gcc33738e-1533-4a96-a23c-10969bbad593</x:v>
      </x:c>
      <x:c r="E1074" t="str">
        <x:v>g40c7c854-4209-4afc-9754-d5371446d667</x:v>
      </x:c>
      <x:c r="F1074" t="str">
        <x:v>https://www.webonary.org/marubo/g40c7c854-4209-4afc-9754-d5371446d667/</x:v>
      </x:c>
      <x:c r="G1074" s="20" t="n">
        <x:v>46003.934876886575</x:v>
      </x:c>
    </x:row>
    <x:row r="1075">
      <x:c r="A1075" t="str">
        <x:v>genipapo</x:v>
      </x:c>
      <x:c r="B1075" t="str">
        <x:v>1</x:v>
      </x:c>
      <x:c r="C1075" t="str">
        <x:v>g</x:v>
      </x:c>
      <x:c r="D1075" t="str">
        <x:v>gcc33738e-1533-4a96-a23c-10969bbad593</x:v>
      </x:c>
      <x:c r="E1075" t="str">
        <x:v>g40c7c854-4209-4afc-9754-d5371446d667</x:v>
      </x:c>
      <x:c r="F1075" t="str">
        <x:v>https://www.webonary.org/marubo/g40c7c854-4209-4afc-9754-d5371446d667/</x:v>
      </x:c>
      <x:c r="G1075" s="20" t="n">
        <x:v>46003.934876886575</x:v>
      </x:c>
    </x:row>
    <x:row r="1076">
      <x:c r="A1076" t="str">
        <x:v>gilete</x:v>
      </x:c>
      <x:c r="B1076" t="str">
        <x:v>keni weshati</x:v>
      </x:c>
      <x:c r="C1076" t="str">
        <x:v>g</x:v>
      </x:c>
      <x:c r="D1076" t="str">
        <x:v>g0bf82a01-6e1f-4f2e-b163-dffe69fe35f3</x:v>
      </x:c>
      <x:c r="E1076" t="str">
        <x:v>g768b8391-8a23-4055-b1c0-42aa64e5aa4c</x:v>
      </x:c>
      <x:c r="F1076" t="str">
        <x:v>https://www.webonary.org/marubo/g768b8391-8a23-4055-b1c0-42aa64e5aa4c/</x:v>
      </x:c>
      <x:c r="G1076" s="20" t="n">
        <x:v>46003.934876886575</x:v>
      </x:c>
    </x:row>
    <x:row r="1077">
      <x:c r="A1077" t="str">
        <x:v>gilete</x:v>
      </x:c>
      <x:c r="B1077" t="str">
        <x:v>keni vechpiti</x:v>
      </x:c>
      <x:c r="C1077" t="str">
        <x:v>g</x:v>
      </x:c>
      <x:c r="D1077" t="str">
        <x:v>g0bf82a01-6e1f-4f2e-b163-dffe69fe35f3</x:v>
      </x:c>
      <x:c r="E1077" t="str">
        <x:v>g2f7a792e-740b-4cd9-951b-b50f7c7e827e</x:v>
      </x:c>
      <x:c r="F1077" t="str">
        <x:v>https://www.webonary.org/marubo/g2f7a792e-740b-4cd9-951b-b50f7c7e827e/</x:v>
      </x:c>
      <x:c r="G1077" s="20" t="n">
        <x:v>46003.934876886575</x:v>
      </x:c>
    </x:row>
    <x:row r="1078">
      <x:c r="A1078" t="str">
        <x:v>girar or virar</x:v>
      </x:c>
      <x:c r="B1078" t="str">
        <x:v>sĩki ikí</x:v>
      </x:c>
      <x:c r="C1078" t="str">
        <x:v>g</x:v>
      </x:c>
      <x:c r="D1078" t="str">
        <x:v>gc7a8f980-4112-41ce-80ac-9f36ea15e68e</x:v>
      </x:c>
      <x:c r="E1078" t="str">
        <x:v>ge0364f9f-d287-475d-85d0-cd624e91ce14</x:v>
      </x:c>
      <x:c r="F1078" t="str">
        <x:v>https://www.webonary.org/marubo/ge0364f9f-d287-475d-85d0-cd624e91ce14/</x:v>
      </x:c>
      <x:c r="G1078" s="20" t="n">
        <x:v>46003.934876886575</x:v>
      </x:c>
    </x:row>
    <x:row r="1079">
      <x:c r="A1079" t="str">
        <x:v>goiaba</x:v>
      </x:c>
      <x:c r="B1079" t="str">
        <x:v>yõká</x:v>
      </x:c>
      <x:c r="C1079" t="str">
        <x:v>g</x:v>
      </x:c>
      <x:c r="D1079" t="str">
        <x:v>gcff24dcd-e7f1-48a7-b21b-7e596eaa122c</x:v>
      </x:c>
      <x:c r="E1079" t="str">
        <x:v>gb68924c1-e938-4ef6-8e86-715f1de41c3d</x:v>
      </x:c>
      <x:c r="F1079" t="str">
        <x:v>https://www.webonary.org/marubo/gb68924c1-e938-4ef6-8e86-715f1de41c3d/</x:v>
      </x:c>
      <x:c r="G1079" s="20" t="n">
        <x:v>46003.934876886575</x:v>
      </x:c>
    </x:row>
    <x:row r="1080">
      <x:c r="A1080" t="str">
        <x:v>goma</x:v>
      </x:c>
      <x:c r="B1080" t="str">
        <x:v>atsa temi</x:v>
      </x:c>
      <x:c r="C1080" t="str">
        <x:v>g</x:v>
      </x:c>
      <x:c r="D1080" t="str">
        <x:v>g6c7e5cb5-783c-4c86-9d55-eef571f4435e</x:v>
      </x:c>
      <x:c r="E1080" t="str">
        <x:v>gd54e2674-1384-4338-80f7-d0ce944ce1b8</x:v>
      </x:c>
      <x:c r="F1080" t="str">
        <x:v>https://www.webonary.org/marubo/gd54e2674-1384-4338-80f7-d0ce944ce1b8/</x:v>
      </x:c>
      <x:c r="G1080" s="20" t="n">
        <x:v>46003.934876886575</x:v>
      </x:c>
    </x:row>
    <x:row r="1081">
      <x:c r="A1081" t="str">
        <x:v>gordo</x:v>
      </x:c>
      <x:c r="B1081" t="str">
        <x:v>chaoka</x:v>
      </x:c>
      <x:c r="C1081" t="str">
        <x:v>g</x:v>
      </x:c>
      <x:c r="D1081" t="str">
        <x:v>g13d49a0a-2221-49bb-befe-aacdec17c108</x:v>
      </x:c>
      <x:c r="E1081" t="str">
        <x:v>gd16b01c7-33d8-4a28-b1df-02583c941d21</x:v>
      </x:c>
      <x:c r="F1081" t="str">
        <x:v>https://www.webonary.org/marubo/gd16b01c7-33d8-4a28-b1df-02583c941d21/</x:v>
      </x:c>
      <x:c r="G1081" s="20" t="n">
        <x:v>46003.934876886575</x:v>
      </x:c>
    </x:row>
    <x:row r="1082">
      <x:c r="A1082" t="str">
        <x:v>gordura</x:v>
      </x:c>
      <x:c r="B1082" t="str">
        <x:v>sheni</x:v>
      </x:c>
      <x:c r="C1082" t="str">
        <x:v>g</x:v>
      </x:c>
      <x:c r="D1082" t="str">
        <x:v>gb580b465-e095-4cc8-957a-c499d0a1fb43</x:v>
      </x:c>
      <x:c r="E1082" t="str">
        <x:v>gb6a67942-7008-4688-afe9-4d39fe321e60</x:v>
      </x:c>
      <x:c r="F1082" t="str">
        <x:v>https://www.webonary.org/marubo/gb6a67942-7008-4688-afe9-4d39fe321e60/</x:v>
      </x:c>
      <x:c r="G1082" s="20" t="n">
        <x:v>46003.934876886575</x:v>
      </x:c>
    </x:row>
    <x:row r="1083">
      <x:c r="A1083" t="str">
        <x:v>gostar</x:v>
      </x:c>
      <x:c r="B1083" t="str">
        <x:v>rayáka</x:v>
      </x:c>
      <x:c r="C1083" t="str">
        <x:v>g</x:v>
      </x:c>
      <x:c r="D1083" t="str">
        <x:v>ge0dc9044-7f52-48e2-8785-b4efa06173ba</x:v>
      </x:c>
      <x:c r="E1083" t="str">
        <x:v>gac0772cb-12de-40eb-a8e7-2c3da038555b</x:v>
      </x:c>
      <x:c r="F1083" t="str">
        <x:v>https://www.webonary.org/marubo/gac0772cb-12de-40eb-a8e7-2c3da038555b/</x:v>
      </x:c>
      <x:c r="G1083" s="20" t="n">
        <x:v>46003.934876886575</x:v>
      </x:c>
    </x:row>
    <x:row r="1084">
      <x:c r="A1084" t="str">
        <x:v>gracejar</x:v>
      </x:c>
      <x:c r="B1084" t="str">
        <x:v>vechtia</x:v>
      </x:c>
      <x:c r="C1084" t="str">
        <x:v>g</x:v>
      </x:c>
      <x:c r="D1084" t="str">
        <x:v>g40456a6f-30a6-4f03-85db-6d24554b7f08</x:v>
      </x:c>
      <x:c r="E1084" t="str">
        <x:v>g438910dd-fc49-46f6-9d8a-dd3588235165</x:v>
      </x:c>
      <x:c r="F1084" t="str">
        <x:v>https://www.webonary.org/marubo/g438910dd-fc49-46f6-9d8a-dd3588235165/</x:v>
      </x:c>
      <x:c r="G1084" s="20" t="n">
        <x:v>46003.934876886575</x:v>
      </x:c>
    </x:row>
    <x:row r="1085">
      <x:c r="A1085" t="str">
        <x:v>grama</x:v>
      </x:c>
      <x:c r="B1085" t="str">
        <x:v>wasi</x:v>
      </x:c>
      <x:c r="C1085" t="str">
        <x:v>g</x:v>
      </x:c>
      <x:c r="D1085" t="str">
        <x:v>gf872be1a-35ef-4328-8ad7-04489f3b66c5</x:v>
      </x:c>
      <x:c r="E1085" t="str">
        <x:v>gaf3c6f21-1f16-42e4-8ba7-26c66d6f5ab8</x:v>
      </x:c>
      <x:c r="F1085" t="str">
        <x:v>https://www.webonary.org/marubo/gaf3c6f21-1f16-42e4-8ba7-26c66d6f5ab8/</x:v>
      </x:c>
      <x:c r="G1085" s="20" t="n">
        <x:v>46003.934876886575</x:v>
      </x:c>
    </x:row>
    <x:row r="1086">
      <x:c r="A1086" t="str">
        <x:v>grande</x:v>
      </x:c>
      <x:c r="B1086" t="str">
        <x:v>veneka</x:v>
      </x:c>
      <x:c r="C1086" t="str">
        <x:v>g</x:v>
      </x:c>
      <x:c r="D1086" t="str">
        <x:v>g5905d594-81df-43cc-811d-c2303733449b</x:v>
      </x:c>
      <x:c r="E1086" t="str">
        <x:v>g6e511d79-d33d-4dd9-85ad-5e56e83150a8</x:v>
      </x:c>
      <x:c r="F1086" t="str">
        <x:v>https://www.webonary.org/marubo/g6e511d79-d33d-4dd9-85ad-5e56e83150a8/</x:v>
      </x:c>
      <x:c r="G1086" s="20" t="n">
        <x:v>46003.934876886575</x:v>
      </x:c>
    </x:row>
    <x:row r="1087">
      <x:c r="A1087" t="str">
        <x:v>grande</x:v>
      </x:c>
      <x:c r="B1087" t="str">
        <x:v>anika</x:v>
      </x:c>
      <x:c r="C1087" t="str">
        <x:v>g</x:v>
      </x:c>
      <x:c r="D1087" t="str">
        <x:v>g5905d594-81df-43cc-811d-c2303733449b</x:v>
      </x:c>
      <x:c r="E1087" t="str">
        <x:v>gf5779957-9f79-4415-8e9f-22d80cc09bd1</x:v>
      </x:c>
      <x:c r="F1087" t="str">
        <x:v>https://www.webonary.org/marubo/gf5779957-9f79-4415-8e9f-22d80cc09bd1/</x:v>
      </x:c>
      <x:c r="G1087" s="20" t="n">
        <x:v>46003.934876886575</x:v>
      </x:c>
    </x:row>
    <x:row r="1088">
      <x:c r="A1088" t="str">
        <x:v>grande tatu de nariz comprido</x:v>
      </x:c>
      <x:c r="B1088" t="str">
        <x:v>yawichi awã</x:v>
      </x:c>
      <x:c r="C1088" t="str">
        <x:v>g</x:v>
      </x:c>
      <x:c r="D1088" t="str">
        <x:v>gac6eef55-aeb7-480b-8d4e-8c78c06e0f95</x:v>
      </x:c>
      <x:c r="E1088" t="str">
        <x:v>g9d57db33-2aee-4746-b981-a82557f5604d</x:v>
      </x:c>
      <x:c r="F1088" t="str">
        <x:v>https://www.webonary.org/marubo/g9d57db33-2aee-4746-b981-a82557f5604d/</x:v>
      </x:c>
      <x:c r="G1088" s="20" t="n">
        <x:v>46003.934876886575</x:v>
      </x:c>
    </x:row>
    <x:row r="1089">
      <x:c r="A1089" t="str">
        <x:v>granuloso</x:v>
      </x:c>
      <x:c r="B1089" t="str">
        <x:v>yareka</x:v>
      </x:c>
      <x:c r="C1089" t="str">
        <x:v>g</x:v>
      </x:c>
      <x:c r="D1089" t="str">
        <x:v>g16e4914a-c0e6-45e2-9891-40ff71a2f409</x:v>
      </x:c>
      <x:c r="E1089" t="str">
        <x:v>g4322e9cc-a22a-4c1b-a59c-63eddcf592c6</x:v>
      </x:c>
      <x:c r="F1089" t="str">
        <x:v>https://www.webonary.org/marubo/g4322e9cc-a22a-4c1b-a59c-63eddcf592c6/</x:v>
      </x:c>
      <x:c r="G1089" s="20" t="n">
        <x:v>46003.934876886575</x:v>
      </x:c>
    </x:row>
    <x:row r="1090">
      <x:c r="A1090" t="str">
        <x:v>graviola</x:v>
      </x:c>
      <x:c r="B1090" t="str">
        <x:v>shai</x:v>
      </x:c>
      <x:c r="C1090" t="str">
        <x:v>g</x:v>
      </x:c>
      <x:c r="D1090" t="str">
        <x:v>gc1a5bec1-9580-401b-ac6d-0bdf100e5133</x:v>
      </x:c>
      <x:c r="E1090" t="str">
        <x:v>gc8d41215-1463-4a27-b29f-bd27ff84182f</x:v>
      </x:c>
      <x:c r="F1090" t="str">
        <x:v>https://www.webonary.org/marubo/gc8d41215-1463-4a27-b29f-bd27ff84182f/</x:v>
      </x:c>
      <x:c r="G1090" s="20" t="n">
        <x:v>46003.934876886575</x:v>
      </x:c>
    </x:row>
    <x:row r="1091">
      <x:c r="A1091" t="str">
        <x:v>grilo</x:v>
      </x:c>
      <x:c r="B1091" t="str">
        <x:v>txãpo</x:v>
      </x:c>
      <x:c r="C1091" t="str">
        <x:v>g</x:v>
      </x:c>
      <x:c r="D1091" t="str">
        <x:v>g97fc9910-f238-4153-b974-db8c3bd90dfb</x:v>
      </x:c>
      <x:c r="E1091" t="str">
        <x:v>ga6fac48c-01e5-449f-a9b3-7ec29b7bc65b</x:v>
      </x:c>
      <x:c r="F1091" t="str">
        <x:v>https://www.webonary.org/marubo/ga6fac48c-01e5-449f-a9b3-7ec29b7bc65b/</x:v>
      </x:c>
      <x:c r="G1091" s="20" t="n">
        <x:v>46003.934876886575</x:v>
      </x:c>
    </x:row>
    <x:row r="1092">
      <x:c r="A1092" t="str">
        <x:v>gritar</x:v>
      </x:c>
      <x:c r="B1092" t="str">
        <x:v>txakar ikí</x:v>
      </x:c>
      <x:c r="C1092" t="str">
        <x:v>g</x:v>
      </x:c>
      <x:c r="D1092" t="str">
        <x:v>g3ba43551-9b1d-4544-880c-0d7a2c11bf40</x:v>
      </x:c>
      <x:c r="E1092" t="str">
        <x:v>g540ce367-df4a-4e96-b66a-44eaacf7a07b</x:v>
      </x:c>
      <x:c r="F1092" t="str">
        <x:v>https://www.webonary.org/marubo/g540ce367-df4a-4e96-b66a-44eaacf7a07b/</x:v>
      </x:c>
      <x:c r="G1092" s="20" t="n">
        <x:v>46003.934876886575</x:v>
      </x:c>
    </x:row>
    <x:row r="1093">
      <x:c r="A1093" t="str">
        <x:v>grosso</x:v>
      </x:c>
      <x:c r="B1093" t="str">
        <x:v>semeka</x:v>
      </x:c>
      <x:c r="C1093" t="str">
        <x:v>g</x:v>
      </x:c>
      <x:c r="D1093" t="str">
        <x:v>g1a1471f4-2507-4590-b9a3-e368f18d3fcd</x:v>
      </x:c>
      <x:c r="E1093" t="str">
        <x:v>g6ab9662e-a13f-4a1a-83d9-571acb6d43da</x:v>
      </x:c>
      <x:c r="F1093" t="str">
        <x:v>https://www.webonary.org/marubo/g6ab9662e-a13f-4a1a-83d9-571acb6d43da/</x:v>
      </x:c>
      <x:c r="G1093" s="20" t="n">
        <x:v>46003.934876886575</x:v>
      </x:c>
    </x:row>
    <x:row r="1094">
      <x:c r="A1094" t="str">
        <x:v>grosso</x:v>
      </x:c>
      <x:c r="B1094" t="str">
        <x:v>txõtéshka</x:v>
      </x:c>
      <x:c r="C1094" t="str">
        <x:v>g</x:v>
      </x:c>
      <x:c r="D1094" t="str">
        <x:v>g1a1471f4-2507-4590-b9a3-e368f18d3fcd</x:v>
      </x:c>
      <x:c r="E1094" t="str">
        <x:v>g5e067e05-1fbd-41cb-878b-6e766c741eca</x:v>
      </x:c>
      <x:c r="F1094" t="str">
        <x:v>https://www.webonary.org/marubo/g5e067e05-1fbd-41cb-878b-6e766c741eca/</x:v>
      </x:c>
      <x:c r="G1094" s="20" t="n">
        <x:v>46003.934876886575</x:v>
      </x:c>
    </x:row>
    <x:row r="1095">
      <x:c r="A1095" t="str">
        <x:v>grosso</x:v>
      </x:c>
      <x:c r="B1095" t="str">
        <x:v>kevika</x:v>
      </x:c>
      <x:c r="C1095" t="str">
        <x:v>g</x:v>
      </x:c>
      <x:c r="D1095" t="str">
        <x:v>g1a1471f4-2507-4590-b9a3-e368f18d3fcd</x:v>
      </x:c>
      <x:c r="E1095" t="str">
        <x:v>g132e1612-6fd0-4250-912c-9679f0aacc97</x:v>
      </x:c>
      <x:c r="F1095" t="str">
        <x:v>https://www.webonary.org/marubo/g132e1612-6fd0-4250-912c-9679f0aacc97/</x:v>
      </x:c>
      <x:c r="G1095" s="20" t="n">
        <x:v>46003.934876886575</x:v>
      </x:c>
    </x:row>
    <x:row r="1096">
      <x:c r="A1096" t="str">
        <x:v>grudento</x:v>
      </x:c>
      <x:c r="B1096" t="str">
        <x:v>txõteka</x:v>
      </x:c>
      <x:c r="C1096" t="str">
        <x:v>g</x:v>
      </x:c>
      <x:c r="D1096" t="str">
        <x:v>g9164c1b4-414b-4c90-ba74-b0ec4c8eab88</x:v>
      </x:c>
      <x:c r="E1096" t="str">
        <x:v>g8c48a21f-4107-4141-b85d-4e08c5504746</x:v>
      </x:c>
      <x:c r="F1096" t="str">
        <x:v>https://www.webonary.org/marubo/g8c48a21f-4107-4141-b85d-4e08c5504746/</x:v>
      </x:c>
      <x:c r="G1096" s="20" t="n">
        <x:v>46003.934876886575</x:v>
      </x:c>
    </x:row>
    <x:row r="1097">
      <x:c r="A1097" t="str">
        <x:v>guardar</x:v>
      </x:c>
      <x:c r="B1097" t="str">
        <x:v>mekea</x:v>
      </x:c>
      <x:c r="C1097" t="str">
        <x:v>g</x:v>
      </x:c>
      <x:c r="D1097" t="str">
        <x:v>gb83316a9-ab34-439a-95cc-f63756c29a1e</x:v>
      </x:c>
      <x:c r="E1097" t="str">
        <x:v>g61eb2767-2120-4e3e-8c3e-acd888af8b9c</x:v>
      </x:c>
      <x:c r="F1097" t="str">
        <x:v>https://www.webonary.org/marubo/g61eb2767-2120-4e3e-8c3e-acd888af8b9c/</x:v>
      </x:c>
      <x:c r="G1097" s="20" t="n">
        <x:v>46003.934876886575</x:v>
      </x:c>
    </x:row>
    <x:row r="1098">
      <x:c r="A1098" t="str">
        <x:v>guariba</x:v>
      </x:c>
      <x:c r="B1098" t="str">
        <x:v>roo</x:v>
      </x:c>
      <x:c r="C1098" t="str">
        <x:v>g</x:v>
      </x:c>
      <x:c r="D1098" t="str">
        <x:v>g26ebda77-3717-43cb-9d7d-2ce12519b367</x:v>
      </x:c>
      <x:c r="E1098" t="str">
        <x:v>gaae9bce1-dec3-4c06-a7ac-81dcc1fa66d0</x:v>
      </x:c>
      <x:c r="F1098" t="str">
        <x:v>https://www.webonary.org/marubo/gaae9bce1-dec3-4c06-a7ac-81dcc1fa66d0/</x:v>
      </x:c>
      <x:c r="G1098" s="20" t="n">
        <x:v>46003.934876886575</x:v>
      </x:c>
    </x:row>
    <x:row r="1099">
      <x:c r="A1099" t="str">
        <x:v>guariba</x:v>
      </x:c>
      <x:c r="B1099" t="str">
        <x:v>1</x:v>
      </x:c>
      <x:c r="C1099" t="str">
        <x:v>g</x:v>
      </x:c>
      <x:c r="D1099" t="str">
        <x:v>g26ebda77-3717-43cb-9d7d-2ce12519b367</x:v>
      </x:c>
      <x:c r="E1099" t="str">
        <x:v>gaae9bce1-dec3-4c06-a7ac-81dcc1fa66d0</x:v>
      </x:c>
      <x:c r="F1099" t="str">
        <x:v>https://www.webonary.org/marubo/gaae9bce1-dec3-4c06-a7ac-81dcc1fa66d0/</x:v>
      </x:c>
      <x:c r="G1099" s="20" t="n">
        <x:v>46003.934876886575</x:v>
      </x:c>
    </x:row>
    <x:row r="1100">
      <x:c r="A1100" t="str">
        <x:v>HAB</x:v>
      </x:c>
      <x:c r="B1100" t="str">
        <x:v>-mis</x:v>
      </x:c>
      <x:c r="C1100" t="str">
        <x:v>h</x:v>
      </x:c>
      <x:c r="D1100" t="str">
        <x:v>gc02e8c12-d547-4e00-949f-e124ce92bc67</x:v>
      </x:c>
      <x:c r="E1100" t="str">
        <x:v>ge51fccfd-d476-4cc4-987c-4e04930f0666</x:v>
      </x:c>
      <x:c r="F1100" t="str">
        <x:v>https://www.webonary.org/marubo/ge51fccfd-d476-4cc4-987c-4e04930f0666/</x:v>
      </x:c>
      <x:c r="G1100" s="20" t="n">
        <x:v>46003.934876886575</x:v>
      </x:c>
    </x:row>
    <x:row r="1101">
      <x:c r="A1101" t="str">
        <x:v>HAB</x:v>
      </x:c>
      <x:c r="B1101" t="str">
        <x:v>-mtsãwã</x:v>
      </x:c>
      <x:c r="C1101" t="str">
        <x:v>h</x:v>
      </x:c>
      <x:c r="D1101" t="str">
        <x:v>gc02e8c12-d547-4e00-949f-e124ce92bc67</x:v>
      </x:c>
      <x:c r="E1101" t="str">
        <x:v>g76f381bb-eeb1-4001-bbeb-96fb90f94c12</x:v>
      </x:c>
      <x:c r="F1101" t="str">
        <x:v>https://www.webonary.org/marubo/g76f381bb-eeb1-4001-bbeb-96fb90f94c12/</x:v>
      </x:c>
      <x:c r="G1101" s="20" t="n">
        <x:v>46003.934876886575</x:v>
      </x:c>
    </x:row>
    <x:row r="1102">
      <x:c r="A1102" t="str">
        <x:v>haste</x:v>
      </x:c>
      <x:c r="B1102" t="str">
        <x:v>txĩti</x:v>
      </x:c>
      <x:c r="C1102" t="str">
        <x:v>h</x:v>
      </x:c>
      <x:c r="D1102" t="str">
        <x:v>g4b6aa602-2040-4cbe-957e-5451796626c5</x:v>
      </x:c>
      <x:c r="E1102" t="str">
        <x:v>ga8410985-2936-45ef-9c13-8c6274a959b7</x:v>
      </x:c>
      <x:c r="F1102" t="str">
        <x:v>https://www.webonary.org/marubo/ga8410985-2936-45ef-9c13-8c6274a959b7/</x:v>
      </x:c>
      <x:c r="G1102" s="20" t="n">
        <x:v>46003.934876886575</x:v>
      </x:c>
    </x:row>
    <x:row r="1103">
      <x:c r="A1103" t="str">
        <x:v>herécori</x:v>
      </x:c>
      <x:c r="B1103" t="str">
        <x:v>piti</x:v>
      </x:c>
      <x:c r="C1103" t="str">
        <x:v>h</x:v>
      </x:c>
      <x:c r="D1103" t="str">
        <x:v>gded29870-f75a-4225-9ab2-54c1b838e633</x:v>
      </x:c>
      <x:c r="E1103" t="str">
        <x:v>gb51e5443-4bbc-4534-bd35-3355c6876540</x:v>
      </x:c>
      <x:c r="F1103" t="str">
        <x:v>https://www.webonary.org/marubo/gb51e5443-4bbc-4534-bd35-3355c6876540/</x:v>
      </x:c>
      <x:c r="G1103" s="20" t="n">
        <x:v>46003.934876886575</x:v>
      </x:c>
    </x:row>
    <x:row r="1104">
      <x:c r="A1104" t="str">
        <x:v>herécori</x:v>
      </x:c>
      <x:c r="B1104" t="str">
        <x:v>2</x:v>
      </x:c>
      <x:c r="C1104" t="str">
        <x:v>h</x:v>
      </x:c>
      <x:c r="D1104" t="str">
        <x:v>gded29870-f75a-4225-9ab2-54c1b838e633</x:v>
      </x:c>
      <x:c r="E1104" t="str">
        <x:v>gb51e5443-4bbc-4534-bd35-3355c6876540</x:v>
      </x:c>
      <x:c r="F1104" t="str">
        <x:v>https://www.webonary.org/marubo/gb51e5443-4bbc-4534-bd35-3355c6876540/</x:v>
      </x:c>
      <x:c r="G1104" s="20" t="n">
        <x:v>46003.934876886575</x:v>
      </x:c>
    </x:row>
    <x:row r="1105">
      <x:c r="A1105" t="str">
        <x:v>HIP</x:v>
      </x:c>
      <x:c r="B1105" t="str">
        <x:v>-kenkẽa</x:v>
      </x:c>
      <x:c r="C1105" t="str">
        <x:v>h</x:v>
      </x:c>
      <x:c r="D1105" t="str">
        <x:v>g9411e94a-63ca-4c10-9918-a6eddf0e060e</x:v>
      </x:c>
      <x:c r="E1105" t="str">
        <x:v>g290e4e70-2939-4bdc-9410-73ee313aaf34</x:v>
      </x:c>
      <x:c r="F1105" t="str">
        <x:v>https://www.webonary.org/marubo/g290e4e70-2939-4bdc-9410-73ee313aaf34/</x:v>
      </x:c>
      <x:c r="G1105" s="20" t="n">
        <x:v>46003.934876886575</x:v>
      </x:c>
    </x:row>
    <x:row r="1106">
      <x:c r="A1106" t="str">
        <x:v>HIP</x:v>
      </x:c>
      <x:c r="B1106" t="str">
        <x:v>-kẽa</x:v>
      </x:c>
      <x:c r="C1106" t="str">
        <x:v>h</x:v>
      </x:c>
      <x:c r="D1106" t="str">
        <x:v>g9411e94a-63ca-4c10-9918-a6eddf0e060e</x:v>
      </x:c>
      <x:c r="E1106" t="str">
        <x:v>g8c6c2d31-730d-4b7b-953d-432167bb8ecf</x:v>
      </x:c>
      <x:c r="F1106" t="str">
        <x:v>https://www.webonary.org/marubo/g8c6c2d31-730d-4b7b-953d-432167bb8ecf/</x:v>
      </x:c>
      <x:c r="G1106" s="20" t="n">
        <x:v>46003.934876886575</x:v>
      </x:c>
    </x:row>
    <x:row r="1107">
      <x:c r="A1107" t="str">
        <x:v>HOD</x:v>
      </x:c>
      <x:c r="B1107" t="str">
        <x:v>-ai</x:v>
      </x:c>
      <x:c r="C1107" t="str">
        <x:v>h</x:v>
      </x:c>
      <x:c r="D1107" t="str">
        <x:v>g9fe82443-1560-4189-8a27-d00ae1e78e24</x:v>
      </x:c>
      <x:c r="E1107" t="str">
        <x:v>g57665998-3506-4983-b043-a7c91efb3499</x:v>
      </x:c>
      <x:c r="F1107" t="str">
        <x:v>https://www.webonary.org/marubo/g57665998-3506-4983-b043-a7c91efb3499/</x:v>
      </x:c>
      <x:c r="G1107" s="20" t="n">
        <x:v>46003.934876886575</x:v>
      </x:c>
    </x:row>
    <x:row r="1108">
      <x:c r="A1108" t="str">
        <x:v>hoje</x:v>
      </x:c>
      <x:c r="B1108" t="str">
        <x:v>rama</x:v>
      </x:c>
      <x:c r="C1108" t="str">
        <x:v>h</x:v>
      </x:c>
      <x:c r="D1108" t="str">
        <x:v>g5346777c-118b-4e57-98ed-7d8dfd2a1ae0</x:v>
      </x:c>
      <x:c r="E1108" t="str">
        <x:v>g67d05de2-000b-46b8-8b80-b608f45d4efc</x:v>
      </x:c>
      <x:c r="F1108" t="str">
        <x:v>https://www.webonary.org/marubo/g67d05de2-000b-46b8-8b80-b608f45d4efc/</x:v>
      </x:c>
      <x:c r="G1108" s="20" t="n">
        <x:v>46003.934876886575</x:v>
      </x:c>
    </x:row>
    <x:row r="1109">
      <x:c r="A1109" t="str">
        <x:v>homem</x:v>
      </x:c>
      <x:c r="B1109" t="str">
        <x:v>vene</x:v>
      </x:c>
      <x:c r="C1109" t="str">
        <x:v>h</x:v>
      </x:c>
      <x:c r="D1109" t="str">
        <x:v>g078e96c6-9d74-40a7-8ef6-bba922bb7592</x:v>
      </x:c>
      <x:c r="E1109" t="str">
        <x:v>gf3072b38-ec78-4a76-bc18-47b720693afb</x:v>
      </x:c>
      <x:c r="F1109" t="str">
        <x:v>https://www.webonary.org/marubo/gf3072b38-ec78-4a76-bc18-47b720693afb/</x:v>
      </x:c>
      <x:c r="G1109" s="20" t="n">
        <x:v>46003.934876886575</x:v>
      </x:c>
    </x:row>
    <x:row r="1110">
      <x:c r="A1110" t="str">
        <x:v>HON</x:v>
      </x:c>
      <x:c r="B1110" t="str">
        <x:v>-txo</x:v>
      </x:c>
      <x:c r="C1110" t="str">
        <x:v>h</x:v>
      </x:c>
      <x:c r="D1110" t="str">
        <x:v>g629bfe1d-6da2-4916-a0a2-afacefa44a76</x:v>
      </x:c>
      <x:c r="E1110" t="str">
        <x:v>gfe64a38c-31ea-41f1-b73f-941f68eaed5f</x:v>
      </x:c>
      <x:c r="F1110" t="str">
        <x:v>https://www.webonary.org/marubo/gfe64a38c-31ea-41f1-b73f-941f68eaed5f/</x:v>
      </x:c>
      <x:c r="G1110" s="20" t="n">
        <x:v>46003.934876886575</x:v>
      </x:c>
    </x:row>
    <x:row r="1111">
      <x:c r="A1111" t="str">
        <x:v>HON</x:v>
      </x:c>
      <x:c r="B1111" t="str">
        <x:v>2</x:v>
      </x:c>
      <x:c r="C1111" t="str">
        <x:v>h</x:v>
      </x:c>
      <x:c r="D1111" t="str">
        <x:v>g629bfe1d-6da2-4916-a0a2-afacefa44a76</x:v>
      </x:c>
      <x:c r="E1111" t="str">
        <x:v>gfe64a38c-31ea-41f1-b73f-941f68eaed5f</x:v>
      </x:c>
      <x:c r="F1111" t="str">
        <x:v>https://www.webonary.org/marubo/gfe64a38c-31ea-41f1-b73f-941f68eaed5f/</x:v>
      </x:c>
      <x:c r="G1111" s="20" t="n">
        <x:v>46003.934876886575</x:v>
      </x:c>
    </x:row>
    <x:row r="1112">
      <x:c r="A1112" t="str">
        <x:v>honorífico</x:v>
      </x:c>
      <x:c r="B1112" t="str">
        <x:v>-txo</x:v>
      </x:c>
      <x:c r="C1112" t="str">
        <x:v>h</x:v>
      </x:c>
      <x:c r="D1112" t="str">
        <x:v>g8c3845ac-4396-4fde-b8e1-d2215ddc3328</x:v>
      </x:c>
      <x:c r="E1112" t="str">
        <x:v>g57bd0563-8d13-4e24-b59c-aebcd9cdd46c</x:v>
      </x:c>
      <x:c r="F1112" t="str">
        <x:v>https://www.webonary.org/marubo/g57bd0563-8d13-4e24-b59c-aebcd9cdd46c/</x:v>
      </x:c>
      <x:c r="G1112" s="20" t="n">
        <x:v>46003.934876886575</x:v>
      </x:c>
    </x:row>
    <x:row r="1113">
      <x:c r="A1113" t="str">
        <x:v>honorífico</x:v>
      </x:c>
      <x:c r="B1113" t="str">
        <x:v>1</x:v>
      </x:c>
      <x:c r="C1113" t="str">
        <x:v>h</x:v>
      </x:c>
      <x:c r="D1113" t="str">
        <x:v>g8c3845ac-4396-4fde-b8e1-d2215ddc3328</x:v>
      </x:c>
      <x:c r="E1113" t="str">
        <x:v>g57bd0563-8d13-4e24-b59c-aebcd9cdd46c</x:v>
      </x:c>
      <x:c r="F1113" t="str">
        <x:v>https://www.webonary.org/marubo/g57bd0563-8d13-4e24-b59c-aebcd9cdd46c/</x:v>
      </x:c>
      <x:c r="G1113" s="20" t="n">
        <x:v>46003.934876886575</x:v>
      </x:c>
    </x:row>
    <x:row r="1114">
      <x:c r="A1114" t="str">
        <x:v>igarapé</x:v>
      </x:c>
      <x:c r="B1114" t="str">
        <x:v>teã</x:v>
      </x:c>
      <x:c r="C1114" t="str">
        <x:v>i</x:v>
      </x:c>
      <x:c r="D1114" t="str">
        <x:v>g9b8f96fa-3ad5-4756-a086-eb0a3213f38d</x:v>
      </x:c>
      <x:c r="E1114" t="str">
        <x:v>g861d2952-f737-4437-91f5-2e17670d8228</x:v>
      </x:c>
      <x:c r="F1114" t="str">
        <x:v>https://www.webonary.org/marubo/g861d2952-f737-4437-91f5-2e17670d8228/</x:v>
      </x:c>
      <x:c r="G1114" s="20" t="n">
        <x:v>46003.934876886575</x:v>
      </x:c>
    </x:row>
    <x:row r="1115">
      <x:c r="A1115" t="str">
        <x:v>iguana</x:v>
      </x:c>
      <x:c r="B1115" t="str">
        <x:v>sheké</x:v>
      </x:c>
      <x:c r="C1115" t="str">
        <x:v>i</x:v>
      </x:c>
      <x:c r="D1115" t="str">
        <x:v>g7e56bcd6-044c-4e28-955a-ea0256d38bac</x:v>
      </x:c>
      <x:c r="E1115" t="str">
        <x:v>g43645b4b-e166-48bb-8453-21881fed454b</x:v>
      </x:c>
      <x:c r="F1115" t="str">
        <x:v>https://www.webonary.org/marubo/g43645b4b-e166-48bb-8453-21881fed454b/</x:v>
      </x:c>
      <x:c r="G1115" s="20" t="n">
        <x:v>46003.934876886575</x:v>
      </x:c>
    </x:row>
    <x:row r="1116">
      <x:c r="A1116" t="str">
        <x:v>imagem</x:v>
      </x:c>
      <x:c r="B1116" t="str">
        <x:v>yochĩ</x:v>
      </x:c>
      <x:c r="C1116" t="str">
        <x:v>i</x:v>
      </x:c>
      <x:c r="D1116" t="str">
        <x:v>g94f85641-115e-49b8-890f-d66b0dc3a6d4</x:v>
      </x:c>
      <x:c r="E1116" t="str">
        <x:v>g3084a2cd-2015-4ad4-955e-e2b91d1b2ba9</x:v>
      </x:c>
      <x:c r="F1116" t="str">
        <x:v>https://www.webonary.org/marubo/g3084a2cd-2015-4ad4-955e-e2b91d1b2ba9/</x:v>
      </x:c>
      <x:c r="G1116" s="20" t="n">
        <x:v>46003.934876886575</x:v>
      </x:c>
    </x:row>
    <x:row r="1117">
      <x:c r="A1117" t="str">
        <x:v>imitar</x:v>
      </x:c>
      <x:c r="B1117" t="str">
        <x:v>naroa</x:v>
      </x:c>
      <x:c r="C1117" t="str">
        <x:v>i</x:v>
      </x:c>
      <x:c r="D1117" t="str">
        <x:v>g3191ecf9-2d2d-436e-8624-f83eb2fd2f71</x:v>
      </x:c>
      <x:c r="E1117" t="str">
        <x:v>g0138cfa2-7b27-406d-9852-6b8cb175fe28</x:v>
      </x:c>
      <x:c r="F1117" t="str">
        <x:v>https://www.webonary.org/marubo/g0138cfa2-7b27-406d-9852-6b8cb175fe28/</x:v>
      </x:c>
      <x:c r="G1117" s="20" t="n">
        <x:v>46003.934876886575</x:v>
      </x:c>
    </x:row>
    <x:row r="1118">
      <x:c r="A1118" t="str">
        <x:v>IMP</x:v>
      </x:c>
      <x:c r="B1118" t="str">
        <x:v>-tso</x:v>
      </x:c>
      <x:c r="C1118" t="str">
        <x:v>i</x:v>
      </x:c>
      <x:c r="D1118" t="str">
        <x:v>ga5f26c6e-00f6-4feb-bb66-0017f43b7392</x:v>
      </x:c>
      <x:c r="E1118" t="str">
        <x:v>gb5b2d647-4b79-48b8-a406-72e6edb7f919</x:v>
      </x:c>
      <x:c r="F1118" t="str">
        <x:v>https://www.webonary.org/marubo/gb5b2d647-4b79-48b8-a406-72e6edb7f919/</x:v>
      </x:c>
      <x:c r="G1118" s="20" t="n">
        <x:v>46003.934876886575</x:v>
      </x:c>
    </x:row>
    <x:row r="1119">
      <x:c r="A1119" t="str">
        <x:v>IMPOS</x:v>
      </x:c>
      <x:c r="B1119" t="str">
        <x:v>-tĩpa</x:v>
      </x:c>
      <x:c r="C1119" t="str">
        <x:v>i</x:v>
      </x:c>
      <x:c r="D1119" t="str">
        <x:v>g15207459-1d35-4f61-9b09-696eaec43136</x:v>
      </x:c>
      <x:c r="E1119" t="str">
        <x:v>g2e4d2075-008f-44ad-b6ee-99ed01fe2f1d</x:v>
      </x:c>
      <x:c r="F1119" t="str">
        <x:v>https://www.webonary.org/marubo/g2e4d2075-008f-44ad-b6ee-99ed01fe2f1d/</x:v>
      </x:c>
      <x:c r="G1119" s="20" t="n">
        <x:v>46003.934876886575</x:v>
      </x:c>
    </x:row>
    <x:row r="1120">
      <x:c r="A1120" t="str">
        <x:v>inambu</x:v>
      </x:c>
      <x:c r="B1120" t="str">
        <x:v>koma</x:v>
      </x:c>
      <x:c r="C1120" t="str">
        <x:v>i</x:v>
      </x:c>
      <x:c r="D1120" t="str">
        <x:v>ga0c8f8d4-5af2-4083-abcb-677b4f08121a</x:v>
      </x:c>
      <x:c r="E1120" t="str">
        <x:v>g411e9950-55f5-4c46-918b-c9383f7dd326</x:v>
      </x:c>
      <x:c r="F1120" t="str">
        <x:v>https://www.webonary.org/marubo/g411e9950-55f5-4c46-918b-c9383f7dd326/</x:v>
      </x:c>
      <x:c r="G1120" s="20" t="n">
        <x:v>46003.934876886575</x:v>
      </x:c>
    </x:row>
    <x:row r="1121">
      <x:c r="A1121" t="str">
        <x:v>inambu</x:v>
      </x:c>
      <x:c r="B1121" t="str">
        <x:v>1</x:v>
      </x:c>
      <x:c r="C1121" t="str">
        <x:v>i</x:v>
      </x:c>
      <x:c r="D1121" t="str">
        <x:v>ga0c8f8d4-5af2-4083-abcb-677b4f08121a</x:v>
      </x:c>
      <x:c r="E1121" t="str">
        <x:v>g411e9950-55f5-4c46-918b-c9383f7dd326</x:v>
      </x:c>
      <x:c r="F1121" t="str">
        <x:v>https://www.webonary.org/marubo/g411e9950-55f5-4c46-918b-c9383f7dd326/</x:v>
      </x:c>
      <x:c r="G1121" s="20" t="n">
        <x:v>46003.934876886575</x:v>
      </x:c>
    </x:row>
    <x:row r="1122">
      <x:c r="A1122" t="str">
        <x:v>incendiar</x:v>
      </x:c>
      <x:c r="B1122" t="str">
        <x:v>ee ikí</x:v>
      </x:c>
      <x:c r="C1122" t="str">
        <x:v>i</x:v>
      </x:c>
      <x:c r="D1122" t="str">
        <x:v>ge36bdc42-9bd6-476b-9458-05b251676062</x:v>
      </x:c>
      <x:c r="E1122" t="str">
        <x:v>gcd2a0062-f72b-43df-8025-c9d9c6510ccb</x:v>
      </x:c>
      <x:c r="F1122" t="str">
        <x:v>https://www.webonary.org/marubo/gcd2a0062-f72b-43df-8025-c9d9c6510ccb/</x:v>
      </x:c>
      <x:c r="G1122" s="20" t="n">
        <x:v>46003.934876886575</x:v>
      </x:c>
    </x:row>
    <x:row r="1123">
      <x:c r="A1123" t="str">
        <x:v>inchado</x:v>
      </x:c>
      <x:c r="B1123" t="str">
        <x:v>soroka</x:v>
      </x:c>
      <x:c r="C1123" t="str">
        <x:v>i</x:v>
      </x:c>
      <x:c r="D1123" t="str">
        <x:v>g136c04ac-8219-447c-93c1-b03f7e2ec2b7</x:v>
      </x:c>
      <x:c r="E1123" t="str">
        <x:v>gee82a5fa-7e01-4863-978f-c4420e1370a0</x:v>
      </x:c>
      <x:c r="F1123" t="str">
        <x:v>https://www.webonary.org/marubo/gee82a5fa-7e01-4863-978f-c4420e1370a0/</x:v>
      </x:c>
      <x:c r="G1123" s="20" t="n">
        <x:v>46003.934876886575</x:v>
      </x:c>
    </x:row>
    <x:row r="1124">
      <x:c r="A1124" t="str">
        <x:v>inclinado</x:v>
      </x:c>
      <x:c r="B1124" t="str">
        <x:v>keshkã</x:v>
      </x:c>
      <x:c r="C1124" t="str">
        <x:v>i</x:v>
      </x:c>
      <x:c r="D1124" t="str">
        <x:v>g75ed6479-5b8a-4bb8-a608-7bd9288956f7</x:v>
      </x:c>
      <x:c r="E1124" t="str">
        <x:v>gb3fd28ae-21cb-4af0-b1dc-d803106fddb5</x:v>
      </x:c>
      <x:c r="F1124" t="str">
        <x:v>https://www.webonary.org/marubo/gb3fd28ae-21cb-4af0-b1dc-d803106fddb5/</x:v>
      </x:c>
      <x:c r="G1124" s="20" t="n">
        <x:v>46003.934876886575</x:v>
      </x:c>
    </x:row>
    <x:row r="1125">
      <x:c r="A1125" t="str">
        <x:v>indicar</x:v>
      </x:c>
      <x:c r="B1125" t="str">
        <x:v>yoia</x:v>
      </x:c>
      <x:c r="C1125" t="str">
        <x:v>i</x:v>
      </x:c>
      <x:c r="D1125" t="str">
        <x:v>ge6963b89-c352-4f4b-a296-58dd551f02ef</x:v>
      </x:c>
      <x:c r="E1125" t="str">
        <x:v>g252c3f38-86a7-47df-bd5a-6d95dc188d1f</x:v>
      </x:c>
      <x:c r="F1125" t="str">
        <x:v>https://www.webonary.org/marubo/g252c3f38-86a7-47df-bd5a-6d95dc188d1f/</x:v>
      </x:c>
      <x:c r="G1125" s="20" t="n">
        <x:v>46003.934876886575</x:v>
      </x:c>
    </x:row>
    <x:row r="1126">
      <x:c r="A1126" t="str">
        <x:v>indicar</x:v>
      </x:c>
      <x:c r="B1126" t="str">
        <x:v>2</x:v>
      </x:c>
      <x:c r="C1126" t="str">
        <x:v>i</x:v>
      </x:c>
      <x:c r="D1126" t="str">
        <x:v>ge6963b89-c352-4f4b-a296-58dd551f02ef</x:v>
      </x:c>
      <x:c r="E1126" t="str">
        <x:v>g252c3f38-86a7-47df-bd5a-6d95dc188d1f</x:v>
      </x:c>
      <x:c r="F1126" t="str">
        <x:v>https://www.webonary.org/marubo/g252c3f38-86a7-47df-bd5a-6d95dc188d1f/</x:v>
      </x:c>
      <x:c r="G1126" s="20" t="n">
        <x:v>46003.934876886575</x:v>
      </x:c>
    </x:row>
    <x:row r="1127">
      <x:c r="A1127" t="str">
        <x:v>INF</x:v>
      </x:c>
      <x:c r="B1127" t="str">
        <x:v>-ká</x:v>
      </x:c>
      <x:c r="C1127" t="str">
        <x:v>i</x:v>
      </x:c>
      <x:c r="D1127" t="str">
        <x:v>g515e664b-2d3b-48c0-a833-6be9e70a7f93</x:v>
      </x:c>
      <x:c r="E1127" t="str">
        <x:v>gc2b6cd20-7c76-48de-ae47-d33357b4e969</x:v>
      </x:c>
      <x:c r="F1127" t="str">
        <x:v>https://www.webonary.org/marubo/gc2b6cd20-7c76-48de-ae47-d33357b4e969/</x:v>
      </x:c>
      <x:c r="G1127" s="20" t="n">
        <x:v>46003.934876886575</x:v>
      </x:c>
    </x:row>
    <x:row r="1128">
      <x:c r="A1128" t="str">
        <x:v>infeccionar</x:v>
      </x:c>
      <x:c r="B1128" t="str">
        <x:v>pochia</x:v>
      </x:c>
      <x:c r="C1128" t="str">
        <x:v>i</x:v>
      </x:c>
      <x:c r="D1128" t="str">
        <x:v>gbe8382ca-818f-4974-8235-21a5d73e94a0</x:v>
      </x:c>
      <x:c r="E1128" t="str">
        <x:v>g9505ac5f-6fb9-4e04-8295-5d73fcab7e73</x:v>
      </x:c>
      <x:c r="F1128" t="str">
        <x:v>https://www.webonary.org/marubo/g9505ac5f-6fb9-4e04-8295-5d73fcab7e73/</x:v>
      </x:c>
      <x:c r="G1128" s="20" t="n">
        <x:v>46003.934876886575</x:v>
      </x:c>
    </x:row>
    <x:row r="1129">
      <x:c r="A1129" t="str">
        <x:v>INFER</x:v>
      </x:c>
      <x:c r="B1129" t="str">
        <x:v>taíse</x:v>
      </x:c>
      <x:c r="C1129" t="str">
        <x:v>i</x:v>
      </x:c>
      <x:c r="D1129" t="str">
        <x:v>gf57bbfa1-567b-407b-ab5b-ab5d880998e7</x:v>
      </x:c>
      <x:c r="E1129" t="str">
        <x:v>gdb8645c8-ff31-49ee-bfea-6bebc5ce39b6</x:v>
      </x:c>
      <x:c r="F1129" t="str">
        <x:v>https://www.webonary.org/marubo/gdb8645c8-ff31-49ee-bfea-6bebc5ce39b6/</x:v>
      </x:c>
      <x:c r="G1129" s="20" t="n">
        <x:v>46003.934876886575</x:v>
      </x:c>
    </x:row>
    <x:row r="1130">
      <x:c r="A1130" t="str">
        <x:v>INFPREV</x:v>
      </x:c>
      <x:c r="B1130" t="str">
        <x:v>-tĩ</x:v>
      </x:c>
      <x:c r="C1130" t="str">
        <x:v>i</x:v>
      </x:c>
      <x:c r="D1130" t="str">
        <x:v>g4e978bf3-fcab-4342-9c24-f84730f86ee5</x:v>
      </x:c>
      <x:c r="E1130" t="str">
        <x:v>gbd2826b4-06ca-45ef-b6c3-f9df76ccd19a</x:v>
      </x:c>
      <x:c r="F1130" t="str">
        <x:v>https://www.webonary.org/marubo/gbd2826b4-06ca-45ef-b6c3-f9df76ccd19a/</x:v>
      </x:c>
      <x:c r="G1130" s="20" t="n">
        <x:v>46003.934876886575</x:v>
      </x:c>
    </x:row>
    <x:row r="1131">
      <x:c r="A1131" t="str">
        <x:v>ingá</x:v>
      </x:c>
      <x:c r="B1131" t="str">
        <x:v>shenã</x:v>
      </x:c>
      <x:c r="C1131" t="str">
        <x:v>i</x:v>
      </x:c>
      <x:c r="D1131" t="str">
        <x:v>g3e3706da-784b-447e-a956-8f6881b6f3e1</x:v>
      </x:c>
      <x:c r="E1131" t="str">
        <x:v>ga85c20fe-f94e-4af0-a34a-7ee6f505a38b</x:v>
      </x:c>
      <x:c r="F1131" t="str">
        <x:v>https://www.webonary.org/marubo/ga85c20fe-f94e-4af0-a34a-7ee6f505a38b/</x:v>
      </x:c>
      <x:c r="G1131" s="20" t="n">
        <x:v>46003.934876886575</x:v>
      </x:c>
    </x:row>
    <x:row r="1132">
      <x:c r="A1132" t="str">
        <x:v>inhãmbú</x:v>
      </x:c>
      <x:c r="B1132" t="str">
        <x:v>yapãshoa</x:v>
      </x:c>
      <x:c r="C1132" t="str">
        <x:v>i</x:v>
      </x:c>
      <x:c r="D1132" t="str">
        <x:v>g9a63a3b8-bb49-42dc-a4c1-6e7e0d04d84c</x:v>
      </x:c>
      <x:c r="E1132" t="str">
        <x:v>g9cef63f8-7f09-4da9-9738-74d79d879f29</x:v>
      </x:c>
      <x:c r="F1132" t="str">
        <x:v>https://www.webonary.org/marubo/g9cef63f8-7f09-4da9-9738-74d79d879f29/</x:v>
      </x:c>
      <x:c r="G1132" s="20" t="n">
        <x:v>46003.934876886575</x:v>
      </x:c>
    </x:row>
    <x:row r="1133">
      <x:c r="A1133" t="str">
        <x:v>inhame</x:v>
      </x:c>
      <x:c r="B1133" t="str">
        <x:v>poa</x:v>
      </x:c>
      <x:c r="C1133" t="str">
        <x:v>i</x:v>
      </x:c>
      <x:c r="D1133" t="str">
        <x:v>gcfe35a71-6af3-4638-ae4b-17071d97ffe7</x:v>
      </x:c>
      <x:c r="E1133" t="str">
        <x:v>g3764f533-64e6-4794-9f05-98032a45c13b</x:v>
      </x:c>
      <x:c r="F1133" t="str">
        <x:v>https://www.webonary.org/marubo/g3764f533-64e6-4794-9f05-98032a45c13b/</x:v>
      </x:c>
      <x:c r="G1133" s="20" t="n">
        <x:v>46003.934876886575</x:v>
      </x:c>
    </x:row>
    <x:row r="1134">
      <x:c r="A1134" t="str">
        <x:v>inhame</x:v>
      </x:c>
      <x:c r="B1134" t="str">
        <x:v>yovĩ</x:v>
      </x:c>
      <x:c r="C1134" t="str">
        <x:v>i</x:v>
      </x:c>
      <x:c r="D1134" t="str">
        <x:v>gcfe35a71-6af3-4638-ae4b-17071d97ffe7</x:v>
      </x:c>
      <x:c r="E1134" t="str">
        <x:v>ga0789ede-8bc1-4353-9421-c5c31d784e92</x:v>
      </x:c>
      <x:c r="F1134" t="str">
        <x:v>https://www.webonary.org/marubo/ga0789ede-8bc1-4353-9421-c5c31d784e92/</x:v>
      </x:c>
      <x:c r="G1134" s="20" t="n">
        <x:v>46003.934876886575</x:v>
      </x:c>
    </x:row>
    <x:row r="1135">
      <x:c r="A1135" t="str">
        <x:v>ínicio</x:v>
      </x:c>
      <x:c r="B1135" t="str">
        <x:v>txitavía</x:v>
      </x:c>
      <x:c r="C1135" t="str">
        <x:v>i</x:v>
      </x:c>
      <x:c r="D1135" t="str">
        <x:v>g779de6cd-177a-4120-904d-3adb2a5fbd2b</x:v>
      </x:c>
      <x:c r="E1135" t="str">
        <x:v>g8e3ec459-2b42-446b-bc69-c80409f5cfd7</x:v>
      </x:c>
      <x:c r="F1135" t="str">
        <x:v>https://www.webonary.org/marubo/g8e3ec459-2b42-446b-bc69-c80409f5cfd7/</x:v>
      </x:c>
      <x:c r="G1135" s="20" t="n">
        <x:v>46003.934876886575</x:v>
      </x:c>
    </x:row>
    <x:row r="1136">
      <x:c r="A1136" t="str">
        <x:v>INSTR</x:v>
      </x:c>
      <x:c r="B1136" t="str">
        <x:v>-̃</x:v>
      </x:c>
      <x:c r="C1136" t="str">
        <x:v>i</x:v>
      </x:c>
      <x:c r="D1136" t="str">
        <x:v>g18cf6460-af97-47d2-9119-ae9a5a7172ee</x:v>
      </x:c>
      <x:c r="E1136" t="str">
        <x:v>ge5574373-c798-47cb-b6b3-4f22161e9728</x:v>
      </x:c>
      <x:c r="F1136" t="str">
        <x:v>https://www.webonary.org/marubo/ge5574373-c798-47cb-b6b3-4f22161e9728/</x:v>
      </x:c>
      <x:c r="G1136" s="20" t="n">
        <x:v>46003.934876886575</x:v>
      </x:c>
    </x:row>
    <x:row r="1137">
      <x:c r="A1137" t="str">
        <x:v>INSTR</x:v>
      </x:c>
      <x:c r="B1137" t="str">
        <x:v>1</x:v>
      </x:c>
      <x:c r="C1137" t="str">
        <x:v>i</x:v>
      </x:c>
      <x:c r="D1137" t="str">
        <x:v>g18cf6460-af97-47d2-9119-ae9a5a7172ee</x:v>
      </x:c>
      <x:c r="E1137" t="str">
        <x:v>ge5574373-c798-47cb-b6b3-4f22161e9728</x:v>
      </x:c>
      <x:c r="F1137" t="str">
        <x:v>https://www.webonary.org/marubo/ge5574373-c798-47cb-b6b3-4f22161e9728/</x:v>
      </x:c>
      <x:c r="G1137" s="20" t="n">
        <x:v>46003.934876886575</x:v>
      </x:c>
    </x:row>
    <x:row r="1138">
      <x:c r="A1138" t="str">
        <x:v>INT</x:v>
      </x:c>
      <x:c r="B1138" t="str">
        <x:v>yai</x:v>
      </x:c>
      <x:c r="C1138" t="str">
        <x:v>i</x:v>
      </x:c>
      <x:c r="D1138" t="str">
        <x:v>g5e93349a-07a1-4aa0-a4be-a33f9276329d</x:v>
      </x:c>
      <x:c r="E1138" t="str">
        <x:v>g5820ad83-ccdf-4ab2-bbce-19d4ea0766d3</x:v>
      </x:c>
      <x:c r="F1138" t="str">
        <x:v>https://www.webonary.org/marubo/g5820ad83-ccdf-4ab2-bbce-19d4ea0766d3/</x:v>
      </x:c>
      <x:c r="G1138" s="20" t="n">
        <x:v>46003.934876886575</x:v>
      </x:c>
    </x:row>
    <x:row r="1139">
      <x:c r="A1139" t="str">
        <x:v>INT</x:v>
      </x:c>
      <x:c r="B1139" t="str">
        <x:v>-nõ</x:v>
      </x:c>
      <x:c r="C1139" t="str">
        <x:v>i</x:v>
      </x:c>
      <x:c r="D1139" t="str">
        <x:v>g5e93349a-07a1-4aa0-a4be-a33f9276329d</x:v>
      </x:c>
      <x:c r="E1139" t="str">
        <x:v>g7e42942e-4d0b-48dd-b01f-6295968eb55d</x:v>
      </x:c>
      <x:c r="F1139" t="str">
        <x:v>https://www.webonary.org/marubo/g7e42942e-4d0b-48dd-b01f-6295968eb55d/</x:v>
      </x:c>
      <x:c r="G1139" s="20" t="n">
        <x:v>46003.934876886575</x:v>
      </x:c>
    </x:row>
    <x:row r="1140">
      <x:c r="A1140" t="str">
        <x:v>INT</x:v>
      </x:c>
      <x:c r="B1140" t="str">
        <x:v>1</x:v>
      </x:c>
      <x:c r="C1140" t="str">
        <x:v>i</x:v>
      </x:c>
      <x:c r="D1140" t="str">
        <x:v>g5e93349a-07a1-4aa0-a4be-a33f9276329d</x:v>
      </x:c>
      <x:c r="E1140" t="str">
        <x:v>g7e42942e-4d0b-48dd-b01f-6295968eb55d</x:v>
      </x:c>
      <x:c r="F1140" t="str">
        <x:v>https://www.webonary.org/marubo/g7e42942e-4d0b-48dd-b01f-6295968eb55d/</x:v>
      </x:c>
      <x:c r="G1140" s="20" t="n">
        <x:v>46003.934876886575</x:v>
      </x:c>
    </x:row>
    <x:row r="1141">
      <x:c r="A1141" t="str">
        <x:v>INTER</x:v>
      </x:c>
      <x:c r="B1141" t="str">
        <x:f>"=ra"</x:f>
        <x:v>=ra</x:v>
      </x:c>
      <x:c r="C1141" t="str">
        <x:v>i</x:v>
      </x:c>
      <x:c r="D1141" t="str">
        <x:v>g3418dd92-a5e0-4e42-af7f-6919751aa549</x:v>
      </x:c>
      <x:c r="E1141" t="str">
        <x:v>g48f04105-a074-4475-b2e0-d294d3ae1724</x:v>
      </x:c>
      <x:c r="F1141" t="str">
        <x:v>https://www.webonary.org/marubo/g48f04105-a074-4475-b2e0-d294d3ae1724/</x:v>
      </x:c>
      <x:c r="G1141" s="20" t="n">
        <x:v>46003.9348841088</x:v>
      </x:c>
    </x:row>
    <x:row r="1142">
      <x:c r="A1142" t="str">
        <x:v>interromper</x:v>
      </x:c>
      <x:c r="B1142" t="str">
        <x:v>voshtẽa</x:v>
      </x:c>
      <x:c r="C1142" t="str">
        <x:v>i</x:v>
      </x:c>
      <x:c r="D1142" t="str">
        <x:v>g7b79367c-c70f-4484-b059-efae3dcc41cf</x:v>
      </x:c>
      <x:c r="E1142" t="str">
        <x:v>g626599ac-29d1-4993-889e-d301c32f9759</x:v>
      </x:c>
      <x:c r="F1142" t="str">
        <x:v>https://www.webonary.org/marubo/g626599ac-29d1-4993-889e-d301c32f9759/</x:v>
      </x:c>
      <x:c r="G1142" s="20" t="n">
        <x:v>46003.9348841088</x:v>
      </x:c>
    </x:row>
    <x:row r="1143">
      <x:c r="A1143" t="str">
        <x:v>intestino delgado</x:v>
      </x:c>
      <x:c r="B1143" t="str">
        <x:v>poko osho</x:v>
      </x:c>
      <x:c r="C1143" t="str">
        <x:v>i</x:v>
      </x:c>
      <x:c r="D1143" t="str">
        <x:v>ga7845c12-d3da-4dbd-937b-5d8983398ab4</x:v>
      </x:c>
      <x:c r="E1143" t="str">
        <x:v>g12adf7c8-3a0c-468c-bd5c-bd71366910b2</x:v>
      </x:c>
      <x:c r="F1143" t="str">
        <x:v>https://www.webonary.org/marubo/g12adf7c8-3a0c-468c-bd5c-bd71366910b2/</x:v>
      </x:c>
      <x:c r="G1143" s="20" t="n">
        <x:v>46003.9348841088</x:v>
      </x:c>
    </x:row>
    <x:row r="1144">
      <x:c r="A1144" t="str">
        <x:v>intestino grosso</x:v>
      </x:c>
      <x:c r="B1144" t="str">
        <x:v>poko txeshe</x:v>
      </x:c>
      <x:c r="C1144" t="str">
        <x:v>i</x:v>
      </x:c>
      <x:c r="D1144" t="str">
        <x:v>g1317f30e-a899-4ce1-aa6c-132b51cefac3</x:v>
      </x:c>
      <x:c r="E1144" t="str">
        <x:v>gd8629401-0343-4886-8962-938ee2be0f09</x:v>
      </x:c>
      <x:c r="F1144" t="str">
        <x:v>https://www.webonary.org/marubo/gd8629401-0343-4886-8962-938ee2be0f09/</x:v>
      </x:c>
      <x:c r="G1144" s="20" t="n">
        <x:v>46003.9348841088</x:v>
      </x:c>
    </x:row>
    <x:row r="1145">
      <x:c r="A1145" t="str">
        <x:v>intestinos</x:v>
      </x:c>
      <x:c r="B1145" t="str">
        <x:v>poko</x:v>
      </x:c>
      <x:c r="C1145" t="str">
        <x:v>i</x:v>
      </x:c>
      <x:c r="D1145" t="str">
        <x:v>g8e2f9551-7ebf-439f-918d-5a87cadcca6d</x:v>
      </x:c>
      <x:c r="E1145" t="str">
        <x:v>g695d0fc0-59cb-40ee-a4ba-60d92c059403</x:v>
      </x:c>
      <x:c r="F1145" t="str">
        <x:v>https://www.webonary.org/marubo/g695d0fc0-59cb-40ee-a4ba-60d92c059403/</x:v>
      </x:c>
      <x:c r="G1145" s="20" t="n">
        <x:v>46003.9348841088</x:v>
      </x:c>
    </x:row>
    <x:row r="1146">
      <x:c r="A1146" t="str">
        <x:v>INTF</x:v>
      </x:c>
      <x:c r="B1146" t="str">
        <x:v>-pa</x:v>
      </x:c>
      <x:c r="C1146" t="str">
        <x:v>i</x:v>
      </x:c>
      <x:c r="D1146" t="str">
        <x:v>ge012a297-e883-4af4-b57d-9289b7f7a0b1</x:v>
      </x:c>
      <x:c r="E1146" t="str">
        <x:v>ge0bce0e6-cc08-4074-9ffb-cdd017f30895</x:v>
      </x:c>
      <x:c r="F1146" t="str">
        <x:v>https://www.webonary.org/marubo/ge0bce0e6-cc08-4074-9ffb-cdd017f30895/</x:v>
      </x:c>
      <x:c r="G1146" s="20" t="n">
        <x:v>46003.9348841088</x:v>
      </x:c>
    </x:row>
    <x:row r="1147">
      <x:c r="A1147" t="str">
        <x:v>INTF</x:v>
      </x:c>
      <x:c r="B1147" t="str">
        <x:v>1</x:v>
      </x:c>
      <x:c r="C1147" t="str">
        <x:v>i</x:v>
      </x:c>
      <x:c r="D1147" t="str">
        <x:v>ge012a297-e883-4af4-b57d-9289b7f7a0b1</x:v>
      </x:c>
      <x:c r="E1147" t="str">
        <x:v>ge0bce0e6-cc08-4074-9ffb-cdd017f30895</x:v>
      </x:c>
      <x:c r="F1147" t="str">
        <x:v>https://www.webonary.org/marubo/ge0bce0e6-cc08-4074-9ffb-cdd017f30895/</x:v>
      </x:c>
      <x:c r="G1147" s="20" t="n">
        <x:v>46003.9348841088</x:v>
      </x:c>
    </x:row>
    <x:row r="1148">
      <x:c r="A1148" t="str">
        <x:v>invejar</x:v>
      </x:c>
      <x:c r="B1148" t="str">
        <x:v>naia</x:v>
      </x:c>
      <x:c r="C1148" t="str">
        <x:v>i</x:v>
      </x:c>
      <x:c r="D1148" t="str">
        <x:v>gcf6b0dac-149a-4d93-9bdb-1a1bd29f0fe0</x:v>
      </x:c>
      <x:c r="E1148" t="str">
        <x:v>gfc38cc26-2d4e-45a2-b277-ac70ab01693f</x:v>
      </x:c>
      <x:c r="F1148" t="str">
        <x:v>https://www.webonary.org/marubo/gfc38cc26-2d4e-45a2-b277-ac70ab01693f/</x:v>
      </x:c>
      <x:c r="G1148" s="20" t="n">
        <x:v>46003.9348841088</x:v>
      </x:c>
    </x:row>
    <x:row r="1149">
      <x:c r="A1149" t="str">
        <x:v>ir</x:v>
      </x:c>
      <x:c r="B1149" t="str">
        <x:v>kaa</x:v>
      </x:c>
      <x:c r="C1149" t="str">
        <x:v>i</x:v>
      </x:c>
      <x:c r="D1149" t="str">
        <x:v>g2f7bc035-bec5-4d36-aab0-c4ae1b17851e</x:v>
      </x:c>
      <x:c r="E1149" t="str">
        <x:v>g6d6798c2-624d-49fb-9d92-f6cd3d2f7181</x:v>
      </x:c>
      <x:c r="F1149" t="str">
        <x:v>https://www.webonary.org/marubo/g6d6798c2-624d-49fb-9d92-f6cd3d2f7181/</x:v>
      </x:c>
      <x:c r="G1149" s="20" t="n">
        <x:v>46003.9348841088</x:v>
      </x:c>
    </x:row>
    <x:row r="1150">
      <x:c r="A1150" t="str">
        <x:v>ir (plural)</x:v>
      </x:c>
      <x:c r="B1150" t="str">
        <x:v>voa</x:v>
      </x:c>
      <x:c r="C1150" t="str">
        <x:v>i</x:v>
      </x:c>
      <x:c r="D1150" t="str">
        <x:v>geb48b40d-9044-49ed-ad98-1b9368803031</x:v>
      </x:c>
      <x:c r="E1150" t="str">
        <x:v>gb8f7a8bb-2cff-457c-8d32-5d116b6b1ddb</x:v>
      </x:c>
      <x:c r="F1150" t="str">
        <x:v>https://www.webonary.org/marubo/gb8f7a8bb-2cff-457c-8d32-5d116b6b1ddb/</x:v>
      </x:c>
      <x:c r="G1150" s="20" t="n">
        <x:v>46003.9348841088</x:v>
      </x:c>
    </x:row>
    <x:row r="1151">
      <x:c r="A1151" t="str">
        <x:v>ir (plural)</x:v>
      </x:c>
      <x:c r="B1151" t="str">
        <x:v>1</x:v>
      </x:c>
      <x:c r="C1151" t="str">
        <x:v>i</x:v>
      </x:c>
      <x:c r="D1151" t="str">
        <x:v>geb48b40d-9044-49ed-ad98-1b9368803031</x:v>
      </x:c>
      <x:c r="E1151" t="str">
        <x:v>gb8f7a8bb-2cff-457c-8d32-5d116b6b1ddb</x:v>
      </x:c>
      <x:c r="F1151" t="str">
        <x:v>https://www.webonary.org/marubo/gb8f7a8bb-2cff-457c-8d32-5d116b6b1ddb/</x:v>
      </x:c>
      <x:c r="G1151" s="20" t="n">
        <x:v>46003.9348841088</x:v>
      </x:c>
    </x:row>
    <x:row r="1152">
      <x:c r="A1152" t="str">
        <x:v>ir entre</x:v>
      </x:c>
      <x:c r="B1152" t="str">
        <x:v>shawapa kao</x:v>
      </x:c>
      <x:c r="C1152" t="str">
        <x:v>i</x:v>
      </x:c>
      <x:c r="D1152" t="str">
        <x:v>ga436ec34-b8c6-49d0-b8a2-a4ff6e2e42c0</x:v>
      </x:c>
      <x:c r="E1152" t="str">
        <x:v>g4af98322-9651-4174-b0fb-60180b12c555</x:v>
      </x:c>
      <x:c r="F1152" t="str">
        <x:v>https://www.webonary.org/marubo/g4af98322-9651-4174-b0fb-60180b12c555/</x:v>
      </x:c>
      <x:c r="G1152" s="20" t="n">
        <x:v>46003.9348841088</x:v>
      </x:c>
    </x:row>
    <x:row r="1153">
      <x:c r="A1153" t="str">
        <x:v>irára</x:v>
      </x:c>
      <x:c r="B1153" t="str">
        <x:v>voka</x:v>
      </x:c>
      <x:c r="C1153" t="str">
        <x:v>i</x:v>
      </x:c>
      <x:c r="D1153" t="str">
        <x:v>geb63b778-dd33-4f62-82c4-5a94bdb067db</x:v>
      </x:c>
      <x:c r="E1153" t="str">
        <x:v>gac4a9378-a43b-44a4-a6b9-615495606f11</x:v>
      </x:c>
      <x:c r="F1153" t="str">
        <x:v>https://www.webonary.org/marubo/gac4a9378-a43b-44a4-a6b9-615495606f11/</x:v>
      </x:c>
      <x:c r="G1153" s="20" t="n">
        <x:v>46003.9348841088</x:v>
      </x:c>
    </x:row>
    <x:row r="1154">
      <x:c r="A1154" t="str">
        <x:v>irmã</x:v>
      </x:c>
      <x:c r="B1154" t="str">
        <x:v>take aĩvake</x:v>
      </x:c>
      <x:c r="C1154" t="str">
        <x:v>i</x:v>
      </x:c>
      <x:c r="D1154" t="str">
        <x:v>g6cd4a3f8-eaa2-4cdb-9981-61f2eabb64b3</x:v>
      </x:c>
      <x:c r="E1154" t="str">
        <x:v>gd4b3d64b-8cfd-4219-9103-216a4af3bfc1</x:v>
      </x:c>
      <x:c r="F1154" t="str">
        <x:v>https://www.webonary.org/marubo/gd4b3d64b-8cfd-4219-9103-216a4af3bfc1/</x:v>
      </x:c>
      <x:c r="G1154" s="20" t="n">
        <x:v>46003.9348841088</x:v>
      </x:c>
    </x:row>
    <x:row r="1155">
      <x:c r="A1155" t="str">
        <x:v>irmã</x:v>
      </x:c>
      <x:c r="B1155" t="str">
        <x:v>aweshavo</x:v>
      </x:c>
      <x:c r="C1155" t="str">
        <x:v>i</x:v>
      </x:c>
      <x:c r="D1155" t="str">
        <x:v>g6cd4a3f8-eaa2-4cdb-9981-61f2eabb64b3</x:v>
      </x:c>
      <x:c r="E1155" t="str">
        <x:v>ge699a6dd-88e8-40fb-8448-fd946a5b4119</x:v>
      </x:c>
      <x:c r="F1155" t="str">
        <x:v>https://www.webonary.org/marubo/ge699a6dd-88e8-40fb-8448-fd946a5b4119/</x:v>
      </x:c>
      <x:c r="G1155" s="20" t="n">
        <x:v>46003.9348841088</x:v>
      </x:c>
    </x:row>
    <x:row r="1156">
      <x:c r="A1156" t="str">
        <x:v>irmã mais nova</x:v>
      </x:c>
      <x:c r="B1156" t="str">
        <x:v>txira</x:v>
      </x:c>
      <x:c r="C1156" t="str">
        <x:v>i</x:v>
      </x:c>
      <x:c r="D1156" t="str">
        <x:v>g2c34596c-3836-4f2d-9898-1d376168462a</x:v>
      </x:c>
      <x:c r="E1156" t="str">
        <x:v>g0733dfc8-f9e2-4937-95b6-ab5022064c7e</x:v>
      </x:c>
      <x:c r="F1156" t="str">
        <x:v>https://www.webonary.org/marubo/g0733dfc8-f9e2-4937-95b6-ab5022064c7e/</x:v>
      </x:c>
      <x:c r="G1156" s="20" t="n">
        <x:v>46003.9348841088</x:v>
      </x:c>
    </x:row>
    <x:row r="1157">
      <x:c r="A1157" t="str">
        <x:v>irmão</x:v>
      </x:c>
      <x:c r="B1157" t="str">
        <x:v>take</x:v>
      </x:c>
      <x:c r="C1157" t="str">
        <x:v>i</x:v>
      </x:c>
      <x:c r="D1157" t="str">
        <x:v>g022f6eba-8a28-4fc2-8642-bb19bf83de44</x:v>
      </x:c>
      <x:c r="E1157" t="str">
        <x:v>ga6e64a2d-6fc3-4886-885e-518d98cfdd2f</x:v>
      </x:c>
      <x:c r="F1157" t="str">
        <x:v>https://www.webonary.org/marubo/ga6e64a2d-6fc3-4886-885e-518d98cfdd2f/</x:v>
      </x:c>
      <x:c r="G1157" s="20" t="n">
        <x:v>46003.9348841088</x:v>
      </x:c>
    </x:row>
    <x:row r="1158">
      <x:c r="A1158" t="str">
        <x:v>irmão</x:v>
      </x:c>
      <x:c r="B1158" t="str">
        <x:v>take venevake</x:v>
      </x:c>
      <x:c r="C1158" t="str">
        <x:v>i</x:v>
      </x:c>
      <x:c r="D1158" t="str">
        <x:v>g022f6eba-8a28-4fc2-8642-bb19bf83de44</x:v>
      </x:c>
      <x:c r="E1158" t="str">
        <x:v>g8f64bd26-f7fb-4157-9b2a-a8b7ddcc6b2e</x:v>
      </x:c>
      <x:c r="F1158" t="str">
        <x:v>https://www.webonary.org/marubo/g8f64bd26-f7fb-4157-9b2a-a8b7ddcc6b2e/</x:v>
      </x:c>
      <x:c r="G1158" s="20" t="n">
        <x:v>46003.9348841088</x:v>
      </x:c>
    </x:row>
    <x:row r="1159">
      <x:c r="A1159" t="str">
        <x:v>irmão mais novo</x:v>
      </x:c>
      <x:c r="B1159" t="str">
        <x:v>vicha</x:v>
      </x:c>
      <x:c r="C1159" t="str">
        <x:v>i</x:v>
      </x:c>
      <x:c r="D1159" t="str">
        <x:v>ge2bb02f3-c07b-401d-a9d1-cf77e03966ba</x:v>
      </x:c>
      <x:c r="E1159" t="str">
        <x:v>gc1895cea-222c-4927-bcd6-d833060ffd68</x:v>
      </x:c>
      <x:c r="F1159" t="str">
        <x:v>https://www.webonary.org/marubo/gc1895cea-222c-4927-bcd6-d833060ffd68/</x:v>
      </x:c>
      <x:c r="G1159" s="20" t="n">
        <x:v>46003.9348841088</x:v>
      </x:c>
    </x:row>
    <x:row r="1160">
      <x:c r="A1160" t="str">
        <x:v>irmão mais velho</x:v>
      </x:c>
      <x:c r="B1160" t="str">
        <x:v>otxi</x:v>
      </x:c>
      <x:c r="C1160" t="str">
        <x:v>i</x:v>
      </x:c>
      <x:c r="D1160" t="str">
        <x:v>g0f1057e2-a8b3-46f2-8b70-3596cefed03b</x:v>
      </x:c>
      <x:c r="E1160" t="str">
        <x:v>gfb8d3a63-b7d5-452b-8124-90b7bbad87d1</x:v>
      </x:c>
      <x:c r="F1160" t="str">
        <x:v>https://www.webonary.org/marubo/gfb8d3a63-b7d5-452b-8124-90b7bbad87d1/</x:v>
      </x:c>
      <x:c r="G1160" s="20" t="n">
        <x:v>46003.9348841088</x:v>
      </x:c>
    </x:row>
    <x:row r="1161">
      <x:c r="A1161" t="str">
        <x:v>irmãos mais novo</x:v>
      </x:c>
      <x:c r="B1161" t="str">
        <x:v>poko shate</x:v>
      </x:c>
      <x:c r="C1161" t="str">
        <x:v>i</x:v>
      </x:c>
      <x:c r="D1161" t="str">
        <x:v>g913c78af-6fa2-4e22-9805-b94b992c92ce</x:v>
      </x:c>
      <x:c r="E1161" t="str">
        <x:v>g8aab2940-9d74-47df-9158-9615814809a8</x:v>
      </x:c>
      <x:c r="F1161" t="str">
        <x:v>https://www.webonary.org/marubo/g8aab2940-9d74-47df-9158-9615814809a8/</x:v>
      </x:c>
      <x:c r="G1161" s="20" t="n">
        <x:v>46003.9348841088</x:v>
      </x:c>
    </x:row>
    <x:row r="1162">
      <x:c r="A1162" t="str">
        <x:v>irmãos nascidos do segundo ou mais casamentos</x:v>
      </x:c>
      <x:c r="B1162" t="str">
        <x:v>evé merá</x:v>
      </x:c>
      <x:c r="C1162" t="str">
        <x:v>i</x:v>
      </x:c>
      <x:c r="D1162" t="str">
        <x:v>gcec945dd-7ea8-46cd-a013-d39d9fe05ee6</x:v>
      </x:c>
      <x:c r="E1162" t="str">
        <x:v>g821fbac0-573d-4e81-8081-7f4b80b58076</x:v>
      </x:c>
      <x:c r="F1162" t="str">
        <x:v>https://www.webonary.org/marubo/g821fbac0-573d-4e81-8081-7f4b80b58076/</x:v>
      </x:c>
      <x:c r="G1162" s="20" t="n">
        <x:v>46003.9348841088</x:v>
      </x:c>
    </x:row>
    <x:row r="1163">
      <x:c r="A1163" t="str">
        <x:v>irmãs nascidas do segundo ou mais casamentos</x:v>
      </x:c>
      <x:c r="B1163" t="str">
        <x:v>evé merá shavo</x:v>
      </x:c>
      <x:c r="C1163" t="str">
        <x:v>i</x:v>
      </x:c>
      <x:c r="D1163" t="str">
        <x:v>g5f8c7ac1-62ed-4982-b6ad-844a121e307a</x:v>
      </x:c>
      <x:c r="E1163" t="str">
        <x:v>g6b74ef87-4cf6-4cac-a7fd-72ff61a7cf76</x:v>
      </x:c>
      <x:c r="F1163" t="str">
        <x:v>https://www.webonary.org/marubo/g6b74ef87-4cf6-4cac-a7fd-72ff61a7cf76/</x:v>
      </x:c>
      <x:c r="G1163" s="20" t="n">
        <x:v>46003.9348841088</x:v>
      </x:c>
    </x:row>
    <x:row r="1164">
      <x:c r="A1164" t="str">
        <x:v>IRR</x:v>
      </x:c>
      <x:c r="B1164" t="str">
        <x:v>-ti</x:v>
      </x:c>
      <x:c r="C1164" t="str">
        <x:v>i</x:v>
      </x:c>
      <x:c r="D1164" t="str">
        <x:v>g7ca0b7b2-22dd-4f9e-b28b-3721960c8254</x:v>
      </x:c>
      <x:c r="E1164" t="str">
        <x:v>g1d8629e2-b346-40c6-9f32-f0f8edad57c1</x:v>
      </x:c>
      <x:c r="F1164" t="str">
        <x:v>https://www.webonary.org/marubo/g1d8629e2-b346-40c6-9f32-f0f8edad57c1/</x:v>
      </x:c>
      <x:c r="G1164" s="20" t="n">
        <x:v>46003.9348841088</x:v>
      </x:c>
    </x:row>
    <x:row r="1165">
      <x:c r="A1165" t="str">
        <x:v>IRR</x:v>
      </x:c>
      <x:c r="B1165" t="str">
        <x:v>1</x:v>
      </x:c>
      <x:c r="C1165" t="str">
        <x:v>i</x:v>
      </x:c>
      <x:c r="D1165" t="str">
        <x:v>g7ca0b7b2-22dd-4f9e-b28b-3721960c8254</x:v>
      </x:c>
      <x:c r="E1165" t="str">
        <x:v>g1d8629e2-b346-40c6-9f32-f0f8edad57c1</x:v>
      </x:c>
      <x:c r="F1165" t="str">
        <x:v>https://www.webonary.org/marubo/g1d8629e2-b346-40c6-9f32-f0f8edad57c1/</x:v>
      </x:c>
      <x:c r="G1165" s="20" t="n">
        <x:v>46003.9348841088</x:v>
      </x:c>
    </x:row>
    <x:row r="1166">
      <x:c r="A1166" t="str">
        <x:v>IRR</x:v>
      </x:c>
      <x:c r="B1166" t="str">
        <x:v>-kĩ</x:v>
      </x:c>
      <x:c r="C1166" t="str">
        <x:v>i</x:v>
      </x:c>
      <x:c r="D1166" t="str">
        <x:v>g7ca0b7b2-22dd-4f9e-b28b-3721960c8254</x:v>
      </x:c>
      <x:c r="E1166" t="str">
        <x:v>g162494ea-77c9-4a7f-bfa9-0bb0198e95c3</x:v>
      </x:c>
      <x:c r="F1166" t="str">
        <x:v>https://www.webonary.org/marubo/g162494ea-77c9-4a7f-bfa9-0bb0198e95c3/</x:v>
      </x:c>
      <x:c r="G1166" s="20" t="n">
        <x:v>46003.9348841088</x:v>
      </x:c>
    </x:row>
    <x:row r="1167">
      <x:c r="A1167" t="str">
        <x:v>IRR</x:v>
      </x:c>
      <x:c r="B1167" t="str">
        <x:v>3</x:v>
      </x:c>
      <x:c r="C1167" t="str">
        <x:v>i</x:v>
      </x:c>
      <x:c r="D1167" t="str">
        <x:v>g7ca0b7b2-22dd-4f9e-b28b-3721960c8254</x:v>
      </x:c>
      <x:c r="E1167" t="str">
        <x:v>g162494ea-77c9-4a7f-bfa9-0bb0198e95c3</x:v>
      </x:c>
      <x:c r="F1167" t="str">
        <x:v>https://www.webonary.org/marubo/g162494ea-77c9-4a7f-bfa9-0bb0198e95c3/</x:v>
      </x:c>
      <x:c r="G1167" s="20" t="n">
        <x:v>46003.9348841088</x:v>
      </x:c>
    </x:row>
    <x:row r="1168">
      <x:c r="A1168" t="str">
        <x:v>já</x:v>
      </x:c>
      <x:c r="B1168" t="str">
        <x:v>ma</x:v>
      </x:c>
      <x:c r="C1168" t="str">
        <x:v>j</x:v>
      </x:c>
      <x:c r="D1168" t="str">
        <x:v>g4375f4e4-a55a-4e4d-95ec-479a43d5a382</x:v>
      </x:c>
      <x:c r="E1168" t="str">
        <x:v>gadd61ac4-d963-49ba-871f-1b3c3edfb0e8</x:v>
      </x:c>
      <x:c r="F1168" t="str">
        <x:v>https://www.webonary.org/marubo/gadd61ac4-d963-49ba-871f-1b3c3edfb0e8/</x:v>
      </x:c>
      <x:c r="G1168" s="20" t="n">
        <x:v>46003.9348841088</x:v>
      </x:c>
    </x:row>
    <x:row r="1169">
      <x:c r="A1169" t="str">
        <x:v>jaburu</x:v>
      </x:c>
      <x:c r="B1169" t="str">
        <x:v>ave</x:v>
      </x:c>
      <x:c r="C1169" t="str">
        <x:v>j</x:v>
      </x:c>
      <x:c r="D1169" t="str">
        <x:v>g7663a841-d014-49b4-adfc-b3dfc05dadf7</x:v>
      </x:c>
      <x:c r="E1169" t="str">
        <x:v>g33103093-6807-4639-a345-fb389d42e4b5</x:v>
      </x:c>
      <x:c r="F1169" t="str">
        <x:v>https://www.webonary.org/marubo/g33103093-6807-4639-a345-fb389d42e4b5/</x:v>
      </x:c>
      <x:c r="G1169" s="20" t="n">
        <x:v>46003.9348841088</x:v>
      </x:c>
    </x:row>
    <x:row r="1170">
      <x:c r="A1170" t="str">
        <x:v>jabuti</x:v>
      </x:c>
      <x:c r="B1170" t="str">
        <x:v>shawe</x:v>
      </x:c>
      <x:c r="C1170" t="str">
        <x:v>j</x:v>
      </x:c>
      <x:c r="D1170" t="str">
        <x:v>gb4f6084e-6226-49cc-8d73-1b531f6e9a32</x:v>
      </x:c>
      <x:c r="E1170" t="str">
        <x:v>gf2574c4f-2a21-400b-b470-d5743c425d9d</x:v>
      </x:c>
      <x:c r="F1170" t="str">
        <x:v>https://www.webonary.org/marubo/gf2574c4f-2a21-400b-b470-d5743c425d9d/</x:v>
      </x:c>
      <x:c r="G1170" s="20" t="n">
        <x:v>46003.9348841088</x:v>
      </x:c>
    </x:row>
    <x:row r="1171">
      <x:c r="A1171" t="str">
        <x:v>jabuti</x:v>
      </x:c>
      <x:c r="B1171" t="str">
        <x:v>1</x:v>
      </x:c>
      <x:c r="C1171" t="str">
        <x:v>j</x:v>
      </x:c>
      <x:c r="D1171" t="str">
        <x:v>gb4f6084e-6226-49cc-8d73-1b531f6e9a32</x:v>
      </x:c>
      <x:c r="E1171" t="str">
        <x:v>gf2574c4f-2a21-400b-b470-d5743c425d9d</x:v>
      </x:c>
      <x:c r="F1171" t="str">
        <x:v>https://www.webonary.org/marubo/gf2574c4f-2a21-400b-b470-d5743c425d9d/</x:v>
      </x:c>
      <x:c r="G1171" s="20" t="n">
        <x:v>46003.9348841088</x:v>
      </x:c>
    </x:row>
    <x:row r="1172">
      <x:c r="A1172" t="str">
        <x:v>jaca</x:v>
      </x:c>
      <x:c r="B1172" t="str">
        <x:v>chaka</x:v>
      </x:c>
      <x:c r="C1172" t="str">
        <x:v>j</x:v>
      </x:c>
      <x:c r="D1172" t="str">
        <x:v>gc70037da-6377-4db0-9109-0bf6ee4f4c18</x:v>
      </x:c>
      <x:c r="E1172" t="str">
        <x:v>g65bda69f-285e-49b6-bb8a-84ba1bfaa5d8</x:v>
      </x:c>
      <x:c r="F1172" t="str">
        <x:v>https://www.webonary.org/marubo/g65bda69f-285e-49b6-bb8a-84ba1bfaa5d8/</x:v>
      </x:c>
      <x:c r="G1172" s="20" t="n">
        <x:v>46003.9348841088</x:v>
      </x:c>
    </x:row>
    <x:row r="1173">
      <x:c r="A1173" t="str">
        <x:v>jacamim</x:v>
      </x:c>
      <x:c r="B1173" t="str">
        <x:v>nea</x:v>
      </x:c>
      <x:c r="C1173" t="str">
        <x:v>j</x:v>
      </x:c>
      <x:c r="D1173" t="str">
        <x:v>g80347fbd-b33b-4bb0-bdae-8b6cb64a19cd</x:v>
      </x:c>
      <x:c r="E1173" t="str">
        <x:v>ge95980fa-a422-4fa9-9e13-45e6e903d7a9</x:v>
      </x:c>
      <x:c r="F1173" t="str">
        <x:v>https://www.webonary.org/marubo/ge95980fa-a422-4fa9-9e13-45e6e903d7a9/</x:v>
      </x:c>
      <x:c r="G1173" s="20" t="n">
        <x:v>46003.9348841088</x:v>
      </x:c>
    </x:row>
    <x:row r="1174">
      <x:c r="A1174" t="str">
        <x:v>jacamim</x:v>
      </x:c>
      <x:c r="B1174" t="str">
        <x:v>1</x:v>
      </x:c>
      <x:c r="C1174" t="str">
        <x:v>j</x:v>
      </x:c>
      <x:c r="D1174" t="str">
        <x:v>g80347fbd-b33b-4bb0-bdae-8b6cb64a19cd</x:v>
      </x:c>
      <x:c r="E1174" t="str">
        <x:v>ge95980fa-a422-4fa9-9e13-45e6e903d7a9</x:v>
      </x:c>
      <x:c r="F1174" t="str">
        <x:v>https://www.webonary.org/marubo/ge95980fa-a422-4fa9-9e13-45e6e903d7a9/</x:v>
      </x:c>
      <x:c r="G1174" s="20" t="n">
        <x:v>46003.9348841088</x:v>
      </x:c>
    </x:row>
    <x:row r="1175">
      <x:c r="A1175" t="str">
        <x:v>jacaré</x:v>
      </x:c>
      <x:c r="B1175" t="str">
        <x:v>kapé</x:v>
      </x:c>
      <x:c r="C1175" t="str">
        <x:v>j</x:v>
      </x:c>
      <x:c r="D1175" t="str">
        <x:v>gd5e9d395-a9f5-4135-a019-e95d02814270</x:v>
      </x:c>
      <x:c r="E1175" t="str">
        <x:v>g7adca4a0-92c7-45ae-b464-b68068f9ff54</x:v>
      </x:c>
      <x:c r="F1175" t="str">
        <x:v>https://www.webonary.org/marubo/g7adca4a0-92c7-45ae-b464-b68068f9ff54/</x:v>
      </x:c>
      <x:c r="G1175" s="20" t="n">
        <x:v>46003.9348841088</x:v>
      </x:c>
    </x:row>
    <x:row r="1176">
      <x:c r="A1176" t="str">
        <x:v>jacu</x:v>
      </x:c>
      <x:c r="B1176" t="str">
        <x:v>kevo</x:v>
      </x:c>
      <x:c r="C1176" t="str">
        <x:v>j</x:v>
      </x:c>
      <x:c r="D1176" t="str">
        <x:v>gfcc68ac1-3398-407c-a553-6befcd751e2b</x:v>
      </x:c>
      <x:c r="E1176" t="str">
        <x:v>g50461032-e78e-4079-8d1d-5f80ce1122b7</x:v>
      </x:c>
      <x:c r="F1176" t="str">
        <x:v>https://www.webonary.org/marubo/g50461032-e78e-4079-8d1d-5f80ce1122b7/</x:v>
      </x:c>
      <x:c r="G1176" s="20" t="n">
        <x:v>46003.9348841088</x:v>
      </x:c>
    </x:row>
    <x:row r="1177">
      <x:c r="A1177" t="str">
        <x:v>jacu</x:v>
      </x:c>
      <x:c r="B1177" t="str">
        <x:v>1</x:v>
      </x:c>
      <x:c r="C1177" t="str">
        <x:v>j</x:v>
      </x:c>
      <x:c r="D1177" t="str">
        <x:v>gfcc68ac1-3398-407c-a553-6befcd751e2b</x:v>
      </x:c>
      <x:c r="E1177" t="str">
        <x:v>g50461032-e78e-4079-8d1d-5f80ce1122b7</x:v>
      </x:c>
      <x:c r="F1177" t="str">
        <x:v>https://www.webonary.org/marubo/g50461032-e78e-4079-8d1d-5f80ce1122b7/</x:v>
      </x:c>
      <x:c r="G1177" s="20" t="n">
        <x:v>46003.9348841088</x:v>
      </x:c>
    </x:row>
    <x:row r="1178">
      <x:c r="A1178" t="str">
        <x:v>jaguatirica</x:v>
      </x:c>
      <x:c r="B1178" t="str">
        <x:v>shawa kamã</x:v>
      </x:c>
      <x:c r="C1178" t="str">
        <x:v>j</x:v>
      </x:c>
      <x:c r="D1178" t="str">
        <x:v>g03da3e05-e9fb-46f4-9583-2f75627a7630</x:v>
      </x:c>
      <x:c r="E1178" t="str">
        <x:v>g9f9611fc-2ae6-4f1d-8fb9-2795a11b5416</x:v>
      </x:c>
      <x:c r="F1178" t="str">
        <x:v>https://www.webonary.org/marubo/g9f9611fc-2ae6-4f1d-8fb9-2795a11b5416/</x:v>
      </x:c>
      <x:c r="G1178" s="20" t="n">
        <x:v>46003.9348841088</x:v>
      </x:c>
    </x:row>
    <x:row r="1179">
      <x:c r="A1179" t="str">
        <x:v>jambo</x:v>
      </x:c>
      <x:c r="B1179" t="str">
        <x:v>chãpo</x:v>
      </x:c>
      <x:c r="C1179" t="str">
        <x:v>j</x:v>
      </x:c>
      <x:c r="D1179" t="str">
        <x:v>g0288a50f-fbc9-4b50-a3bb-4ce31a662bf6</x:v>
      </x:c>
      <x:c r="E1179" t="str">
        <x:v>g56681f16-27fa-406c-b555-191e7cdb21e1</x:v>
      </x:c>
      <x:c r="F1179" t="str">
        <x:v>https://www.webonary.org/marubo/g56681f16-27fa-406c-b555-191e7cdb21e1/</x:v>
      </x:c>
      <x:c r="G1179" s="20" t="n">
        <x:v>46003.9348841088</x:v>
      </x:c>
    </x:row>
    <x:row r="1180">
      <x:c r="A1180" t="str">
        <x:v>janela</x:v>
      </x:c>
      <x:c r="B1180" t="str">
        <x:v>kepoti</x:v>
      </x:c>
      <x:c r="C1180" t="str">
        <x:v>j</x:v>
      </x:c>
      <x:c r="D1180" t="str">
        <x:v>gf87faa0a-1768-498b-aaab-d76e48be8ee9</x:v>
      </x:c>
      <x:c r="E1180" t="str">
        <x:v>g0fa1da93-a438-46ba-8dad-75f555df75d0</x:v>
      </x:c>
      <x:c r="F1180" t="str">
        <x:v>https://www.webonary.org/marubo/g0fa1da93-a438-46ba-8dad-75f555df75d0/</x:v>
      </x:c>
      <x:c r="G1180" s="20" t="n">
        <x:v>46003.9348841088</x:v>
      </x:c>
    </x:row>
    <x:row r="1181">
      <x:c r="A1181" t="str">
        <x:v>japó</x:v>
      </x:c>
      <x:c r="B1181" t="str">
        <x:v>isko</x:v>
      </x:c>
      <x:c r="C1181" t="str">
        <x:v>j</x:v>
      </x:c>
      <x:c r="D1181" t="str">
        <x:v>g129a4fbe-3129-4330-875a-d8114afa3b8d</x:v>
      </x:c>
      <x:c r="E1181" t="str">
        <x:v>g5de7d61b-dca4-4536-a97d-b5394785d16c</x:v>
      </x:c>
      <x:c r="F1181" t="str">
        <x:v>https://www.webonary.org/marubo/g5de7d61b-dca4-4536-a97d-b5394785d16c/</x:v>
      </x:c>
      <x:c r="G1181" s="20" t="n">
        <x:v>46003.9348841088</x:v>
      </x:c>
    </x:row>
    <x:row r="1182">
      <x:c r="A1182" t="str">
        <x:v>japó</x:v>
      </x:c>
      <x:c r="B1182" t="str">
        <x:v>1</x:v>
      </x:c>
      <x:c r="C1182" t="str">
        <x:v>j</x:v>
      </x:c>
      <x:c r="D1182" t="str">
        <x:v>g129a4fbe-3129-4330-875a-d8114afa3b8d</x:v>
      </x:c>
      <x:c r="E1182" t="str">
        <x:v>g5de7d61b-dca4-4536-a97d-b5394785d16c</x:v>
      </x:c>
      <x:c r="F1182" t="str">
        <x:v>https://www.webonary.org/marubo/g5de7d61b-dca4-4536-a97d-b5394785d16c/</x:v>
      </x:c>
      <x:c r="G1182" s="20" t="n">
        <x:v>46003.9348841088</x:v>
      </x:c>
    </x:row>
    <x:row r="1183">
      <x:c r="A1183" t="str">
        <x:v>japu</x:v>
      </x:c>
      <x:c r="B1183" t="str">
        <x:v>txana</x:v>
      </x:c>
      <x:c r="C1183" t="str">
        <x:v>j</x:v>
      </x:c>
      <x:c r="D1183" t="str">
        <x:v>ged39d239-4335-4e99-8256-0bd57251d9b1</x:v>
      </x:c>
      <x:c r="E1183" t="str">
        <x:v>g941fef92-60c3-4d34-84cd-1affe92c3fdf</x:v>
      </x:c>
      <x:c r="F1183" t="str">
        <x:v>https://www.webonary.org/marubo/g941fef92-60c3-4d34-84cd-1affe92c3fdf/</x:v>
      </x:c>
      <x:c r="G1183" s="20" t="n">
        <x:v>46003.9348841088</x:v>
      </x:c>
    </x:row>
    <x:row r="1184">
      <x:c r="A1184" t="str">
        <x:v>japu</x:v>
      </x:c>
      <x:c r="B1184" t="str">
        <x:v>1</x:v>
      </x:c>
      <x:c r="C1184" t="str">
        <x:v>j</x:v>
      </x:c>
      <x:c r="D1184" t="str">
        <x:v>ged39d239-4335-4e99-8256-0bd57251d9b1</x:v>
      </x:c>
      <x:c r="E1184" t="str">
        <x:v>g941fef92-60c3-4d34-84cd-1affe92c3fdf</x:v>
      </x:c>
      <x:c r="F1184" t="str">
        <x:v>https://www.webonary.org/marubo/g941fef92-60c3-4d34-84cd-1affe92c3fdf/</x:v>
      </x:c>
      <x:c r="G1184" s="20" t="n">
        <x:v>46003.9348841088</x:v>
      </x:c>
    </x:row>
    <x:row r="1185">
      <x:c r="A1185" t="str">
        <x:v>jararaca</x:v>
      </x:c>
      <x:c r="B1185" t="str">
        <x:v>iko rono</x:v>
      </x:c>
      <x:c r="C1185" t="str">
        <x:v>j</x:v>
      </x:c>
      <x:c r="D1185" t="str">
        <x:v>g7125b80c-8b2e-470a-95e7-0ba8dd594ebb</x:v>
      </x:c>
      <x:c r="E1185" t="str">
        <x:v>g5a2942dd-1cfe-4e89-8a5c-169c7e56e2a5</x:v>
      </x:c>
      <x:c r="F1185" t="str">
        <x:v>https://www.webonary.org/marubo/g5a2942dd-1cfe-4e89-8a5c-169c7e56e2a5/</x:v>
      </x:c>
      <x:c r="G1185" s="20" t="n">
        <x:v>46003.9348841088</x:v>
      </x:c>
    </x:row>
    <x:row r="1186">
      <x:c r="A1186" t="str">
        <x:v>jarina</x:v>
      </x:c>
      <x:c r="B1186" t="str">
        <x:v>epe</x:v>
      </x:c>
      <x:c r="C1186" t="str">
        <x:v>j</x:v>
      </x:c>
      <x:c r="D1186" t="str">
        <x:v>g40147c90-e370-4c46-bff9-4b0700e540f5</x:v>
      </x:c>
      <x:c r="E1186" t="str">
        <x:v>g04268e8a-103c-442d-8c5c-6b9b5504d3b8</x:v>
      </x:c>
      <x:c r="F1186" t="str">
        <x:v>https://www.webonary.org/marubo/g04268e8a-103c-442d-8c5c-6b9b5504d3b8/</x:v>
      </x:c>
      <x:c r="G1186" s="20" t="n">
        <x:v>46003.9348841088</x:v>
      </x:c>
    </x:row>
    <x:row r="1187">
      <x:c r="A1187" t="str">
        <x:v>jarra de barro</x:v>
      </x:c>
      <x:c r="B1187" t="str">
        <x:v>chomo</x:v>
      </x:c>
      <x:c r="C1187" t="str">
        <x:v>j</x:v>
      </x:c>
      <x:c r="D1187" t="str">
        <x:v>g850bc45f-1c11-4df9-b865-7fd386b08846</x:v>
      </x:c>
      <x:c r="E1187" t="str">
        <x:v>g49f419d3-56e3-435b-b72c-4ab75ddaa080</x:v>
      </x:c>
      <x:c r="F1187" t="str">
        <x:v>https://www.webonary.org/marubo/g49f419d3-56e3-435b-b72c-4ab75ddaa080/</x:v>
      </x:c>
      <x:c r="G1187" s="20" t="n">
        <x:v>46003.9348841088</x:v>
      </x:c>
    </x:row>
    <x:row r="1188">
      <x:c r="A1188" t="str">
        <x:v>jibóia</x:v>
      </x:c>
      <x:c r="B1188" t="str">
        <x:v>manã vesha</x:v>
      </x:c>
      <x:c r="C1188" t="str">
        <x:v>j</x:v>
      </x:c>
      <x:c r="D1188" t="str">
        <x:v>g4ed7e86d-cdf9-4bef-a768-02ad98410359</x:v>
      </x:c>
      <x:c r="E1188" t="str">
        <x:v>g36e7fa4b-1c17-4ce5-879e-1fa42afc8f55</x:v>
      </x:c>
      <x:c r="F1188" t="str">
        <x:v>https://www.webonary.org/marubo/g36e7fa4b-1c17-4ce5-879e-1fa42afc8f55/</x:v>
      </x:c>
      <x:c r="G1188" s="20" t="n">
        <x:v>46003.9348841088</x:v>
      </x:c>
    </x:row>
    <x:row r="1189">
      <x:c r="A1189" t="str">
        <x:v>joelho</x:v>
      </x:c>
      <x:c r="B1189" t="str">
        <x:v>ravoshe</x:v>
      </x:c>
      <x:c r="C1189" t="str">
        <x:v>j</x:v>
      </x:c>
      <x:c r="D1189" t="str">
        <x:v>g64e374e1-774c-4585-80a6-5c4c48dddaf0</x:v>
      </x:c>
      <x:c r="E1189" t="str">
        <x:v>gaac62989-4c73-41ff-b7ea-19c47d3816e5</x:v>
      </x:c>
      <x:c r="F1189" t="str">
        <x:v>https://www.webonary.org/marubo/gaac62989-4c73-41ff-b7ea-19c47d3816e5/</x:v>
      </x:c>
      <x:c r="G1189" s="20" t="n">
        <x:v>46003.9348841088</x:v>
      </x:c>
    </x:row>
    <x:row r="1190">
      <x:c r="A1190" t="str">
        <x:v>jogar</x:v>
      </x:c>
      <x:c r="B1190" t="str">
        <x:v>yavía</x:v>
      </x:c>
      <x:c r="C1190" t="str">
        <x:v>j</x:v>
      </x:c>
      <x:c r="D1190" t="str">
        <x:v>g960d361d-7420-46b9-ba37-418384320573</x:v>
      </x:c>
      <x:c r="E1190" t="str">
        <x:v>g0d8c338f-d951-4f76-a53a-9da15cf771e9</x:v>
      </x:c>
      <x:c r="F1190" t="str">
        <x:v>https://www.webonary.org/marubo/g0d8c338f-d951-4f76-a53a-9da15cf771e9/</x:v>
      </x:c>
      <x:c r="G1190" s="20" t="n">
        <x:v>46003.9348841088</x:v>
      </x:c>
    </x:row>
    <x:row r="1191">
      <x:c r="A1191" t="str">
        <x:v>jogar</x:v>
      </x:c>
      <x:c r="B1191" t="str">
        <x:v>õtxia</x:v>
      </x:c>
      <x:c r="C1191" t="str">
        <x:v>j</x:v>
      </x:c>
      <x:c r="D1191" t="str">
        <x:v>g960d361d-7420-46b9-ba37-418384320573</x:v>
      </x:c>
      <x:c r="E1191" t="str">
        <x:v>g299201be-b0ba-4a12-b275-0043ddb44d86</x:v>
      </x:c>
      <x:c r="F1191" t="str">
        <x:v>https://www.webonary.org/marubo/g299201be-b0ba-4a12-b275-0043ddb44d86/</x:v>
      </x:c>
      <x:c r="G1191" s="20" t="n">
        <x:v>46003.9348841088</x:v>
      </x:c>
    </x:row>
    <x:row r="1192">
      <x:c r="A1192" t="str">
        <x:v>jogar água</x:v>
      </x:c>
      <x:c r="B1192" t="str">
        <x:v>voia</x:v>
      </x:c>
      <x:c r="C1192" t="str">
        <x:v>j</x:v>
      </x:c>
      <x:c r="D1192" t="str">
        <x:v>g04db4ea3-151a-4173-a3e5-9c132979e08a</x:v>
      </x:c>
      <x:c r="E1192" t="str">
        <x:v>g9b4c12c7-fde5-4952-9ca2-720af58d9b0f</x:v>
      </x:c>
      <x:c r="F1192" t="str">
        <x:v>https://www.webonary.org/marubo/g9b4c12c7-fde5-4952-9ca2-720af58d9b0f/</x:v>
      </x:c>
      <x:c r="G1192" s="20" t="n">
        <x:v>46003.9348841088</x:v>
      </x:c>
    </x:row>
    <x:row r="1193">
      <x:c r="A1193" t="str">
        <x:v>jogar culpa</x:v>
      </x:c>
      <x:c r="B1193" t="str">
        <x:v>pacha</x:v>
      </x:c>
      <x:c r="C1193" t="str">
        <x:v>j</x:v>
      </x:c>
      <x:c r="D1193" t="str">
        <x:v>g4b654a0b-df7c-4549-bb9d-5bd52fa30f13</x:v>
      </x:c>
      <x:c r="E1193" t="str">
        <x:v>g7f2d15f5-a4b7-4320-873a-7a7ec8ad381e</x:v>
      </x:c>
      <x:c r="F1193" t="str">
        <x:v>https://www.webonary.org/marubo/g7f2d15f5-a4b7-4320-873a-7a7ec8ad381e/</x:v>
      </x:c>
      <x:c r="G1193" s="20" t="n">
        <x:v>46003.9348841088</x:v>
      </x:c>
    </x:row>
    <x:row r="1194">
      <x:c r="A1194" t="str">
        <x:v>jogar culpa</x:v>
      </x:c>
      <x:c r="B1194" t="str">
        <x:v>2</x:v>
      </x:c>
      <x:c r="C1194" t="str">
        <x:v>j</x:v>
      </x:c>
      <x:c r="D1194" t="str">
        <x:v>g4b654a0b-df7c-4549-bb9d-5bd52fa30f13</x:v>
      </x:c>
      <x:c r="E1194" t="str">
        <x:v>g7f2d15f5-a4b7-4320-873a-7a7ec8ad381e</x:v>
      </x:c>
      <x:c r="F1194" t="str">
        <x:v>https://www.webonary.org/marubo/g7f2d15f5-a4b7-4320-873a-7a7ec8ad381e/</x:v>
      </x:c>
      <x:c r="G1194" s="20" t="n">
        <x:v>46003.9348841088</x:v>
      </x:c>
    </x:row>
    <x:row r="1195">
      <x:c r="A1195" t="str">
        <x:v>jogar líquido</x:v>
      </x:c>
      <x:c r="B1195" t="str">
        <x:v>voi</x:v>
      </x:c>
      <x:c r="C1195" t="str">
        <x:v>j</x:v>
      </x:c>
      <x:c r="D1195" t="str">
        <x:v>g007fe2c2-d4e0-4808-84ff-c16973f42884</x:v>
      </x:c>
      <x:c r="E1195" t="str">
        <x:v>g346afdc9-52cf-4cba-a8b2-7ba5f71b237e</x:v>
      </x:c>
      <x:c r="F1195" t="str">
        <x:v>https://www.webonary.org/marubo/g346afdc9-52cf-4cba-a8b2-7ba5f71b237e/</x:v>
      </x:c>
      <x:c r="G1195" s="20" t="n">
        <x:v>46003.9348841088</x:v>
      </x:c>
    </x:row>
    <x:row r="1196">
      <x:c r="A1196" t="str">
        <x:v>jogar sal algo nos olhos</x:v>
      </x:c>
      <x:c r="B1196" t="str">
        <x:v>vepó ikí</x:v>
      </x:c>
      <x:c r="C1196" t="str">
        <x:v>j</x:v>
      </x:c>
      <x:c r="D1196" t="str">
        <x:v>g57829aab-17dc-43bf-8e0b-9ea4571a03cf</x:v>
      </x:c>
      <x:c r="E1196" t="str">
        <x:v>gd4839900-01d1-4378-9880-1008dc66105d</x:v>
      </x:c>
      <x:c r="F1196" t="str">
        <x:v>https://www.webonary.org/marubo/gd4839900-01d1-4378-9880-1008dc66105d/</x:v>
      </x:c>
      <x:c r="G1196" s="20" t="n">
        <x:v>46003.9348841088</x:v>
      </x:c>
    </x:row>
    <x:row r="1197">
      <x:c r="A1197" t="str">
        <x:v>jovem masculino</x:v>
      </x:c>
      <x:c r="B1197" t="str">
        <x:v>verone</x:v>
      </x:c>
      <x:c r="C1197" t="str">
        <x:v>j</x:v>
      </x:c>
      <x:c r="D1197" t="str">
        <x:v>g52f72b29-b2a7-4d1f-85b2-6abc0529acf1</x:v>
      </x:c>
      <x:c r="E1197" t="str">
        <x:v>g82719879-a3fe-4711-b478-e3cd36a315cb</x:v>
      </x:c>
      <x:c r="F1197" t="str">
        <x:v>https://www.webonary.org/marubo/g82719879-a3fe-4711-b478-e3cd36a315cb/</x:v>
      </x:c>
      <x:c r="G1197" s="20" t="n">
        <x:v>46003.9348841088</x:v>
      </x:c>
    </x:row>
    <x:row r="1198">
      <x:c r="A1198" t="str">
        <x:v>junta</x:v>
      </x:c>
      <x:c r="B1198" t="str">
        <x:v>txiwá</x:v>
      </x:c>
      <x:c r="C1198" t="str">
        <x:v>j</x:v>
      </x:c>
      <x:c r="D1198" t="str">
        <x:v>g08b484ae-204b-44c4-a458-fc200fd39d9b</x:v>
      </x:c>
      <x:c r="E1198" t="str">
        <x:v>g688d695c-2dac-4869-a100-bb3563d4fa79</x:v>
      </x:c>
      <x:c r="F1198" t="str">
        <x:v>https://www.webonary.org/marubo/g688d695c-2dac-4869-a100-bb3563d4fa79/</x:v>
      </x:c>
      <x:c r="G1198" s="20" t="n">
        <x:v>46003.9348841088</x:v>
      </x:c>
    </x:row>
    <x:row r="1199">
      <x:c r="A1199" t="str">
        <x:v>junta</x:v>
      </x:c>
      <x:c r="B1199" t="str">
        <x:v>1</x:v>
      </x:c>
      <x:c r="C1199" t="str">
        <x:v>j</x:v>
      </x:c>
      <x:c r="D1199" t="str">
        <x:v>g08b484ae-204b-44c4-a458-fc200fd39d9b</x:v>
      </x:c>
      <x:c r="E1199" t="str">
        <x:v>g688d695c-2dac-4869-a100-bb3563d4fa79</x:v>
      </x:c>
      <x:c r="F1199" t="str">
        <x:v>https://www.webonary.org/marubo/g688d695c-2dac-4869-a100-bb3563d4fa79/</x:v>
      </x:c>
      <x:c r="G1199" s="20" t="n">
        <x:v>46003.9348841088</x:v>
      </x:c>
    </x:row>
    <x:row r="1200">
      <x:c r="A1200" t="str">
        <x:v>juntar</x:v>
      </x:c>
      <x:c r="B1200" t="str">
        <x:v>soa</x:v>
      </x:c>
      <x:c r="C1200" t="str">
        <x:v>j</x:v>
      </x:c>
      <x:c r="D1200" t="str">
        <x:v>g6e2d8b3f-2a26-41f8-86d4-38356ebaef0d</x:v>
      </x:c>
      <x:c r="E1200" t="str">
        <x:v>g1988c93a-8425-4071-82a8-995c02ceb53e</x:v>
      </x:c>
      <x:c r="F1200" t="str">
        <x:v>https://www.webonary.org/marubo/g1988c93a-8425-4071-82a8-995c02ceb53e/</x:v>
      </x:c>
      <x:c r="G1200" s="20" t="n">
        <x:v>46003.9348841088</x:v>
      </x:c>
    </x:row>
    <x:row r="1201">
      <x:c r="A1201" t="str">
        <x:v>juntar</x:v>
      </x:c>
      <x:c r="B1201" t="str">
        <x:v>txiwá</x:v>
      </x:c>
      <x:c r="C1201" t="str">
        <x:v>j</x:v>
      </x:c>
      <x:c r="D1201" t="str">
        <x:v>g6e2d8b3f-2a26-41f8-86d4-38356ebaef0d</x:v>
      </x:c>
      <x:c r="E1201" t="str">
        <x:v>g374ef8b9-9c7f-4cff-add5-6da948223465</x:v>
      </x:c>
      <x:c r="F1201" t="str">
        <x:v>https://www.webonary.org/marubo/g374ef8b9-9c7f-4cff-add5-6da948223465/</x:v>
      </x:c>
      <x:c r="G1201" s="20" t="n">
        <x:v>46003.9348841088</x:v>
      </x:c>
    </x:row>
    <x:row r="1202">
      <x:c r="A1202" t="str">
        <x:v>juntar</x:v>
      </x:c>
      <x:c r="B1202" t="str">
        <x:v>2</x:v>
      </x:c>
      <x:c r="C1202" t="str">
        <x:v>j</x:v>
      </x:c>
      <x:c r="D1202" t="str">
        <x:v>g6e2d8b3f-2a26-41f8-86d4-38356ebaef0d</x:v>
      </x:c>
      <x:c r="E1202" t="str">
        <x:v>g374ef8b9-9c7f-4cff-add5-6da948223465</x:v>
      </x:c>
      <x:c r="F1202" t="str">
        <x:v>https://www.webonary.org/marubo/g374ef8b9-9c7f-4cff-add5-6da948223465/</x:v>
      </x:c>
      <x:c r="G1202" s="20" t="n">
        <x:v>46003.9348841088</x:v>
      </x:c>
    </x:row>
    <x:row r="1203">
      <x:c r="A1203" t="str">
        <x:v>juntar</x:v>
      </x:c>
      <x:c r="B1203" t="str">
        <x:v>kãtxia</x:v>
      </x:c>
      <x:c r="C1203" t="str">
        <x:v>j</x:v>
      </x:c>
      <x:c r="D1203" t="str">
        <x:v>g6e2d8b3f-2a26-41f8-86d4-38356ebaef0d</x:v>
      </x:c>
      <x:c r="E1203" t="str">
        <x:v>g0a1e25ab-9ac9-4e6b-b881-272132400c7e</x:v>
      </x:c>
      <x:c r="F1203" t="str">
        <x:v>https://www.webonary.org/marubo/g0a1e25ab-9ac9-4e6b-b881-272132400c7e/</x:v>
      </x:c>
      <x:c r="G1203" s="20" t="n">
        <x:v>46003.9348841088</x:v>
      </x:c>
    </x:row>
    <x:row r="1204">
      <x:c r="A1204" t="str">
        <x:v>junto</x:v>
      </x:c>
      <x:c r="B1204" t="str">
        <x:v>avé</x:v>
      </x:c>
      <x:c r="C1204" t="str">
        <x:v>j</x:v>
      </x:c>
      <x:c r="D1204" t="str">
        <x:v>g264774cf-68f4-4956-aa09-a60d5a51b094</x:v>
      </x:c>
      <x:c r="E1204" t="str">
        <x:v>g2219a29b-9210-4b69-a4e0-13bac6a17322</x:v>
      </x:c>
      <x:c r="F1204" t="str">
        <x:v>https://www.webonary.org/marubo/g2219a29b-9210-4b69-a4e0-13bac6a17322/</x:v>
      </x:c>
      <x:c r="G1204" s="20" t="n">
        <x:v>46003.9348841088</x:v>
      </x:c>
    </x:row>
    <x:row r="1205">
      <x:c r="A1205" t="str">
        <x:v>juntos</x:v>
      </x:c>
      <x:c r="B1205" t="str">
        <x:v>shokoa</x:v>
      </x:c>
      <x:c r="C1205" t="str">
        <x:v>j</x:v>
      </x:c>
      <x:c r="D1205" t="str">
        <x:v>g93a2f57c-68e5-4673-89f5-deb4fee0ddfd</x:v>
      </x:c>
      <x:c r="E1205" t="str">
        <x:v>g6951ba43-446c-4534-8431-061debf9a0de</x:v>
      </x:c>
      <x:c r="F1205" t="str">
        <x:v>https://www.webonary.org/marubo/g6951ba43-446c-4534-8431-061debf9a0de/</x:v>
      </x:c>
      <x:c r="G1205" s="20" t="n">
        <x:v>46003.9348841088</x:v>
      </x:c>
    </x:row>
    <x:row r="1206">
      <x:c r="A1206" t="str">
        <x:v>juntos</x:v>
      </x:c>
      <x:c r="B1206" t="str">
        <x:v>ashkã</x:v>
      </x:c>
      <x:c r="C1206" t="str">
        <x:v>j</x:v>
      </x:c>
      <x:c r="D1206" t="str">
        <x:v>g93a2f57c-68e5-4673-89f5-deb4fee0ddfd</x:v>
      </x:c>
      <x:c r="E1206" t="str">
        <x:v>g2f0c4bb2-9f91-44d8-870f-48eae3ffc860</x:v>
      </x:c>
      <x:c r="F1206" t="str">
        <x:v>https://www.webonary.org/marubo/g2f0c4bb2-9f91-44d8-870f-48eae3ffc860/</x:v>
      </x:c>
      <x:c r="G1206" s="20" t="n">
        <x:v>46003.9348841088</x:v>
      </x:c>
    </x:row>
    <x:row r="1207">
      <x:c r="A1207" t="str">
        <x:v>juruva ruiva</x:v>
      </x:c>
      <x:c r="B1207" t="str">
        <x:v>mãsã oro</x:v>
      </x:c>
      <x:c r="C1207" t="str">
        <x:v>j</x:v>
      </x:c>
      <x:c r="D1207" t="str">
        <x:v>gff0fa203-5d03-499c-a5dd-72dc7d50a073</x:v>
      </x:c>
      <x:c r="E1207" t="str">
        <x:v>gfcf0372b-d563-4eeb-bf2d-e9ade71e7ca9</x:v>
      </x:c>
      <x:c r="F1207" t="str">
        <x:v>https://www.webonary.org/marubo/gfcf0372b-d563-4eeb-bf2d-e9ade71e7ca9/</x:v>
      </x:c>
      <x:c r="G1207" s="20" t="n">
        <x:v>46003.9348841088</x:v>
      </x:c>
    </x:row>
    <x:row r="1208">
      <x:c r="A1208" t="str">
        <x:v>kairara</x:v>
      </x:c>
      <x:c r="B1208" t="str">
        <x:v>chino osho</x:v>
      </x:c>
      <x:c r="C1208" t="str">
        <x:v>k</x:v>
      </x:c>
      <x:c r="D1208" t="str">
        <x:v>gcc334038-1222-41be-a8aa-0c24dba4c365</x:v>
      </x:c>
      <x:c r="E1208" t="str">
        <x:v>gb09242cf-d775-4ae8-a675-08f5ac6d4772</x:v>
      </x:c>
      <x:c r="F1208" t="str">
        <x:v>https://www.webonary.org/marubo/gb09242cf-d775-4ae8-a675-08f5ac6d4772/</x:v>
      </x:c>
      <x:c r="G1208" s="20" t="n">
        <x:v>46003.9348841088</x:v>
      </x:c>
    </x:row>
    <x:row r="1209">
      <x:c r="A1209" t="str">
        <x:v>lá</x:v>
      </x:c>
      <x:c r="B1209" t="str">
        <x:v>ari</x:v>
      </x:c>
      <x:c r="C1209" t="str">
        <x:v>l</x:v>
      </x:c>
      <x:c r="D1209" t="str">
        <x:v>gd0d65898-2c12-4525-aa77-01e3b9a6f955</x:v>
      </x:c>
      <x:c r="E1209" t="str">
        <x:v>g6bbf4d07-361b-47b2-b585-dd5f62d50749</x:v>
      </x:c>
      <x:c r="F1209" t="str">
        <x:v>https://www.webonary.org/marubo/g6bbf4d07-361b-47b2-b585-dd5f62d50749/</x:v>
      </x:c>
      <x:c r="G1209" s="20" t="n">
        <x:v>46003.9348841088</x:v>
      </x:c>
    </x:row>
    <x:row r="1210">
      <x:c r="A1210" t="str">
        <x:v>lá</x:v>
      </x:c>
      <x:c r="B1210" t="str">
        <x:v>1</x:v>
      </x:c>
      <x:c r="C1210" t="str">
        <x:v>l</x:v>
      </x:c>
      <x:c r="D1210" t="str">
        <x:v>gd0d65898-2c12-4525-aa77-01e3b9a6f955</x:v>
      </x:c>
      <x:c r="E1210" t="str">
        <x:v>g6bbf4d07-361b-47b2-b585-dd5f62d50749</x:v>
      </x:c>
      <x:c r="F1210" t="str">
        <x:v>https://www.webonary.org/marubo/g6bbf4d07-361b-47b2-b585-dd5f62d50749/</x:v>
      </x:c>
      <x:c r="G1210" s="20" t="n">
        <x:v>46003.9348841088</x:v>
      </x:c>
    </x:row>
    <x:row r="1211">
      <x:c r="A1211" t="str">
        <x:v>lá</x:v>
      </x:c>
      <x:c r="B1211" t="str">
        <x:v>ori</x:v>
      </x:c>
      <x:c r="C1211" t="str">
        <x:v>l</x:v>
      </x:c>
      <x:c r="D1211" t="str">
        <x:v>gd0d65898-2c12-4525-aa77-01e3b9a6f955</x:v>
      </x:c>
      <x:c r="E1211" t="str">
        <x:v>g78286ffe-ac58-47c0-ad29-656767f55fd6</x:v>
      </x:c>
      <x:c r="F1211" t="str">
        <x:v>https://www.webonary.org/marubo/g78286ffe-ac58-47c0-ad29-656767f55fd6/</x:v>
      </x:c>
      <x:c r="G1211" s="20" t="n">
        <x:v>46003.9348841088</x:v>
      </x:c>
    </x:row>
    <x:row r="1212">
      <x:c r="A1212" t="str">
        <x:v>lá</x:v>
      </x:c>
      <x:c r="B1212" t="str">
        <x:v>okiri</x:v>
      </x:c>
      <x:c r="C1212" t="str">
        <x:v>l</x:v>
      </x:c>
      <x:c r="D1212" t="str">
        <x:v>gd0d65898-2c12-4525-aa77-01e3b9a6f955</x:v>
      </x:c>
      <x:c r="E1212" t="str">
        <x:v>gc154bc9c-8422-4dbe-85ea-9ed1a06f8b87</x:v>
      </x:c>
      <x:c r="F1212" t="str">
        <x:v>https://www.webonary.org/marubo/gc154bc9c-8422-4dbe-85ea-9ed1a06f8b87/</x:v>
      </x:c>
      <x:c r="G1212" s="20" t="n">
        <x:v>46003.9348841088</x:v>
      </x:c>
    </x:row>
    <x:row r="1213">
      <x:c r="A1213" t="str">
        <x:v>labio</x:v>
      </x:c>
      <x:c r="B1213" t="str">
        <x:v>keshá</x:v>
      </x:c>
      <x:c r="C1213" t="str">
        <x:v>l</x:v>
      </x:c>
      <x:c r="D1213" t="str">
        <x:v>g8cac78a2-e724-4666-add9-0ca1df2b5c3b</x:v>
      </x:c>
      <x:c r="E1213" t="str">
        <x:v>gb5ce0535-7d79-4405-8755-243c7090eecc</x:v>
      </x:c>
      <x:c r="F1213" t="str">
        <x:v>https://www.webonary.org/marubo/gb5ce0535-7d79-4405-8755-243c7090eecc/</x:v>
      </x:c>
      <x:c r="G1213" s="20" t="n">
        <x:v>46003.934891400466</x:v>
      </x:c>
    </x:row>
    <x:row r="1214">
      <x:c r="A1214" t="str">
        <x:v>lábios inchado (depois de ser picado por abelha)</x:v>
      </x:c>
      <x:c r="B1214" t="str">
        <x:v>choróka</x:v>
      </x:c>
      <x:c r="C1214" t="str">
        <x:v>l</x:v>
      </x:c>
      <x:c r="D1214" t="str">
        <x:v>g2fbe5f33-ce00-4a5b-9f3f-e8caace687f4</x:v>
      </x:c>
      <x:c r="E1214" t="str">
        <x:v>ga6d34fbf-5355-4575-bf03-17a8a54a20ec</x:v>
      </x:c>
      <x:c r="F1214" t="str">
        <x:v>https://www.webonary.org/marubo/ga6d34fbf-5355-4575-bf03-17a8a54a20ec/</x:v>
      </x:c>
      <x:c r="G1214" s="20" t="n">
        <x:v>46003.934891400466</x:v>
      </x:c>
    </x:row>
    <x:row r="1215">
      <x:c r="A1215" t="str">
        <x:v>lacraia</x:v>
      </x:c>
      <x:c r="B1215" t="str">
        <x:v>awáwa</x:v>
      </x:c>
      <x:c r="C1215" t="str">
        <x:v>l</x:v>
      </x:c>
      <x:c r="D1215" t="str">
        <x:v>g086c8a4e-a37b-4a9b-a67a-160a71666735</x:v>
      </x:c>
      <x:c r="E1215" t="str">
        <x:v>g2ea797a3-72b9-4afd-b1af-d3da6b69f7fb</x:v>
      </x:c>
      <x:c r="F1215" t="str">
        <x:v>https://www.webonary.org/marubo/g2ea797a3-72b9-4afd-b1af-d3da6b69f7fb/</x:v>
      </x:c>
      <x:c r="G1215" s="20" t="n">
        <x:v>46003.934891400466</x:v>
      </x:c>
    </x:row>
    <x:row r="1216">
      <x:c r="A1216" t="str">
        <x:v>lado</x:v>
      </x:c>
      <x:c r="B1216" t="str">
        <x:v>kesó</x:v>
      </x:c>
      <x:c r="C1216" t="str">
        <x:v>l</x:v>
      </x:c>
      <x:c r="D1216" t="str">
        <x:v>g9bb3b04d-04fb-4d77-9c0f-1fe298a1bbc7</x:v>
      </x:c>
      <x:c r="E1216" t="str">
        <x:v>g29990c9d-f414-4a1e-9308-bcafc9dc87f9</x:v>
      </x:c>
      <x:c r="F1216" t="str">
        <x:v>https://www.webonary.org/marubo/g29990c9d-f414-4a1e-9308-bcafc9dc87f9/</x:v>
      </x:c>
      <x:c r="G1216" s="20" t="n">
        <x:v>46003.934891400466</x:v>
      </x:c>
    </x:row>
    <x:row r="1217">
      <x:c r="A1217" t="str">
        <x:v>lado extremo</x:v>
      </x:c>
      <x:c r="B1217" t="str">
        <x:v>repi</x:v>
      </x:c>
      <x:c r="C1217" t="str">
        <x:v>l</x:v>
      </x:c>
      <x:c r="D1217" t="str">
        <x:v>g8c418b07-4299-4ea5-8425-73674756f9cb</x:v>
      </x:c>
      <x:c r="E1217" t="str">
        <x:v>ga95ccd54-5282-4ec0-ad45-7ce6e16ed493</x:v>
      </x:c>
      <x:c r="F1217" t="str">
        <x:v>https://www.webonary.org/marubo/ga95ccd54-5282-4ec0-ad45-7ce6e16ed493/</x:v>
      </x:c>
      <x:c r="G1217" s="20" t="n">
        <x:v>46003.934891400466</x:v>
      </x:c>
    </x:row>
    <x:row r="1218">
      <x:c r="A1218" t="str">
        <x:v>lado trazeiro de casa</x:v>
      </x:c>
      <x:c r="B1218" t="str">
        <x:v>repã kãĩ</x:v>
      </x:c>
      <x:c r="C1218" t="str">
        <x:v>l</x:v>
      </x:c>
      <x:c r="D1218" t="str">
        <x:v>ga66b09a9-8fd6-4834-be7b-9f38f4d330aa</x:v>
      </x:c>
      <x:c r="E1218" t="str">
        <x:v>g5818408a-3e4e-4c91-a4d7-a73d43c1c6c4</x:v>
      </x:c>
      <x:c r="F1218" t="str">
        <x:v>https://www.webonary.org/marubo/g5818408a-3e4e-4c91-a4d7-a73d43c1c6c4/</x:v>
      </x:c>
      <x:c r="G1218" s="20" t="n">
        <x:v>46003.934891400466</x:v>
      </x:c>
    </x:row>
    <x:row r="1219">
      <x:c r="A1219" t="str">
        <x:v>ladrão</x:v>
      </x:c>
      <x:c r="B1219" t="str">
        <x:v>kerõma</x:v>
      </x:c>
      <x:c r="C1219" t="str">
        <x:v>l</x:v>
      </x:c>
      <x:c r="D1219" t="str">
        <x:v>gfda2db0d-d648-4ab4-8a2c-0315766fe0b7</x:v>
      </x:c>
      <x:c r="E1219" t="str">
        <x:v>g95757b4d-cd47-4a15-a00e-11cf5332dc6f</x:v>
      </x:c>
      <x:c r="F1219" t="str">
        <x:v>https://www.webonary.org/marubo/g95757b4d-cd47-4a15-a00e-11cf5332dc6f/</x:v>
      </x:c>
      <x:c r="G1219" s="20" t="n">
        <x:v>46003.934891400466</x:v>
      </x:c>
    </x:row>
    <x:row r="1220">
      <x:c r="A1220" t="str">
        <x:v>lagarta</x:v>
      </x:c>
      <x:c r="B1220" t="str">
        <x:v>shako</x:v>
      </x:c>
      <x:c r="C1220" t="str">
        <x:v>l</x:v>
      </x:c>
      <x:c r="D1220" t="str">
        <x:v>g4cb8f5f2-0e72-4fb8-aad3-d460ebed8952</x:v>
      </x:c>
      <x:c r="E1220" t="str">
        <x:v>g3e270dd7-bb65-4f7b-909c-a22904f7f464</x:v>
      </x:c>
      <x:c r="F1220" t="str">
        <x:v>https://www.webonary.org/marubo/g3e270dd7-bb65-4f7b-909c-a22904f7f464/</x:v>
      </x:c>
      <x:c r="G1220" s="20" t="n">
        <x:v>46003.934891400466</x:v>
      </x:c>
    </x:row>
    <x:row r="1221">
      <x:c r="A1221" t="str">
        <x:v>lagarta</x:v>
      </x:c>
      <x:c r="B1221" t="str">
        <x:v>etxe</x:v>
      </x:c>
      <x:c r="C1221" t="str">
        <x:v>l</x:v>
      </x:c>
      <x:c r="D1221" t="str">
        <x:v>g4cb8f5f2-0e72-4fb8-aad3-d460ebed8952</x:v>
      </x:c>
      <x:c r="E1221" t="str">
        <x:v>gcb22955e-a250-4290-b746-dc2942ec7802</x:v>
      </x:c>
      <x:c r="F1221" t="str">
        <x:v>https://www.webonary.org/marubo/gcb22955e-a250-4290-b746-dc2942ec7802/</x:v>
      </x:c>
      <x:c r="G1221" s="20" t="n">
        <x:v>46003.934891400466</x:v>
      </x:c>
    </x:row>
    <x:row r="1222">
      <x:c r="A1222" t="str">
        <x:v>lagarta tatura</x:v>
      </x:c>
      <x:c r="B1222" t="str">
        <x:v>vachíchi</x:v>
      </x:c>
      <x:c r="C1222" t="str">
        <x:v>l</x:v>
      </x:c>
      <x:c r="D1222" t="str">
        <x:v>gc490cf1a-389f-46f2-97e3-cf4e279de7a6</x:v>
      </x:c>
      <x:c r="E1222" t="str">
        <x:v>g39a085f9-c62f-4aba-bc79-5157876f7d49</x:v>
      </x:c>
      <x:c r="F1222" t="str">
        <x:v>https://www.webonary.org/marubo/g39a085f9-c62f-4aba-bc79-5157876f7d49/</x:v>
      </x:c>
      <x:c r="G1222" s="20" t="n">
        <x:v>46003.934891400466</x:v>
      </x:c>
    </x:row>
    <x:row r="1223">
      <x:c r="A1223" t="str">
        <x:v>lagarticha</x:v>
      </x:c>
      <x:c r="B1223" t="str">
        <x:v>shavo</x:v>
      </x:c>
      <x:c r="C1223" t="str">
        <x:v>l</x:v>
      </x:c>
      <x:c r="D1223" t="str">
        <x:v>gdca243a9-5f15-4f7c-94c8-21c91e814201</x:v>
      </x:c>
      <x:c r="E1223" t="str">
        <x:v>ga139e645-e990-4676-b591-1116f655f284</x:v>
      </x:c>
      <x:c r="F1223" t="str">
        <x:v>https://www.webonary.org/marubo/ga139e645-e990-4676-b591-1116f655f284/</x:v>
      </x:c>
      <x:c r="G1223" s="20" t="n">
        <x:v>46003.934891400466</x:v>
      </x:c>
    </x:row>
    <x:row r="1224">
      <x:c r="A1224" t="str">
        <x:v>lago</x:v>
      </x:c>
      <x:c r="B1224" t="str">
        <x:v>iyã</x:v>
      </x:c>
      <x:c r="C1224" t="str">
        <x:v>l</x:v>
      </x:c>
      <x:c r="D1224" t="str">
        <x:v>g31c36506-d48f-4afa-857c-117394c60beb</x:v>
      </x:c>
      <x:c r="E1224" t="str">
        <x:v>g341efd12-15d7-432e-af93-06945961be3c</x:v>
      </x:c>
      <x:c r="F1224" t="str">
        <x:v>https://www.webonary.org/marubo/g341efd12-15d7-432e-af93-06945961be3c/</x:v>
      </x:c>
      <x:c r="G1224" s="20" t="n">
        <x:v>46003.934891400466</x:v>
      </x:c>
    </x:row>
    <x:row r="1225">
      <x:c r="A1225" t="str">
        <x:v>lagrimas</x:v>
      </x:c>
      <x:c r="B1225" t="str">
        <x:v>veõ</x:v>
      </x:c>
      <x:c r="C1225" t="str">
        <x:v>l</x:v>
      </x:c>
      <x:c r="D1225" t="str">
        <x:v>g2612df1a-9115-4614-8d78-7573764f480f</x:v>
      </x:c>
      <x:c r="E1225" t="str">
        <x:v>g4123c1c8-e665-4a84-a809-836f4c4141cf</x:v>
      </x:c>
      <x:c r="F1225" t="str">
        <x:v>https://www.webonary.org/marubo/g4123c1c8-e665-4a84-a809-836f4c4141cf/</x:v>
      </x:c>
      <x:c r="G1225" s="20" t="n">
        <x:v>46003.934891400466</x:v>
      </x:c>
    </x:row>
    <x:row r="1226">
      <x:c r="A1226" t="str">
        <x:v>lápis</x:v>
      </x:c>
      <x:c r="B1226" t="str">
        <x:v>wichati</x:v>
      </x:c>
      <x:c r="C1226" t="str">
        <x:v>l</x:v>
      </x:c>
      <x:c r="D1226" t="str">
        <x:v>gac45c141-fc8e-4f14-85a4-a150ec001092</x:v>
      </x:c>
      <x:c r="E1226" t="str">
        <x:v>g821c2b6f-ca05-4ef5-8016-27078581f545</x:v>
      </x:c>
      <x:c r="F1226" t="str">
        <x:v>https://www.webonary.org/marubo/g821c2b6f-ca05-4ef5-8016-27078581f545/</x:v>
      </x:c>
      <x:c r="G1226" s="20" t="n">
        <x:v>46003.934891400466</x:v>
      </x:c>
    </x:row>
    <x:row r="1227">
      <x:c r="A1227" t="str">
        <x:v>larínge</x:v>
      </x:c>
      <x:c r="B1227" t="str">
        <x:v>tẽshãti</x:v>
      </x:c>
      <x:c r="C1227" t="str">
        <x:v>l</x:v>
      </x:c>
      <x:c r="D1227" t="str">
        <x:v>g9197867f-e053-4666-81de-28aa31f7b0df</x:v>
      </x:c>
      <x:c r="E1227" t="str">
        <x:v>g8e9215a7-f2ed-4891-a98f-6454f0020aba</x:v>
      </x:c>
      <x:c r="F1227" t="str">
        <x:v>https://www.webonary.org/marubo/g8e9215a7-f2ed-4891-a98f-6454f0020aba/</x:v>
      </x:c>
      <x:c r="G1227" s="20" t="n">
        <x:v>46003.934891400466</x:v>
      </x:c>
    </x:row>
    <x:row r="1228">
      <x:c r="A1228" t="str">
        <x:v>larva</x:v>
      </x:c>
      <x:c r="B1228" t="str">
        <x:v>tano</x:v>
      </x:c>
      <x:c r="C1228" t="str">
        <x:v>l</x:v>
      </x:c>
      <x:c r="D1228" t="str">
        <x:v>g85381fde-dbfd-4e2c-9c99-365a3bfe4263</x:v>
      </x:c>
      <x:c r="E1228" t="str">
        <x:v>g5bccfb90-b854-4866-975d-46678d5998a7</x:v>
      </x:c>
      <x:c r="F1228" t="str">
        <x:v>https://www.webonary.org/marubo/g5bccfb90-b854-4866-975d-46678d5998a7/</x:v>
      </x:c>
      <x:c r="G1228" s="20" t="n">
        <x:v>46003.934891400466</x:v>
      </x:c>
    </x:row>
    <x:row r="1229">
      <x:c r="A1229" t="str">
        <x:v>lata</x:v>
      </x:c>
      <x:c r="B1229" t="str">
        <x:v>rata</x:v>
      </x:c>
      <x:c r="C1229" t="str">
        <x:v>l</x:v>
      </x:c>
      <x:c r="D1229" t="str">
        <x:v>gffefe300-716e-418b-9658-6d2edf080ccf</x:v>
      </x:c>
      <x:c r="E1229" t="str">
        <x:v>g275d0cba-77df-4863-bd3f-f72454d36cc3</x:v>
      </x:c>
      <x:c r="F1229" t="str">
        <x:v>https://www.webonary.org/marubo/g275d0cba-77df-4863-bd3f-f72454d36cc3/</x:v>
      </x:c>
      <x:c r="G1229" s="20" t="n">
        <x:v>46003.934891400466</x:v>
      </x:c>
    </x:row>
    <x:row r="1230">
      <x:c r="A1230" t="str">
        <x:v>laterna</x:v>
      </x:c>
      <x:c r="B1230" t="str">
        <x:v>amo naoti</x:v>
      </x:c>
      <x:c r="C1230" t="str">
        <x:v>l</x:v>
      </x:c>
      <x:c r="D1230" t="str">
        <x:v>gb51aa20e-9d16-4bd6-89c6-86c4bdf86aaa</x:v>
      </x:c>
      <x:c r="E1230" t="str">
        <x:v>ge3d81577-566e-4949-84dc-17319872243a</x:v>
      </x:c>
      <x:c r="F1230" t="str">
        <x:v>https://www.webonary.org/marubo/ge3d81577-566e-4949-84dc-17319872243a/</x:v>
      </x:c>
      <x:c r="G1230" s="20" t="n">
        <x:v>46003.934891400466</x:v>
      </x:c>
    </x:row>
    <x:row r="1231">
      <x:c r="A1231" t="str">
        <x:v>latir</x:v>
      </x:c>
      <x:c r="B1231" t="str">
        <x:v>saiki ikí</x:v>
      </x:c>
      <x:c r="C1231" t="str">
        <x:v>l</x:v>
      </x:c>
      <x:c r="D1231" t="str">
        <x:v>gda06ce08-4acb-45b8-8f91-9400813d3fbd</x:v>
      </x:c>
      <x:c r="E1231" t="str">
        <x:v>gfca340ee-8860-4655-846f-a8059da05a2e</x:v>
      </x:c>
      <x:c r="F1231" t="str">
        <x:v>https://www.webonary.org/marubo/gfca340ee-8860-4655-846f-a8059da05a2e/</x:v>
      </x:c>
      <x:c r="G1231" s="20" t="n">
        <x:v>46003.934891400466</x:v>
      </x:c>
    </x:row>
    <x:row r="1232">
      <x:c r="A1232" t="str">
        <x:v>latir</x:v>
      </x:c>
      <x:c r="B1232" t="str">
        <x:v>naas ikí</x:v>
      </x:c>
      <x:c r="C1232" t="str">
        <x:v>l</x:v>
      </x:c>
      <x:c r="D1232" t="str">
        <x:v>gda06ce08-4acb-45b8-8f91-9400813d3fbd</x:v>
      </x:c>
      <x:c r="E1232" t="str">
        <x:v>gf2897ac8-9ea8-48db-820e-0f5476ec2e45</x:v>
      </x:c>
      <x:c r="F1232" t="str">
        <x:v>https://www.webonary.org/marubo/gf2897ac8-9ea8-48db-820e-0f5476ec2e45/</x:v>
      </x:c>
      <x:c r="G1232" s="20" t="n">
        <x:v>46003.934891400466</x:v>
      </x:c>
    </x:row>
    <x:row r="1233">
      <x:c r="A1233" t="str">
        <x:v>lavar</x:v>
      </x:c>
      <x:c r="B1233" t="str">
        <x:v>txoa aká</x:v>
      </x:c>
      <x:c r="C1233" t="str">
        <x:v>l</x:v>
      </x:c>
      <x:c r="D1233" t="str">
        <x:v>gc8d2f7ad-cff1-44e9-a12a-c1962c564cee</x:v>
      </x:c>
      <x:c r="E1233" t="str">
        <x:v>g754ab4d2-7148-4fab-8f65-8be948f2313f</x:v>
      </x:c>
      <x:c r="F1233" t="str">
        <x:v>https://www.webonary.org/marubo/g754ab4d2-7148-4fab-8f65-8be948f2313f/</x:v>
      </x:c>
      <x:c r="G1233" s="20" t="n">
        <x:v>46003.934891400466</x:v>
      </x:c>
    </x:row>
    <x:row r="1234">
      <x:c r="A1234" t="str">
        <x:v>lavar</x:v>
      </x:c>
      <x:c r="B1234" t="str">
        <x:v>nãpa</x:v>
      </x:c>
      <x:c r="C1234" t="str">
        <x:v>l</x:v>
      </x:c>
      <x:c r="D1234" t="str">
        <x:v>gc8d2f7ad-cff1-44e9-a12a-c1962c564cee</x:v>
      </x:c>
      <x:c r="E1234" t="str">
        <x:v>gbe8011a1-6095-4602-aa9c-f6128dcf21fa</x:v>
      </x:c>
      <x:c r="F1234" t="str">
        <x:v>https://www.webonary.org/marubo/gbe8011a1-6095-4602-aa9c-f6128dcf21fa/</x:v>
      </x:c>
      <x:c r="G1234" s="20" t="n">
        <x:v>46003.934891400466</x:v>
      </x:c>
    </x:row>
    <x:row r="1235">
      <x:c r="A1235" t="str">
        <x:v>lavar as mãos</x:v>
      </x:c>
      <x:c r="B1235" t="str">
        <x:v>mepã ikí</x:v>
      </x:c>
      <x:c r="C1235" t="str">
        <x:v>l</x:v>
      </x:c>
      <x:c r="D1235" t="str">
        <x:v>g5ac8ad1d-cc81-4ec7-96a8-15ca7720487d</x:v>
      </x:c>
      <x:c r="E1235" t="str">
        <x:v>g230b78b0-8ab0-4489-bc43-34004c61f47c</x:v>
      </x:c>
      <x:c r="F1235" t="str">
        <x:v>https://www.webonary.org/marubo/g230b78b0-8ab0-4489-bc43-34004c61f47c/</x:v>
      </x:c>
      <x:c r="G1235" s="20" t="n">
        <x:v>46003.934891400466</x:v>
      </x:c>
    </x:row>
    <x:row r="1236">
      <x:c r="A1236" t="str">
        <x:v>lavar louça</x:v>
      </x:c>
      <x:c r="B1236" t="str">
        <x:v>kẽtxá nãpã</x:v>
      </x:c>
      <x:c r="C1236" t="str">
        <x:v>l</x:v>
      </x:c>
      <x:c r="D1236" t="str">
        <x:v>gd0392035-4fc2-4a05-82b0-4bd3f3a224cb</x:v>
      </x:c>
      <x:c r="E1236" t="str">
        <x:v>gf3e1d668-9704-4ed3-94ef-66d9b9d712b6</x:v>
      </x:c>
      <x:c r="F1236" t="str">
        <x:v>https://www.webonary.org/marubo/gf3e1d668-9704-4ed3-94ef-66d9b9d712b6/</x:v>
      </x:c>
      <x:c r="G1236" s="20" t="n">
        <x:v>46003.934891400466</x:v>
      </x:c>
    </x:row>
    <x:row r="1237">
      <x:c r="A1237" t="str">
        <x:v>lavrar madeira de canoa</x:v>
      </x:c>
      <x:c r="B1237" t="str">
        <x:v>pesha</x:v>
      </x:c>
      <x:c r="C1237" t="str">
        <x:v>l</x:v>
      </x:c>
      <x:c r="D1237" t="str">
        <x:v>gfcfbc850-7cce-4e69-a659-b1b0edc1cf2a</x:v>
      </x:c>
      <x:c r="E1237" t="str">
        <x:v>ge713595a-608f-420a-8707-f746d32f7638</x:v>
      </x:c>
      <x:c r="F1237" t="str">
        <x:v>https://www.webonary.org/marubo/ge713595a-608f-420a-8707-f746d32f7638/</x:v>
      </x:c>
      <x:c r="G1237" s="20" t="n">
        <x:v>46003.934891400466</x:v>
      </x:c>
    </x:row>
    <x:row r="1238">
      <x:c r="A1238" t="str">
        <x:v>lechmanióse</x:v>
      </x:c>
      <x:c r="B1238" t="str">
        <x:v>oróa</x:v>
      </x:c>
      <x:c r="C1238" t="str">
        <x:v>l</x:v>
      </x:c>
      <x:c r="D1238" t="str">
        <x:v>gf176a991-eade-429b-b40a-621f13775467</x:v>
      </x:c>
      <x:c r="E1238" t="str">
        <x:v>g6110296f-b91f-44c5-a099-bd41d2d28920</x:v>
      </x:c>
      <x:c r="F1238" t="str">
        <x:v>https://www.webonary.org/marubo/g6110296f-b91f-44c5-a099-bd41d2d28920/</x:v>
      </x:c>
      <x:c r="G1238" s="20" t="n">
        <x:v>46003.934891400466</x:v>
      </x:c>
    </x:row>
    <x:row r="1239">
      <x:c r="A1239" t="str">
        <x:v>lechmanióse</x:v>
      </x:c>
      <x:c r="B1239" t="str">
        <x:v>1</x:v>
      </x:c>
      <x:c r="C1239" t="str">
        <x:v>l</x:v>
      </x:c>
      <x:c r="D1239" t="str">
        <x:v>gf176a991-eade-429b-b40a-621f13775467</x:v>
      </x:c>
      <x:c r="E1239" t="str">
        <x:v>g6110296f-b91f-44c5-a099-bd41d2d28920</x:v>
      </x:c>
      <x:c r="F1239" t="str">
        <x:v>https://www.webonary.org/marubo/g6110296f-b91f-44c5-a099-bd41d2d28920/</x:v>
      </x:c>
      <x:c r="G1239" s="20" t="n">
        <x:v>46003.934891400466</x:v>
      </x:c>
    </x:row>
    <x:row r="1240">
      <x:c r="A1240" t="str">
        <x:v>lenha</x:v>
      </x:c>
      <x:c r="B1240" t="str">
        <x:v>karo</x:v>
      </x:c>
      <x:c r="C1240" t="str">
        <x:v>l</x:v>
      </x:c>
      <x:c r="D1240" t="str">
        <x:v>gb5110cc3-5857-4348-8679-750f415c5356</x:v>
      </x:c>
      <x:c r="E1240" t="str">
        <x:v>g70db0da8-561c-456b-a17a-4bd9fba88207</x:v>
      </x:c>
      <x:c r="F1240" t="str">
        <x:v>https://www.webonary.org/marubo/g70db0da8-561c-456b-a17a-4bd9fba88207/</x:v>
      </x:c>
      <x:c r="G1240" s="20" t="n">
        <x:v>46003.934891400466</x:v>
      </x:c>
    </x:row>
    <x:row r="1241">
      <x:c r="A1241" t="str">
        <x:v>lenha da casa</x:v>
      </x:c>
      <x:c r="B1241" t="str">
        <x:v>peshkẽ</x:v>
      </x:c>
      <x:c r="C1241" t="str">
        <x:v>l</x:v>
      </x:c>
      <x:c r="D1241" t="str">
        <x:v>gcd94ed8c-e0b2-46b6-ad33-ca2a1beb5b26</x:v>
      </x:c>
      <x:c r="E1241" t="str">
        <x:v>g33c287d9-33f6-4cc0-94e5-a570530f2242</x:v>
      </x:c>
      <x:c r="F1241" t="str">
        <x:v>https://www.webonary.org/marubo/g33c287d9-33f6-4cc0-94e5-a570530f2242/</x:v>
      </x:c>
      <x:c r="G1241" s="20" t="n">
        <x:v>46003.934891400466</x:v>
      </x:c>
    </x:row>
    <x:row r="1242">
      <x:c r="A1242" t="str">
        <x:v>levantar</x:v>
      </x:c>
      <x:c r="B1242" t="str">
        <x:v>wakení</x:v>
      </x:c>
      <x:c r="C1242" t="str">
        <x:v>l</x:v>
      </x:c>
      <x:c r="D1242" t="str">
        <x:v>gc782e7ba-74e1-40ac-a72c-f9801a155e43</x:v>
      </x:c>
      <x:c r="E1242" t="str">
        <x:v>g640465fb-8de4-4dce-881d-a3502da3ca74</x:v>
      </x:c>
      <x:c r="F1242" t="str">
        <x:v>https://www.webonary.org/marubo/g640465fb-8de4-4dce-881d-a3502da3ca74/</x:v>
      </x:c>
      <x:c r="G1242" s="20" t="n">
        <x:v>46003.934891400466</x:v>
      </x:c>
    </x:row>
    <x:row r="1243">
      <x:c r="A1243" t="str">
        <x:v>levar</x:v>
      </x:c>
      <x:c r="B1243" t="str">
        <x:v>ewea</x:v>
      </x:c>
      <x:c r="C1243" t="str">
        <x:v>l</x:v>
      </x:c>
      <x:c r="D1243" t="str">
        <x:v>g4326982f-3d30-4d72-a9c2-9c9267d916ad</x:v>
      </x:c>
      <x:c r="E1243" t="str">
        <x:v>ga29dc514-c1cf-44a1-9a44-9342634331ee</x:v>
      </x:c>
      <x:c r="F1243" t="str">
        <x:v>https://www.webonary.org/marubo/ga29dc514-c1cf-44a1-9a44-9342634331ee/</x:v>
      </x:c>
      <x:c r="G1243" s="20" t="n">
        <x:v>46003.934891400466</x:v>
      </x:c>
    </x:row>
    <x:row r="1244">
      <x:c r="A1244" t="str">
        <x:v>libélula</x:v>
      </x:c>
      <x:c r="B1244" t="str">
        <x:v>yopa txano</x:v>
      </x:c>
      <x:c r="C1244" t="str">
        <x:v>l</x:v>
      </x:c>
      <x:c r="D1244" t="str">
        <x:v>g2aa90423-ad1b-4655-aa91-f71e855add99</x:v>
      </x:c>
      <x:c r="E1244" t="str">
        <x:v>gff773af9-1e3a-453f-9ccf-901911155f72</x:v>
      </x:c>
      <x:c r="F1244" t="str">
        <x:v>https://www.webonary.org/marubo/gff773af9-1e3a-453f-9ccf-901911155f72/</x:v>
      </x:c>
      <x:c r="G1244" s="20" t="n">
        <x:v>46003.934891400466</x:v>
      </x:c>
    </x:row>
    <x:row r="1245">
      <x:c r="A1245" t="str">
        <x:v>ligar</x:v>
      </x:c>
      <x:c r="B1245" t="str">
        <x:v>ketĩa</x:v>
      </x:c>
      <x:c r="C1245" t="str">
        <x:v>l</x:v>
      </x:c>
      <x:c r="D1245" t="str">
        <x:v>g58744a3c-d349-41f1-ab27-a0bbbb340f6e</x:v>
      </x:c>
      <x:c r="E1245" t="str">
        <x:v>g3eb3c0dd-6b63-44f8-b457-0637ccd990de</x:v>
      </x:c>
      <x:c r="F1245" t="str">
        <x:v>https://www.webonary.org/marubo/g3eb3c0dd-6b63-44f8-b457-0637ccd990de/</x:v>
      </x:c>
      <x:c r="G1245" s="20" t="n">
        <x:v>46003.934891400466</x:v>
      </x:c>
    </x:row>
    <x:row r="1246">
      <x:c r="A1246" t="str">
        <x:v>ligar (um motor)</x:v>
      </x:c>
      <x:c r="B1246" t="str">
        <x:v>keoa</x:v>
      </x:c>
      <x:c r="C1246" t="str">
        <x:v>l</x:v>
      </x:c>
      <x:c r="D1246" t="str">
        <x:v>gba971eda-4f91-43fe-8714-0bdb8ee87416</x:v>
      </x:c>
      <x:c r="E1246" t="str">
        <x:v>ga70ba507-e442-4022-a898-2ef60624a5cb</x:v>
      </x:c>
      <x:c r="F1246" t="str">
        <x:v>https://www.webonary.org/marubo/ga70ba507-e442-4022-a898-2ef60624a5cb/</x:v>
      </x:c>
      <x:c r="G1246" s="20" t="n">
        <x:v>46003.934891400466</x:v>
      </x:c>
    </x:row>
    <x:row r="1247">
      <x:c r="A1247" t="str">
        <x:v>ligar (um motor)</x:v>
      </x:c>
      <x:c r="B1247" t="str">
        <x:v>1</x:v>
      </x:c>
      <x:c r="C1247" t="str">
        <x:v>l</x:v>
      </x:c>
      <x:c r="D1247" t="str">
        <x:v>gba971eda-4f91-43fe-8714-0bdb8ee87416</x:v>
      </x:c>
      <x:c r="E1247" t="str">
        <x:v>ga70ba507-e442-4022-a898-2ef60624a5cb</x:v>
      </x:c>
      <x:c r="F1247" t="str">
        <x:v>https://www.webonary.org/marubo/ga70ba507-e442-4022-a898-2ef60624a5cb/</x:v>
      </x:c>
      <x:c r="G1247" s="20" t="n">
        <x:v>46003.934891400466</x:v>
      </x:c>
    </x:row>
    <x:row r="1248">
      <x:c r="A1248" t="str">
        <x:v>limão</x:v>
      </x:c>
      <x:c r="B1248" t="str">
        <x:v>rimõ</x:v>
      </x:c>
      <x:c r="C1248" t="str">
        <x:v>l</x:v>
      </x:c>
      <x:c r="D1248" t="str">
        <x:v>gac796808-c84e-45fc-8cd9-efeb1ebb8bac</x:v>
      </x:c>
      <x:c r="E1248" t="str">
        <x:v>ga28099e7-766f-4681-8014-8ed1213144f9</x:v>
      </x:c>
      <x:c r="F1248" t="str">
        <x:v>https://www.webonary.org/marubo/ga28099e7-766f-4681-8014-8ed1213144f9/</x:v>
      </x:c>
      <x:c r="G1248" s="20" t="n">
        <x:v>46003.934891400466</x:v>
      </x:c>
    </x:row>
    <x:row r="1249">
      <x:c r="A1249" t="str">
        <x:v>limpar</x:v>
      </x:c>
      <x:c r="B1249" t="str">
        <x:v>toshko</x:v>
      </x:c>
      <x:c r="C1249" t="str">
        <x:v>l</x:v>
      </x:c>
      <x:c r="D1249" t="str">
        <x:v>g8af0283e-9a52-40dc-9d90-4fdca5a65c6d</x:v>
      </x:c>
      <x:c r="E1249" t="str">
        <x:v>g2a26ea32-3c37-472a-a84a-d461e84f76d7</x:v>
      </x:c>
      <x:c r="F1249" t="str">
        <x:v>https://www.webonary.org/marubo/g2a26ea32-3c37-472a-a84a-d461e84f76d7/</x:v>
      </x:c>
      <x:c r="G1249" s="20" t="n">
        <x:v>46003.934891400466</x:v>
      </x:c>
    </x:row>
    <x:row r="1250">
      <x:c r="A1250" t="str">
        <x:v>limpar parte de dentro (espingarda</x:v>
      </x:c>
      <x:c r="B1250" t="str">
        <x:v>nashkia</x:v>
      </x:c>
      <x:c r="C1250" t="str">
        <x:v>l</x:v>
      </x:c>
      <x:c r="D1250" t="str">
        <x:v>g9df2d9e8-00df-4a42-9e2d-4c9406888bc5</x:v>
      </x:c>
      <x:c r="E1250" t="str">
        <x:v>g9a554692-278a-4d5e-a8f4-a1f3f4bdf28f</x:v>
      </x:c>
      <x:c r="F1250" t="str">
        <x:v>https://www.webonary.org/marubo/g9a554692-278a-4d5e-a8f4-a1f3f4bdf28f/</x:v>
      </x:c>
      <x:c r="G1250" s="20" t="n">
        <x:v>46003.934891400466</x:v>
      </x:c>
    </x:row>
    <x:row r="1251">
      <x:c r="A1251" t="str">
        <x:v>limpo</x:v>
      </x:c>
      <x:c r="B1251" t="str">
        <x:v>txochtama</x:v>
      </x:c>
      <x:c r="C1251" t="str">
        <x:v>l</x:v>
      </x:c>
      <x:c r="D1251" t="str">
        <x:v>gf89e41a6-9b42-4541-b491-176cec350909</x:v>
      </x:c>
      <x:c r="E1251" t="str">
        <x:v>gbbae511f-8ad3-496f-b518-34d9b33bd91d</x:v>
      </x:c>
      <x:c r="F1251" t="str">
        <x:v>https://www.webonary.org/marubo/gbbae511f-8ad3-496f-b518-34d9b33bd91d/</x:v>
      </x:c>
      <x:c r="G1251" s="20" t="n">
        <x:v>46003.934891400466</x:v>
      </x:c>
    </x:row>
    <x:row r="1252">
      <x:c r="A1252" t="str">
        <x:v>língua</x:v>
      </x:c>
      <x:c r="B1252" t="str">
        <x:v>anarevo</x:v>
      </x:c>
      <x:c r="C1252" t="str">
        <x:v>l</x:v>
      </x:c>
      <x:c r="D1252" t="str">
        <x:v>geedc4c22-ed6d-4f25-aed1-6c0378bf2159</x:v>
      </x:c>
      <x:c r="E1252" t="str">
        <x:v>g3a2237c1-11cb-4f47-baf7-34b699710903</x:v>
      </x:c>
      <x:c r="F1252" t="str">
        <x:v>https://www.webonary.org/marubo/g3a2237c1-11cb-4f47-baf7-34b699710903/</x:v>
      </x:c>
      <x:c r="G1252" s="20" t="n">
        <x:v>46003.934891400466</x:v>
      </x:c>
    </x:row>
    <x:row r="1253">
      <x:c r="A1253" t="str">
        <x:v>língua antiga falado pelos Marubos</x:v>
      </x:c>
      <x:c r="B1253" t="str">
        <x:v>asãki ikí vana</x:v>
      </x:c>
      <x:c r="C1253" t="str">
        <x:v>l</x:v>
      </x:c>
      <x:c r="D1253" t="str">
        <x:v>gdc863a19-5855-4d0e-b916-1c89c981faee</x:v>
      </x:c>
      <x:c r="E1253" t="str">
        <x:v>g6a394837-f98d-4363-986f-19bf53a88716</x:v>
      </x:c>
      <x:c r="F1253" t="str">
        <x:v>https://www.webonary.org/marubo/g6a394837-f98d-4363-986f-19bf53a88716/</x:v>
      </x:c>
      <x:c r="G1253" s="20" t="n">
        <x:v>46003.934891400466</x:v>
      </x:c>
    </x:row>
    <x:row r="1254">
      <x:c r="A1254" t="str">
        <x:v>linha</x:v>
      </x:c>
      <x:c r="B1254" t="str">
        <x:v>resisi</x:v>
      </x:c>
      <x:c r="C1254" t="str">
        <x:v>l</x:v>
      </x:c>
      <x:c r="D1254" t="str">
        <x:v>g4e089958-aa74-401a-b8b3-c600dfb20f70</x:v>
      </x:c>
      <x:c r="E1254" t="str">
        <x:v>g5fb1ec06-fde6-4dd0-855e-cce2109692a8</x:v>
      </x:c>
      <x:c r="F1254" t="str">
        <x:v>https://www.webonary.org/marubo/g5fb1ec06-fde6-4dd0-855e-cce2109692a8/</x:v>
      </x:c>
      <x:c r="G1254" s="20" t="n">
        <x:v>46003.934891400466</x:v>
      </x:c>
    </x:row>
    <x:row r="1255">
      <x:c r="A1255" t="str">
        <x:v>linha de pesca</x:v>
      </x:c>
      <x:c r="B1255" t="str">
        <x:v>wetati maia</x:v>
      </x:c>
      <x:c r="C1255" t="str">
        <x:v>l</x:v>
      </x:c>
      <x:c r="D1255" t="str">
        <x:v>gecdcad82-d8be-4e9f-b155-3abbcffbc2f2</x:v>
      </x:c>
      <x:c r="E1255" t="str">
        <x:v>g05f14680-4da6-456c-bb73-39c62ac64a27</x:v>
      </x:c>
      <x:c r="F1255" t="str">
        <x:v>https://www.webonary.org/marubo/g05f14680-4da6-456c-bb73-39c62ac64a27/</x:v>
      </x:c>
      <x:c r="G1255" s="20" t="n">
        <x:v>46003.934891400466</x:v>
      </x:c>
    </x:row>
    <x:row r="1256">
      <x:c r="A1256" t="str">
        <x:v>líquido</x:v>
      </x:c>
      <x:c r="B1256" t="str">
        <x:v>ene</x:v>
      </x:c>
      <x:c r="C1256" t="str">
        <x:v>l</x:v>
      </x:c>
      <x:c r="D1256" t="str">
        <x:v>g68d290fa-0961-4eb2-9c6d-46ac425819fe</x:v>
      </x:c>
      <x:c r="E1256" t="str">
        <x:v>g77f8c6b1-9e22-4acb-a28d-0319b5a86371</x:v>
      </x:c>
      <x:c r="F1256" t="str">
        <x:v>https://www.webonary.org/marubo/g77f8c6b1-9e22-4acb-a28d-0319b5a86371/</x:v>
      </x:c>
      <x:c r="G1256" s="20" t="n">
        <x:v>46003.934891400466</x:v>
      </x:c>
    </x:row>
    <x:row r="1257">
      <x:c r="A1257" t="str">
        <x:v>liso</x:v>
      </x:c>
      <x:c r="B1257" t="str">
        <x:v>tãyãka</x:v>
      </x:c>
      <x:c r="C1257" t="str">
        <x:v>l</x:v>
      </x:c>
      <x:c r="D1257" t="str">
        <x:v>g322bd74d-4e1f-4df7-874e-869e4061cc8f</x:v>
      </x:c>
      <x:c r="E1257" t="str">
        <x:v>g71440426-b7dd-4b76-8d35-a4e29536c212</x:v>
      </x:c>
      <x:c r="F1257" t="str">
        <x:v>https://www.webonary.org/marubo/g71440426-b7dd-4b76-8d35-a4e29536c212/</x:v>
      </x:c>
      <x:c r="G1257" s="20" t="n">
        <x:v>46003.934891400466</x:v>
      </x:c>
    </x:row>
    <x:row r="1258">
      <x:c r="A1258" t="str">
        <x:v>liso</x:v>
      </x:c>
      <x:c r="B1258" t="str">
        <x:v>cheroka</x:v>
      </x:c>
      <x:c r="C1258" t="str">
        <x:v>l</x:v>
      </x:c>
      <x:c r="D1258" t="str">
        <x:v>g322bd74d-4e1f-4df7-874e-869e4061cc8f</x:v>
      </x:c>
      <x:c r="E1258" t="str">
        <x:v>gdaac15b4-6c7a-41d5-a830-fa4234b0c09c</x:v>
      </x:c>
      <x:c r="F1258" t="str">
        <x:v>https://www.webonary.org/marubo/gdaac15b4-6c7a-41d5-a830-fa4234b0c09c/</x:v>
      </x:c>
      <x:c r="G1258" s="20" t="n">
        <x:v>46003.934891400466</x:v>
      </x:c>
    </x:row>
    <x:row r="1259">
      <x:c r="A1259" t="str">
        <x:v>liso (arvore)</x:v>
      </x:c>
      <x:c r="B1259" t="str">
        <x:v>choika</x:v>
      </x:c>
      <x:c r="C1259" t="str">
        <x:v>l</x:v>
      </x:c>
      <x:c r="D1259" t="str">
        <x:v>g70156811-d1c8-4654-9887-497d533b91a1</x:v>
      </x:c>
      <x:c r="E1259" t="str">
        <x:v>ga8e0adf2-26e3-4e39-8b13-b7e9ff68e9e1</x:v>
      </x:c>
      <x:c r="F1259" t="str">
        <x:v>https://www.webonary.org/marubo/ga8e0adf2-26e3-4e39-8b13-b7e9ff68e9e1/</x:v>
      </x:c>
      <x:c r="G1259" s="20" t="n">
        <x:v>46003.934891400466</x:v>
      </x:c>
    </x:row>
    <x:row r="1260">
      <x:c r="A1260" t="str">
        <x:v>listra padrão na roupa</x:v>
      </x:c>
      <x:c r="B1260" t="str">
        <x:v>oshtõka</x:v>
      </x:c>
      <x:c r="C1260" t="str">
        <x:v>l</x:v>
      </x:c>
      <x:c r="D1260" t="str">
        <x:v>gfcc74011-c936-46c0-94ae-d3f26128e05e</x:v>
      </x:c>
      <x:c r="E1260" t="str">
        <x:v>gcfcc2080-911b-42ca-aa81-60a7b47d74c0</x:v>
      </x:c>
      <x:c r="F1260" t="str">
        <x:v>https://www.webonary.org/marubo/gcfcc2080-911b-42ca-aa81-60a7b47d74c0/</x:v>
      </x:c>
      <x:c r="G1260" s="20" t="n">
        <x:v>46003.934891400466</x:v>
      </x:c>
    </x:row>
    <x:row r="1261">
      <x:c r="A1261" t="str">
        <x:v>listrado</x:v>
      </x:c>
      <x:c r="B1261" t="str">
        <x:v>pokeya</x:v>
      </x:c>
      <x:c r="C1261" t="str">
        <x:v>l</x:v>
      </x:c>
      <x:c r="D1261" t="str">
        <x:v>g9b0fbc49-5555-4a5e-a119-664590a39c05</x:v>
      </x:c>
      <x:c r="E1261" t="str">
        <x:v>g6b3eb331-fbbc-43f2-9dc2-bbb7f622f03b</x:v>
      </x:c>
      <x:c r="F1261" t="str">
        <x:v>https://www.webonary.org/marubo/g6b3eb331-fbbc-43f2-9dc2-bbb7f622f03b/</x:v>
      </x:c>
      <x:c r="G1261" s="20" t="n">
        <x:v>46003.934891400466</x:v>
      </x:c>
    </x:row>
    <x:row r="1262">
      <x:c r="A1262" t="str">
        <x:v>livrar prisão de ventre</x:v>
      </x:c>
      <x:c r="B1262" t="str">
        <x:v>txepéa</x:v>
      </x:c>
      <x:c r="C1262" t="str">
        <x:v>l</x:v>
      </x:c>
      <x:c r="D1262" t="str">
        <x:v>g1ca405b2-c46d-45f6-91d2-b1a98fcfa3fc</x:v>
      </x:c>
      <x:c r="E1262" t="str">
        <x:v>g7a2b1089-b67c-4215-ada7-80c2325febaf</x:v>
      </x:c>
      <x:c r="F1262" t="str">
        <x:v>https://www.webonary.org/marubo/g7a2b1089-b67c-4215-ada7-80c2325febaf/</x:v>
      </x:c>
      <x:c r="G1262" s="20" t="n">
        <x:v>46003.934891400466</x:v>
      </x:c>
    </x:row>
    <x:row r="1263">
      <x:c r="A1263" t="str">
        <x:v>livro</x:v>
      </x:c>
      <x:c r="B1263" t="str">
        <x:v>papíri</x:v>
      </x:c>
      <x:c r="C1263" t="str">
        <x:v>l</x:v>
      </x:c>
      <x:c r="D1263" t="str">
        <x:v>g046a59bd-5495-40d2-863c-30e5d14c050c</x:v>
      </x:c>
      <x:c r="E1263" t="str">
        <x:v>g317df89f-e124-4c31-a2d7-59a2108e511b</x:v>
      </x:c>
      <x:c r="F1263" t="str">
        <x:v>https://www.webonary.org/marubo/g317df89f-e124-4c31-a2d7-59a2108e511b/</x:v>
      </x:c>
      <x:c r="G1263" s="20" t="n">
        <x:v>46003.934891400466</x:v>
      </x:c>
    </x:row>
    <x:row r="1264">
      <x:c r="A1264" t="str">
        <x:v>LOC</x:v>
      </x:c>
      <x:c r="B1264" t="str">
        <x:v>-̃</x:v>
      </x:c>
      <x:c r="C1264" t="str">
        <x:v>l</x:v>
      </x:c>
      <x:c r="D1264" t="str">
        <x:v>gf6197735-061f-4c0b-9af0-e51fe71bc957</x:v>
      </x:c>
      <x:c r="E1264" t="str">
        <x:v>g4583add1-e9a4-43c1-bc3d-a41a93dd18bd</x:v>
      </x:c>
      <x:c r="F1264" t="str">
        <x:v>https://www.webonary.org/marubo/g4583add1-e9a4-43c1-bc3d-a41a93dd18bd/</x:v>
      </x:c>
      <x:c r="G1264" s="20" t="n">
        <x:v>46003.934891400466</x:v>
      </x:c>
    </x:row>
    <x:row r="1265">
      <x:c r="A1265" t="str">
        <x:v>LOC</x:v>
      </x:c>
      <x:c r="B1265" t="str">
        <x:v>2</x:v>
      </x:c>
      <x:c r="C1265" t="str">
        <x:v>l</x:v>
      </x:c>
      <x:c r="D1265" t="str">
        <x:v>gf6197735-061f-4c0b-9af0-e51fe71bc957</x:v>
      </x:c>
      <x:c r="E1265" t="str">
        <x:v>g4583add1-e9a4-43c1-bc3d-a41a93dd18bd</x:v>
      </x:c>
      <x:c r="F1265" t="str">
        <x:v>https://www.webonary.org/marubo/g4583add1-e9a4-43c1-bc3d-a41a93dd18bd/</x:v>
      </x:c>
      <x:c r="G1265" s="20" t="n">
        <x:v>46003.934891400466</x:v>
      </x:c>
    </x:row>
    <x:row r="1266">
      <x:c r="A1266" t="str">
        <x:v>LOC</x:v>
      </x:c>
      <x:c r="B1266" t="str">
        <x:v>-no</x:v>
      </x:c>
      <x:c r="C1266" t="str">
        <x:v>l</x:v>
      </x:c>
      <x:c r="D1266" t="str">
        <x:v>gf6197735-061f-4c0b-9af0-e51fe71bc957</x:v>
      </x:c>
      <x:c r="E1266" t="str">
        <x:v>g8202010c-4c11-498e-bf88-288932f7b59e</x:v>
      </x:c>
      <x:c r="F1266" t="str">
        <x:v>https://www.webonary.org/marubo/g8202010c-4c11-498e-bf88-288932f7b59e/</x:v>
      </x:c>
      <x:c r="G1266" s="20" t="n">
        <x:v>46003.934891400466</x:v>
      </x:c>
    </x:row>
    <x:row r="1267">
      <x:c r="A1267" t="str">
        <x:v>LOC</x:v>
      </x:c>
      <x:c r="B1267" t="str">
        <x:v>-nãmã</x:v>
      </x:c>
      <x:c r="C1267" t="str">
        <x:v>l</x:v>
      </x:c>
      <x:c r="D1267" t="str">
        <x:v>gf6197735-061f-4c0b-9af0-e51fe71bc957</x:v>
      </x:c>
      <x:c r="E1267" t="str">
        <x:v>g1f76b085-3519-4d0e-a70a-240c2915dfd5</x:v>
      </x:c>
      <x:c r="F1267" t="str">
        <x:v>https://www.webonary.org/marubo/g1f76b085-3519-4d0e-a70a-240c2915dfd5/</x:v>
      </x:c>
      <x:c r="G1267" s="20" t="n">
        <x:v>46003.934891400466</x:v>
      </x:c>
    </x:row>
    <x:row r="1268">
      <x:c r="A1268" t="str">
        <x:v>local na testa onde ficar as sobrancelhas</x:v>
      </x:c>
      <x:c r="B1268" t="str">
        <x:v>vero kẽpe</x:v>
      </x:c>
      <x:c r="C1268" t="str">
        <x:v>l</x:v>
      </x:c>
      <x:c r="D1268" t="str">
        <x:v>g4279cfaf-a904-493f-a2da-89133ba8de09</x:v>
      </x:c>
      <x:c r="E1268" t="str">
        <x:v>gd229ed0f-4974-4273-807a-30bf6042818d</x:v>
      </x:c>
      <x:c r="F1268" t="str">
        <x:v>https://www.webonary.org/marubo/gd229ed0f-4974-4273-807a-30bf6042818d/</x:v>
      </x:c>
      <x:c r="G1268" s="20" t="n">
        <x:v>46003.934891400466</x:v>
      </x:c>
    </x:row>
    <x:row r="1269">
      <x:c r="A1269" t="str">
        <x:v>loja</x:v>
      </x:c>
      <x:c r="B1269" t="str">
        <x:v>aweshovo</x:v>
      </x:c>
      <x:c r="C1269" t="str">
        <x:v>l</x:v>
      </x:c>
      <x:c r="D1269" t="str">
        <x:v>g396c309e-4c9e-4b5a-853d-89270248d137</x:v>
      </x:c>
      <x:c r="E1269" t="str">
        <x:v>ga8fc9bd2-49c0-4456-9ed0-a095c804419c</x:v>
      </x:c>
      <x:c r="F1269" t="str">
        <x:v>https://www.webonary.org/marubo/ga8fc9bd2-49c0-4456-9ed0-a095c804419c/</x:v>
      </x:c>
      <x:c r="G1269" s="20" t="n">
        <x:v>46003.934891400466</x:v>
      </x:c>
    </x:row>
    <x:row r="1270">
      <x:c r="A1270" t="str">
        <x:v>longe</x:v>
      </x:c>
      <x:c r="B1270" t="str">
        <x:v>oraka</x:v>
      </x:c>
      <x:c r="C1270" t="str">
        <x:v>l</x:v>
      </x:c>
      <x:c r="D1270" t="str">
        <x:v>g22b677b1-84c2-442d-8638-00a49cc15f38</x:v>
      </x:c>
      <x:c r="E1270" t="str">
        <x:v>g728c4334-b625-49c9-bc66-0dce75e319c2</x:v>
      </x:c>
      <x:c r="F1270" t="str">
        <x:v>https://www.webonary.org/marubo/g728c4334-b625-49c9-bc66-0dce75e319c2/</x:v>
      </x:c>
      <x:c r="G1270" s="20" t="n">
        <x:v>46003.934891400466</x:v>
      </x:c>
    </x:row>
    <x:row r="1271">
      <x:c r="A1271" t="str">
        <x:v>longe</x:v>
      </x:c>
      <x:c r="B1271" t="str">
        <x:v>ora</x:v>
      </x:c>
      <x:c r="C1271" t="str">
        <x:v>l</x:v>
      </x:c>
      <x:c r="D1271" t="str">
        <x:v>g22b677b1-84c2-442d-8638-00a49cc15f38</x:v>
      </x:c>
      <x:c r="E1271" t="str">
        <x:v>g771ff059-cc0f-41e5-8969-0f5ef90016d5</x:v>
      </x:c>
      <x:c r="F1271" t="str">
        <x:v>https://www.webonary.org/marubo/g771ff059-cc0f-41e5-8969-0f5ef90016d5/</x:v>
      </x:c>
      <x:c r="G1271" s="20" t="n">
        <x:v>46003.934891400466</x:v>
      </x:c>
    </x:row>
    <x:row r="1272">
      <x:c r="A1272" t="str">
        <x:v>lontra</x:v>
      </x:c>
      <x:c r="B1272" t="str">
        <x:v>võsĩ</x:v>
      </x:c>
      <x:c r="C1272" t="str">
        <x:v>l</x:v>
      </x:c>
      <x:c r="D1272" t="str">
        <x:v>g4aa2ce93-8c41-427f-9646-0d92a982a1f4</x:v>
      </x:c>
      <x:c r="E1272" t="str">
        <x:v>g84e29e75-bdef-4eac-aa9b-ff24d4385592</x:v>
      </x:c>
      <x:c r="F1272" t="str">
        <x:v>https://www.webonary.org/marubo/g84e29e75-bdef-4eac-aa9b-ff24d4385592/</x:v>
      </x:c>
      <x:c r="G1272" s="20" t="n">
        <x:v>46003.934891400466</x:v>
      </x:c>
    </x:row>
    <x:row r="1273">
      <x:c r="A1273" t="str">
        <x:v>lua</x:v>
      </x:c>
      <x:c r="B1273" t="str">
        <x:v>oshe</x:v>
      </x:c>
      <x:c r="C1273" t="str">
        <x:v>l</x:v>
      </x:c>
      <x:c r="D1273" t="str">
        <x:v>g206d1fa8-1d2b-4c2c-b809-28a8151de162</x:v>
      </x:c>
      <x:c r="E1273" t="str">
        <x:v>g725e7384-51ee-4942-a4f3-38f387cc2a1e</x:v>
      </x:c>
      <x:c r="F1273" t="str">
        <x:v>https://www.webonary.org/marubo/g725e7384-51ee-4942-a4f3-38f387cc2a1e/</x:v>
      </x:c>
      <x:c r="G1273" s="20" t="n">
        <x:v>46003.934901898145</x:v>
      </x:c>
    </x:row>
    <x:row r="1274">
      <x:c r="A1274" t="str">
        <x:v>lua cheia</x:v>
      </x:c>
      <x:c r="B1274" t="str">
        <x:v>oshe vero ania</x:v>
      </x:c>
      <x:c r="C1274" t="str">
        <x:v>l</x:v>
      </x:c>
      <x:c r="D1274" t="str">
        <x:v>g19480b2c-8e5c-43c6-8e8c-a38f4364a5ff</x:v>
      </x:c>
      <x:c r="E1274" t="str">
        <x:v>g109dda3a-0d90-446e-8a09-5d1f7febbef6</x:v>
      </x:c>
      <x:c r="F1274" t="str">
        <x:v>https://www.webonary.org/marubo/g109dda3a-0d90-446e-8a09-5d1f7febbef6/</x:v>
      </x:c>
      <x:c r="G1274" s="20" t="n">
        <x:v>46003.934901898145</x:v>
      </x:c>
    </x:row>
    <x:row r="1275">
      <x:c r="A1275" t="str">
        <x:v>lua crescente</x:v>
      </x:c>
      <x:c r="B1275" t="str">
        <x:v>oshe raka vená</x:v>
      </x:c>
      <x:c r="C1275" t="str">
        <x:v>l</x:v>
      </x:c>
      <x:c r="D1275" t="str">
        <x:v>gf8f2f7d6-2949-4627-a63c-d77cd6a33dab</x:v>
      </x:c>
      <x:c r="E1275" t="str">
        <x:v>g947626bf-b491-4a15-9b5a-3075f99418cb</x:v>
      </x:c>
      <x:c r="F1275" t="str">
        <x:v>https://www.webonary.org/marubo/g947626bf-b491-4a15-9b5a-3075f99418cb/</x:v>
      </x:c>
      <x:c r="G1275" s="20" t="n">
        <x:v>46003.934901898145</x:v>
      </x:c>
    </x:row>
    <x:row r="1276">
      <x:c r="A1276" t="str">
        <x:v>lugar</x:v>
      </x:c>
      <x:c r="B1276" t="str">
        <x:v>sawéa</x:v>
      </x:c>
      <x:c r="C1276" t="str">
        <x:v>l</x:v>
      </x:c>
      <x:c r="D1276" t="str">
        <x:v>g14f827a4-b7aa-4668-9ed7-b9c6d90dfd7c</x:v>
      </x:c>
      <x:c r="E1276" t="str">
        <x:v>g3275b1ea-07eb-48fb-8355-2d61004f67f2</x:v>
      </x:c>
      <x:c r="F1276" t="str">
        <x:v>https://www.webonary.org/marubo/g3275b1ea-07eb-48fb-8355-2d61004f67f2/</x:v>
      </x:c>
      <x:c r="G1276" s="20" t="n">
        <x:v>46003.934901898145</x:v>
      </x:c>
    </x:row>
    <x:row r="1277">
      <x:c r="A1277" t="str">
        <x:v>lugar de encontrar na festa veya</x:v>
      </x:c>
      <x:c r="B1277" t="str">
        <x:v>veyá mató</x:v>
      </x:c>
      <x:c r="C1277" t="str">
        <x:v>l</x:v>
      </x:c>
      <x:c r="D1277" t="str">
        <x:v>g52503a39-48b7-4973-96ca-46da0a525165</x:v>
      </x:c>
      <x:c r="E1277" t="str">
        <x:v>gb787e1b5-0ab3-4319-8c93-4d852f76e6a8</x:v>
      </x:c>
      <x:c r="F1277" t="str">
        <x:v>https://www.webonary.org/marubo/gb787e1b5-0ab3-4319-8c93-4d852f76e6a8/</x:v>
      </x:c>
      <x:c r="G1277" s="20" t="n">
        <x:v>46003.934901898145</x:v>
      </x:c>
    </x:row>
    <x:row r="1278">
      <x:c r="A1278" t="str">
        <x:v>lugar onde dorme o inhambu</x:v>
      </x:c>
      <x:c r="B1278" t="str">
        <x:v>paiti</x:v>
      </x:c>
      <x:c r="C1278" t="str">
        <x:v>l</x:v>
      </x:c>
      <x:c r="D1278" t="str">
        <x:v>g0c046a67-9300-45d4-8783-35c6d3c1ec07</x:v>
      </x:c>
      <x:c r="E1278" t="str">
        <x:v>gdab1b724-4dfb-48c0-96c3-0cdefb7bd758</x:v>
      </x:c>
      <x:c r="F1278" t="str">
        <x:v>https://www.webonary.org/marubo/gdab1b724-4dfb-48c0-96c3-0cdefb7bd758/</x:v>
      </x:c>
      <x:c r="G1278" s="20" t="n">
        <x:v>46003.934901898145</x:v>
      </x:c>
    </x:row>
    <x:row r="1279">
      <x:c r="A1279" t="str">
        <x:v>luz</x:v>
      </x:c>
      <x:c r="B1279" t="str">
        <x:v>amo</x:v>
      </x:c>
      <x:c r="C1279" t="str">
        <x:v>l</x:v>
      </x:c>
      <x:c r="D1279" t="str">
        <x:v>g80208f99-0744-460f-a61e-50ba22e40338</x:v>
      </x:c>
      <x:c r="E1279" t="str">
        <x:v>ge2ba588b-fff1-4c55-bad6-15826dbb82fb</x:v>
      </x:c>
      <x:c r="F1279" t="str">
        <x:v>https://www.webonary.org/marubo/ge2ba588b-fff1-4c55-bad6-15826dbb82fb/</x:v>
      </x:c>
      <x:c r="G1279" s="20" t="n">
        <x:v>46003.934901898145</x:v>
      </x:c>
    </x:row>
    <x:row r="1280">
      <x:c r="A1280" t="str">
        <x:v>macaco</x:v>
      </x:c>
      <x:c r="B1280" t="str">
        <x:v>roka voshpo</x:v>
      </x:c>
      <x:c r="C1280" t="str">
        <x:v>m</x:v>
      </x:c>
      <x:c r="D1280" t="str">
        <x:v>ge3547bb1-f92d-45d5-8458-5db69f526552</x:v>
      </x:c>
      <x:c r="E1280" t="str">
        <x:v>gde0e6bfc-1cad-4fbe-bd59-171c8d258a14</x:v>
      </x:c>
      <x:c r="F1280" t="str">
        <x:v>https://www.webonary.org/marubo/gde0e6bfc-1cad-4fbe-bd59-171c8d258a14/</x:v>
      </x:c>
      <x:c r="G1280" s="20" t="n">
        <x:v>46003.934901898145</x:v>
      </x:c>
    </x:row>
    <x:row r="1281">
      <x:c r="A1281" t="str">
        <x:v>macaco</x:v>
      </x:c>
      <x:c r="B1281" t="str">
        <x:v>roka õchĩ</x:v>
      </x:c>
      <x:c r="C1281" t="str">
        <x:v>m</x:v>
      </x:c>
      <x:c r="D1281" t="str">
        <x:v>ge3547bb1-f92d-45d5-8458-5db69f526552</x:v>
      </x:c>
      <x:c r="E1281" t="str">
        <x:v>g627253a0-2fda-4b61-ba8e-ea6caea6a4a9</x:v>
      </x:c>
      <x:c r="F1281" t="str">
        <x:v>https://www.webonary.org/marubo/g627253a0-2fda-4b61-ba8e-ea6caea6a4a9/</x:v>
      </x:c>
      <x:c r="G1281" s="20" t="n">
        <x:v>46003.934901898145</x:v>
      </x:c>
    </x:row>
    <x:row r="1282">
      <x:c r="A1282" t="str">
        <x:v>macaco</x:v>
      </x:c>
      <x:c r="B1282" t="str">
        <x:v>1</x:v>
      </x:c>
      <x:c r="C1282" t="str">
        <x:v>m</x:v>
      </x:c>
      <x:c r="D1282" t="str">
        <x:v>ge3547bb1-f92d-45d5-8458-5db69f526552</x:v>
      </x:c>
      <x:c r="E1282" t="str">
        <x:v>g627253a0-2fda-4b61-ba8e-ea6caea6a4a9</x:v>
      </x:c>
      <x:c r="F1282" t="str">
        <x:v>https://www.webonary.org/marubo/g627253a0-2fda-4b61-ba8e-ea6caea6a4a9/</x:v>
      </x:c>
      <x:c r="G1282" s="20" t="n">
        <x:v>46003.934901898145</x:v>
      </x:c>
    </x:row>
    <x:row r="1283">
      <x:c r="A1283" t="str">
        <x:v>macaco</x:v>
      </x:c>
      <x:c r="B1283" t="str">
        <x:v>niro</x:v>
      </x:c>
      <x:c r="C1283" t="str">
        <x:v>m</x:v>
      </x:c>
      <x:c r="D1283" t="str">
        <x:v>ge3547bb1-f92d-45d5-8458-5db69f526552</x:v>
      </x:c>
      <x:c r="E1283" t="str">
        <x:v>g4b5d27ad-c4d3-4a21-8052-966a0eab633f</x:v>
      </x:c>
      <x:c r="F1283" t="str">
        <x:v>https://www.webonary.org/marubo/g4b5d27ad-c4d3-4a21-8052-966a0eab633f/</x:v>
      </x:c>
      <x:c r="G1283" s="20" t="n">
        <x:v>46003.934901898145</x:v>
      </x:c>
    </x:row>
    <x:row r="1284">
      <x:c r="A1284" t="str">
        <x:v>macaco</x:v>
      </x:c>
      <x:c r="B1284" t="str">
        <x:v>1</x:v>
      </x:c>
      <x:c r="C1284" t="str">
        <x:v>m</x:v>
      </x:c>
      <x:c r="D1284" t="str">
        <x:v>ge3547bb1-f92d-45d5-8458-5db69f526552</x:v>
      </x:c>
      <x:c r="E1284" t="str">
        <x:v>g4b5d27ad-c4d3-4a21-8052-966a0eab633f</x:v>
      </x:c>
      <x:c r="F1284" t="str">
        <x:v>https://www.webonary.org/marubo/g4b5d27ad-c4d3-4a21-8052-966a0eab633f/</x:v>
      </x:c>
      <x:c r="G1284" s="20" t="n">
        <x:v>46003.934901898145</x:v>
      </x:c>
    </x:row>
    <x:row r="1285">
      <x:c r="A1285" t="str">
        <x:v>macaco barrigudo</x:v>
      </x:c>
      <x:c r="B1285" t="str">
        <x:v>txona</x:v>
      </x:c>
      <x:c r="C1285" t="str">
        <x:v>m</x:v>
      </x:c>
      <x:c r="D1285" t="str">
        <x:v>gf7e58910-5eb1-4c85-82fd-fcdfe8ca83cb</x:v>
      </x:c>
      <x:c r="E1285" t="str">
        <x:v>g3f6254d8-7f5d-4125-974d-0134f3d6c9f9</x:v>
      </x:c>
      <x:c r="F1285" t="str">
        <x:v>https://www.webonary.org/marubo/g3f6254d8-7f5d-4125-974d-0134f3d6c9f9/</x:v>
      </x:c>
      <x:c r="G1285" s="20" t="n">
        <x:v>46003.934901898145</x:v>
      </x:c>
    </x:row>
    <x:row r="1286">
      <x:c r="A1286" t="str">
        <x:v>macaco barrigudo</x:v>
      </x:c>
      <x:c r="B1286" t="str">
        <x:v>1</x:v>
      </x:c>
      <x:c r="C1286" t="str">
        <x:v>m</x:v>
      </x:c>
      <x:c r="D1286" t="str">
        <x:v>gf7e58910-5eb1-4c85-82fd-fcdfe8ca83cb</x:v>
      </x:c>
      <x:c r="E1286" t="str">
        <x:v>g3f6254d8-7f5d-4125-974d-0134f3d6c9f9</x:v>
      </x:c>
      <x:c r="F1286" t="str">
        <x:v>https://www.webonary.org/marubo/g3f6254d8-7f5d-4125-974d-0134f3d6c9f9/</x:v>
      </x:c>
      <x:c r="G1286" s="20" t="n">
        <x:v>46003.934901898145</x:v>
      </x:c>
    </x:row>
    <x:row r="1287">
      <x:c r="A1287" t="str">
        <x:v>macaco em geral</x:v>
      </x:c>
      <x:c r="B1287" t="str">
        <x:v>keyá yoĩni</x:v>
      </x:c>
      <x:c r="C1287" t="str">
        <x:v>m</x:v>
      </x:c>
      <x:c r="D1287" t="str">
        <x:v>g299f28dd-8d7a-4917-aa8c-704af9e091b0</x:v>
      </x:c>
      <x:c r="E1287" t="str">
        <x:v>g1d45655c-15cc-4443-ae75-54a91708d563</x:v>
      </x:c>
      <x:c r="F1287" t="str">
        <x:v>https://www.webonary.org/marubo/g1d45655c-15cc-4443-ae75-54a91708d563/</x:v>
      </x:c>
      <x:c r="G1287" s="20" t="n">
        <x:v>46003.934901898145</x:v>
      </x:c>
    </x:row>
    <x:row r="1288">
      <x:c r="A1288" t="str">
        <x:v>macaco prego</x:v>
      </x:c>
      <x:c r="B1288" t="str">
        <x:v>chino</x:v>
      </x:c>
      <x:c r="C1288" t="str">
        <x:v>m</x:v>
      </x:c>
      <x:c r="D1288" t="str">
        <x:v>ga149e85d-c0b2-4d3d-8223-fa41056ed6ce</x:v>
      </x:c>
      <x:c r="E1288" t="str">
        <x:v>g67b93bde-fa1f-48d8-852a-7415161da4c4</x:v>
      </x:c>
      <x:c r="F1288" t="str">
        <x:v>https://www.webonary.org/marubo/g67b93bde-fa1f-48d8-852a-7415161da4c4/</x:v>
      </x:c>
      <x:c r="G1288" s="20" t="n">
        <x:v>46003.934901898145</x:v>
      </x:c>
    </x:row>
    <x:row r="1289">
      <x:c r="A1289" t="str">
        <x:v>macaco prego</x:v>
      </x:c>
      <x:c r="B1289" t="str">
        <x:v>1</x:v>
      </x:c>
      <x:c r="C1289" t="str">
        <x:v>m</x:v>
      </x:c>
      <x:c r="D1289" t="str">
        <x:v>ga149e85d-c0b2-4d3d-8223-fa41056ed6ce</x:v>
      </x:c>
      <x:c r="E1289" t="str">
        <x:v>g67b93bde-fa1f-48d8-852a-7415161da4c4</x:v>
      </x:c>
      <x:c r="F1289" t="str">
        <x:v>https://www.webonary.org/marubo/g67b93bde-fa1f-48d8-852a-7415161da4c4/</x:v>
      </x:c>
      <x:c r="G1289" s="20" t="n">
        <x:v>46003.934901898145</x:v>
      </x:c>
    </x:row>
    <x:row r="1290">
      <x:c r="A1290" t="str">
        <x:v>macaco preto</x:v>
      </x:c>
      <x:c r="B1290" t="str">
        <x:v>iso</x:v>
      </x:c>
      <x:c r="C1290" t="str">
        <x:v>m</x:v>
      </x:c>
      <x:c r="D1290" t="str">
        <x:v>gd19b85e4-0e7e-4860-9553-4cb015caa836</x:v>
      </x:c>
      <x:c r="E1290" t="str">
        <x:v>gc9eae1ee-90ae-4508-8bcb-f758fbb19898</x:v>
      </x:c>
      <x:c r="F1290" t="str">
        <x:v>https://www.webonary.org/marubo/gc9eae1ee-90ae-4508-8bcb-f758fbb19898/</x:v>
      </x:c>
      <x:c r="G1290" s="20" t="n">
        <x:v>46003.934901898145</x:v>
      </x:c>
    </x:row>
    <x:row r="1291">
      <x:c r="A1291" t="str">
        <x:v>macaco preto</x:v>
      </x:c>
      <x:c r="B1291" t="str">
        <x:v>1</x:v>
      </x:c>
      <x:c r="C1291" t="str">
        <x:v>m</x:v>
      </x:c>
      <x:c r="D1291" t="str">
        <x:v>gd19b85e4-0e7e-4860-9553-4cb015caa836</x:v>
      </x:c>
      <x:c r="E1291" t="str">
        <x:v>gc9eae1ee-90ae-4508-8bcb-f758fbb19898</x:v>
      </x:c>
      <x:c r="F1291" t="str">
        <x:v>https://www.webonary.org/marubo/gc9eae1ee-90ae-4508-8bcb-f758fbb19898/</x:v>
      </x:c>
      <x:c r="G1291" s="20" t="n">
        <x:v>46003.934901898145</x:v>
      </x:c>
    </x:row>
    <x:row r="1292">
      <x:c r="A1292" t="str">
        <x:v>maçaranduba</x:v>
      </x:c>
      <x:c r="B1292" t="str">
        <x:v>keo</x:v>
      </x:c>
      <x:c r="C1292" t="str">
        <x:v>m</x:v>
      </x:c>
      <x:c r="D1292" t="str">
        <x:v>g7a52ae0b-66f5-47c1-adee-5ddc90866afb</x:v>
      </x:c>
      <x:c r="E1292" t="str">
        <x:v>gc5306fa2-ffda-406f-ad40-6fd19e49402b</x:v>
      </x:c>
      <x:c r="F1292" t="str">
        <x:v>https://www.webonary.org/marubo/gc5306fa2-ffda-406f-ad40-6fd19e49402b/</x:v>
      </x:c>
      <x:c r="G1292" s="20" t="n">
        <x:v>46003.934901898145</x:v>
      </x:c>
    </x:row>
    <x:row r="1293">
      <x:c r="A1293" t="str">
        <x:v>machado</x:v>
      </x:c>
      <x:c r="B1293" t="str">
        <x:v>roe</x:v>
      </x:c>
      <x:c r="C1293" t="str">
        <x:v>m</x:v>
      </x:c>
      <x:c r="D1293" t="str">
        <x:v>g93a04267-705f-4e0d-b44c-9e2452151f04</x:v>
      </x:c>
      <x:c r="E1293" t="str">
        <x:v>g17ecf91e-64ad-4803-8121-5d4ad868281c</x:v>
      </x:c>
      <x:c r="F1293" t="str">
        <x:v>https://www.webonary.org/marubo/g17ecf91e-64ad-4803-8121-5d4ad868281c/</x:v>
      </x:c>
      <x:c r="G1293" s="20" t="n">
        <x:v>46003.934901898145</x:v>
      </x:c>
    </x:row>
    <x:row r="1294">
      <x:c r="A1294" t="str">
        <x:v>machado de pedra</x:v>
      </x:c>
      <x:c r="B1294" t="str">
        <x:v>posti</x:v>
      </x:c>
      <x:c r="C1294" t="str">
        <x:v>m</x:v>
      </x:c>
      <x:c r="D1294" t="str">
        <x:v>g17ab54c2-ac47-4ef3-9089-749c30daace5</x:v>
      </x:c>
      <x:c r="E1294" t="str">
        <x:v>g4c7167a8-a4d4-4e3c-89a2-d6dd84871fe5</x:v>
      </x:c>
      <x:c r="F1294" t="str">
        <x:v>https://www.webonary.org/marubo/g4c7167a8-a4d4-4e3c-89a2-d6dd84871fe5/</x:v>
      </x:c>
      <x:c r="G1294" s="20" t="n">
        <x:v>46003.934901898145</x:v>
      </x:c>
    </x:row>
    <x:row r="1295">
      <x:c r="A1295" t="str">
        <x:v>machado de pedra</x:v>
      </x:c>
      <x:c r="B1295" t="str">
        <x:v>1</x:v>
      </x:c>
      <x:c r="C1295" t="str">
        <x:v>m</x:v>
      </x:c>
      <x:c r="D1295" t="str">
        <x:v>g17ab54c2-ac47-4ef3-9089-749c30daace5</x:v>
      </x:c>
      <x:c r="E1295" t="str">
        <x:v>g4c7167a8-a4d4-4e3c-89a2-d6dd84871fe5</x:v>
      </x:c>
      <x:c r="F1295" t="str">
        <x:v>https://www.webonary.org/marubo/g4c7167a8-a4d4-4e3c-89a2-d6dd84871fe5/</x:v>
      </x:c>
      <x:c r="G1295" s="20" t="n">
        <x:v>46003.934901898145</x:v>
      </x:c>
    </x:row>
    <x:row r="1296">
      <x:c r="A1296" t="str">
        <x:v>macio</x:v>
      </x:c>
      <x:c r="B1296" t="str">
        <x:v>patxichta</x:v>
      </x:c>
      <x:c r="C1296" t="str">
        <x:v>m</x:v>
      </x:c>
      <x:c r="D1296" t="str">
        <x:v>g66d32963-9a83-421d-a69e-dd41e86fb400</x:v>
      </x:c>
      <x:c r="E1296" t="str">
        <x:v>gbd0635ae-b3dd-43f2-9322-7e1fd5dbc0f1</x:v>
      </x:c>
      <x:c r="F1296" t="str">
        <x:v>https://www.webonary.org/marubo/gbd0635ae-b3dd-43f2-9322-7e1fd5dbc0f1/</x:v>
      </x:c>
      <x:c r="G1296" s="20" t="n">
        <x:v>46003.934901898145</x:v>
      </x:c>
    </x:row>
    <x:row r="1297">
      <x:c r="A1297" t="str">
        <x:v>madeira de babaçu para furar aruá</x:v>
      </x:c>
      <x:c r="B1297" t="str">
        <x:v>chewẽ</x:v>
      </x:c>
      <x:c r="C1297" t="str">
        <x:v>m</x:v>
      </x:c>
      <x:c r="D1297" t="str">
        <x:v>g1b314533-62e8-4403-b63b-e593485894c3</x:v>
      </x:c>
      <x:c r="E1297" t="str">
        <x:v>g9735b4dc-0f28-4e80-84d9-d2919f408635</x:v>
      </x:c>
      <x:c r="F1297" t="str">
        <x:v>https://www.webonary.org/marubo/g9735b4dc-0f28-4e80-84d9-d2919f408635/</x:v>
      </x:c>
      <x:c r="G1297" s="20" t="n">
        <x:v>46003.934901898145</x:v>
      </x:c>
    </x:row>
    <x:row r="1298">
      <x:c r="A1298" t="str">
        <x:v>madeira de babaçu para furar aruá</x:v>
      </x:c>
      <x:c r="B1298" t="str">
        <x:v>1</x:v>
      </x:c>
      <x:c r="C1298" t="str">
        <x:v>m</x:v>
      </x:c>
      <x:c r="D1298" t="str">
        <x:v>g1b314533-62e8-4403-b63b-e593485894c3</x:v>
      </x:c>
      <x:c r="E1298" t="str">
        <x:v>g9735b4dc-0f28-4e80-84d9-d2919f408635</x:v>
      </x:c>
      <x:c r="F1298" t="str">
        <x:v>https://www.webonary.org/marubo/g9735b4dc-0f28-4e80-84d9-d2919f408635/</x:v>
      </x:c>
      <x:c r="G1298" s="20" t="n">
        <x:v>46003.934901898145</x:v>
      </x:c>
    </x:row>
    <x:row r="1299">
      <x:c r="A1299" t="str">
        <x:v>maduro</x:v>
      </x:c>
      <x:c r="B1299" t="str">
        <x:v>tsasiya</x:v>
      </x:c>
      <x:c r="C1299" t="str">
        <x:v>m</x:v>
      </x:c>
      <x:c r="D1299" t="str">
        <x:v>g23abcfc0-c15e-4fb1-a5e4-fbb3f5024513</x:v>
      </x:c>
      <x:c r="E1299" t="str">
        <x:v>g4bcffd4b-9647-45ab-bbd6-2801026b98a2</x:v>
      </x:c>
      <x:c r="F1299" t="str">
        <x:v>https://www.webonary.org/marubo/g4bcffd4b-9647-45ab-bbd6-2801026b98a2/</x:v>
      </x:c>
      <x:c r="G1299" s="20" t="n">
        <x:v>46003.934901898145</x:v>
      </x:c>
    </x:row>
    <x:row r="1300">
      <x:c r="A1300" t="str">
        <x:v>mãe</x:v>
      </x:c>
      <x:c r="B1300" t="str">
        <x:v>ewa</x:v>
      </x:c>
      <x:c r="C1300" t="str">
        <x:v>m</x:v>
      </x:c>
      <x:c r="D1300" t="str">
        <x:v>g162964e9-6deb-4154-8916-c55ed2809113</x:v>
      </x:c>
      <x:c r="E1300" t="str">
        <x:v>g349047ed-3551-41eb-a964-08deccd21cb5</x:v>
      </x:c>
      <x:c r="F1300" t="str">
        <x:v>https://www.webonary.org/marubo/g349047ed-3551-41eb-a964-08deccd21cb5/</x:v>
      </x:c>
      <x:c r="G1300" s="20" t="n">
        <x:v>46003.934901898145</x:v>
      </x:c>
    </x:row>
    <x:row r="1301">
      <x:c r="A1301" t="str">
        <x:v>magro</x:v>
      </x:c>
      <x:c r="B1301" t="str">
        <x:v>txãti</x:v>
      </x:c>
      <x:c r="C1301" t="str">
        <x:v>m</x:v>
      </x:c>
      <x:c r="D1301" t="str">
        <x:v>g44256247-ca42-40e0-bb91-f11fc5cd6f44</x:v>
      </x:c>
      <x:c r="E1301" t="str">
        <x:v>g9b1bf06c-aba7-42ba-bb99-e5b221eb0731</x:v>
      </x:c>
      <x:c r="F1301" t="str">
        <x:v>https://www.webonary.org/marubo/g9b1bf06c-aba7-42ba-bb99-e5b221eb0731/</x:v>
      </x:c>
      <x:c r="G1301" s="20" t="n">
        <x:v>46003.934901898145</x:v>
      </x:c>
    </x:row>
    <x:row r="1302">
      <x:c r="A1302" t="str">
        <x:v>mais novo</x:v>
      </x:c>
      <x:c r="B1302" t="str">
        <x:v>txipoké</x:v>
      </x:c>
      <x:c r="C1302" t="str">
        <x:v>m</x:v>
      </x:c>
      <x:c r="D1302" t="str">
        <x:v>g6f82e4b2-cbcb-4ffa-a4d7-273623ca1d9d</x:v>
      </x:c>
      <x:c r="E1302" t="str">
        <x:v>g8be11ab7-d180-41f7-b530-6ae8931f274b</x:v>
      </x:c>
      <x:c r="F1302" t="str">
        <x:v>https://www.webonary.org/marubo/g8be11ab7-d180-41f7-b530-6ae8931f274b/</x:v>
      </x:c>
      <x:c r="G1302" s="20" t="n">
        <x:v>46003.934901898145</x:v>
      </x:c>
    </x:row>
    <x:row r="1303">
      <x:c r="A1303" t="str">
        <x:v>mais velho</x:v>
      </x:c>
      <x:c r="B1303" t="str">
        <x:v>vevoke</x:v>
      </x:c>
      <x:c r="C1303" t="str">
        <x:v>m</x:v>
      </x:c>
      <x:c r="D1303" t="str">
        <x:v>g5529519a-7de2-44d9-baa6-d3f4cc2c6ace</x:v>
      </x:c>
      <x:c r="E1303" t="str">
        <x:v>gdbe6932d-49ac-4903-8ec2-c3f86ba8dad0</x:v>
      </x:c>
      <x:c r="F1303" t="str">
        <x:v>https://www.webonary.org/marubo/gdbe6932d-49ac-4903-8ec2-c3f86ba8dad0/</x:v>
      </x:c>
      <x:c r="G1303" s="20" t="n">
        <x:v>46003.934901898145</x:v>
      </x:c>
    </x:row>
    <x:row r="1304">
      <x:c r="A1304" t="str">
        <x:v>mal</x:v>
      </x:c>
      <x:c r="B1304" t="str">
        <x:v>ichnáka</x:v>
      </x:c>
      <x:c r="C1304" t="str">
        <x:v>m</x:v>
      </x:c>
      <x:c r="D1304" t="str">
        <x:v>g89e25798-61f1-4241-994c-16d3e408c292</x:v>
      </x:c>
      <x:c r="E1304" t="str">
        <x:v>gf30cbea4-8503-4123-b186-cbc8c745a3b5</x:v>
      </x:c>
      <x:c r="F1304" t="str">
        <x:v>https://www.webonary.org/marubo/gf30cbea4-8503-4123-b186-cbc8c745a3b5/</x:v>
      </x:c>
      <x:c r="G1304" s="20" t="n">
        <x:v>46003.934901898145</x:v>
      </x:c>
    </x:row>
    <x:row r="1305">
      <x:c r="A1305" t="str">
        <x:v>MAL</x:v>
      </x:c>
      <x:c r="B1305" t="str">
        <x:v>-̃kã</x:v>
      </x:c>
      <x:c r="C1305" t="str">
        <x:v>m</x:v>
      </x:c>
      <x:c r="D1305" t="str">
        <x:v>g28e7cf70-e18a-40d8-89b1-f03adff4d69f</x:v>
      </x:c>
      <x:c r="E1305" t="str">
        <x:v>g65a92032-a01a-4e3a-9c28-80b555e81bdb</x:v>
      </x:c>
      <x:c r="F1305" t="str">
        <x:v>https://www.webonary.org/marubo/g65a92032-a01a-4e3a-9c28-80b555e81bdb/</x:v>
      </x:c>
      <x:c r="G1305" s="20" t="n">
        <x:v>46003.934901898145</x:v>
      </x:c>
    </x:row>
    <x:row r="1306">
      <x:c r="A1306" t="str">
        <x:v>mal cheiro ou gosto para peixe ou cachorro</x:v>
      </x:c>
      <x:c r="B1306" t="str">
        <x:v>iaka</x:v>
      </x:c>
      <x:c r="C1306" t="str">
        <x:v>m</x:v>
      </x:c>
      <x:c r="D1306" t="str">
        <x:v>g6b2af442-1cbb-48ca-9539-90d92927d695</x:v>
      </x:c>
      <x:c r="E1306" t="str">
        <x:v>g4681f9c6-1abd-46f5-aff4-a0be7bf5b003</x:v>
      </x:c>
      <x:c r="F1306" t="str">
        <x:v>https://www.webonary.org/marubo/g4681f9c6-1abd-46f5-aff4-a0be7bf5b003/</x:v>
      </x:c>
      <x:c r="G1306" s="20" t="n">
        <x:v>46003.934901898145</x:v>
      </x:c>
    </x:row>
    <x:row r="1307">
      <x:c r="A1307" t="str">
        <x:v>mal mastigar</x:v>
      </x:c>
      <x:c r="B1307" t="str">
        <x:v>txaro aká</x:v>
      </x:c>
      <x:c r="C1307" t="str">
        <x:v>m</x:v>
      </x:c>
      <x:c r="D1307" t="str">
        <x:v>g2fc941e6-b7e6-4f8f-8582-f790abeeff77</x:v>
      </x:c>
      <x:c r="E1307" t="str">
        <x:v>g4ed3492e-5b04-4d5c-b251-0ebaa42226e7</x:v>
      </x:c>
      <x:c r="F1307" t="str">
        <x:v>https://www.webonary.org/marubo/g4ed3492e-5b04-4d5c-b251-0ebaa42226e7/</x:v>
      </x:c>
      <x:c r="G1307" s="20" t="n">
        <x:v>46003.934901898145</x:v>
      </x:c>
    </x:row>
    <x:row r="1308">
      <x:c r="A1308" t="str">
        <x:v>malhadeira</x:v>
      </x:c>
      <x:c r="B1308" t="str">
        <x:v>pameti</x:v>
      </x:c>
      <x:c r="C1308" t="str">
        <x:v>m</x:v>
      </x:c>
      <x:c r="D1308" t="str">
        <x:v>g643a5626-96ac-4f46-8c1c-578557d92dab</x:v>
      </x:c>
      <x:c r="E1308" t="str">
        <x:v>gd1d03496-b1cb-499e-bdbe-bddc3cbeadb8</x:v>
      </x:c>
      <x:c r="F1308" t="str">
        <x:v>https://www.webonary.org/marubo/gd1d03496-b1cb-499e-bdbe-bddc3cbeadb8/</x:v>
      </x:c>
      <x:c r="G1308" s="20" t="n">
        <x:v>46003.934901898145</x:v>
      </x:c>
    </x:row>
    <x:row r="1309">
      <x:c r="A1309" t="str">
        <x:v>maloca</x:v>
      </x:c>
      <x:c r="B1309" t="str">
        <x:v>shovo</x:v>
      </x:c>
      <x:c r="C1309" t="str">
        <x:v>m</x:v>
      </x:c>
      <x:c r="D1309" t="str">
        <x:v>g07af2189-0a0c-465b-b762-b4723469f4b7</x:v>
      </x:c>
      <x:c r="E1309" t="str">
        <x:v>gd0011508-820b-4f35-b6fb-331e4dd2ecd6</x:v>
      </x:c>
      <x:c r="F1309" t="str">
        <x:v>https://www.webonary.org/marubo/gd0011508-820b-4f35-b6fb-331e4dd2ecd6/</x:v>
      </x:c>
      <x:c r="G1309" s="20" t="n">
        <x:v>46003.934901898145</x:v>
      </x:c>
    </x:row>
    <x:row r="1310">
      <x:c r="A1310" t="str">
        <x:v>mamao</x:v>
      </x:c>
      <x:c r="B1310" t="str">
        <x:v>shõpa</x:v>
      </x:c>
      <x:c r="C1310" t="str">
        <x:v>m</x:v>
      </x:c>
      <x:c r="D1310" t="str">
        <x:v>ga6afe146-e850-45fe-a88b-8cf84a6280b1</x:v>
      </x:c>
      <x:c r="E1310" t="str">
        <x:v>gb227dd42-cfe9-4a48-8521-afa44ef2612a</x:v>
      </x:c>
      <x:c r="F1310" t="str">
        <x:v>https://www.webonary.org/marubo/gb227dd42-cfe9-4a48-8521-afa44ef2612a/</x:v>
      </x:c>
      <x:c r="G1310" s="20" t="n">
        <x:v>46003.934901898145</x:v>
      </x:c>
    </x:row>
    <x:row r="1311">
      <x:c r="A1311" t="str">
        <x:v>manchar</x:v>
      </x:c>
      <x:c r="B1311" t="str">
        <x:v>tsaká</x:v>
      </x:c>
      <x:c r="C1311" t="str">
        <x:v>m</x:v>
      </x:c>
      <x:c r="D1311" t="str">
        <x:v>g19b92f10-85f6-45fe-b484-df0536b259d0</x:v>
      </x:c>
      <x:c r="E1311" t="str">
        <x:v>gd9f4a37e-7ceb-4805-bd3d-de905b86b5d1</x:v>
      </x:c>
      <x:c r="F1311" t="str">
        <x:v>https://www.webonary.org/marubo/gd9f4a37e-7ceb-4805-bd3d-de905b86b5d1/</x:v>
      </x:c>
      <x:c r="G1311" s="20" t="n">
        <x:v>46003.934901898145</x:v>
      </x:c>
    </x:row>
    <x:row r="1312">
      <x:c r="A1312" t="str">
        <x:v>mandar</x:v>
      </x:c>
      <x:c r="B1312" t="str">
        <x:v>yonoa</x:v>
      </x:c>
      <x:c r="C1312" t="str">
        <x:v>m</x:v>
      </x:c>
      <x:c r="D1312" t="str">
        <x:v>g7dbcbbe5-4582-43c7-b2cc-ab19b718a93c</x:v>
      </x:c>
      <x:c r="E1312" t="str">
        <x:v>gba5f8a9e-1121-4702-a558-32fbebcee993</x:v>
      </x:c>
      <x:c r="F1312" t="str">
        <x:v>https://www.webonary.org/marubo/gba5f8a9e-1121-4702-a558-32fbebcee993/</x:v>
      </x:c>
      <x:c r="G1312" s="20" t="n">
        <x:v>46003.934901898145</x:v>
      </x:c>
    </x:row>
    <x:row r="1313">
      <x:c r="A1313" t="str">
        <x:v>mandar embora</x:v>
      </x:c>
      <x:c r="B1313" t="str">
        <x:v>kayã</x:v>
      </x:c>
      <x:c r="C1313" t="str">
        <x:v>m</x:v>
      </x:c>
      <x:c r="D1313" t="str">
        <x:v>gdcdf35f3-47be-49fc-8282-1473c52c3c14</x:v>
      </x:c>
      <x:c r="E1313" t="str">
        <x:v>g71313e50-8f54-4969-a922-b7fdc8884e7f</x:v>
      </x:c>
      <x:c r="F1313" t="str">
        <x:v>https://www.webonary.org/marubo/g71313e50-8f54-4969-a922-b7fdc8884e7f/</x:v>
      </x:c>
      <x:c r="G1313" s="20" t="n">
        <x:v>46003.934901898145</x:v>
      </x:c>
    </x:row>
    <x:row r="1314">
      <x:c r="A1314" t="str">
        <x:v>mandioca</x:v>
      </x:c>
      <x:c r="B1314" t="str">
        <x:v>atsa</x:v>
      </x:c>
      <x:c r="C1314" t="str">
        <x:v>m</x:v>
      </x:c>
      <x:c r="D1314" t="str">
        <x:v>gbc6f64d8-e0e0-4235-9e72-76e8dbd1b649</x:v>
      </x:c>
      <x:c r="E1314" t="str">
        <x:v>gd4eefb85-473f-4a72-a444-fbcfb477ec8f</x:v>
      </x:c>
      <x:c r="F1314" t="str">
        <x:v>https://www.webonary.org/marubo/gd4eefb85-473f-4a72-a444-fbcfb477ec8f/</x:v>
      </x:c>
      <x:c r="G1314" s="20" t="n">
        <x:v>46003.934901898145</x:v>
      </x:c>
    </x:row>
    <x:row r="1315">
      <x:c r="A1315" t="str">
        <x:v>mangar</x:v>
      </x:c>
      <x:c r="B1315" t="str">
        <x:v>ati aká</x:v>
      </x:c>
      <x:c r="C1315" t="str">
        <x:v>m</x:v>
      </x:c>
      <x:c r="D1315" t="str">
        <x:v>g06606730-f861-4822-bfd5-01f0eb3d0c1c</x:v>
      </x:c>
      <x:c r="E1315" t="str">
        <x:v>g5308317b-edd7-4aec-b173-7ada3ad4bfa6</x:v>
      </x:c>
      <x:c r="F1315" t="str">
        <x:v>https://www.webonary.org/marubo/g5308317b-edd7-4aec-b173-7ada3ad4bfa6/</x:v>
      </x:c>
      <x:c r="G1315" s="20" t="n">
        <x:v>46003.934901898145</x:v>
      </x:c>
    </x:row>
    <x:row r="1316">
      <x:c r="A1316" t="str">
        <x:v>manhã</x:v>
      </x:c>
      <x:c r="B1316" t="str">
        <x:v>shava nakoi</x:v>
      </x:c>
      <x:c r="C1316" t="str">
        <x:v>m</x:v>
      </x:c>
      <x:c r="D1316" t="str">
        <x:v>g1514f91d-7e3e-4679-8c91-dda5c0c42b2a</x:v>
      </x:c>
      <x:c r="E1316" t="str">
        <x:v>g30d481b1-5fd5-449a-90af-b3199491a225</x:v>
      </x:c>
      <x:c r="F1316" t="str">
        <x:v>https://www.webonary.org/marubo/g30d481b1-5fd5-449a-90af-b3199491a225/</x:v>
      </x:c>
      <x:c r="G1316" s="20" t="n">
        <x:v>46003.934901898145</x:v>
      </x:c>
    </x:row>
    <x:row r="1317">
      <x:c r="A1317" t="str">
        <x:v>manso</x:v>
      </x:c>
      <x:c r="B1317" t="str">
        <x:v>onãmaka</x:v>
      </x:c>
      <x:c r="C1317" t="str">
        <x:v>m</x:v>
      </x:c>
      <x:c r="D1317" t="str">
        <x:v>gf9cfc686-da5f-42d4-b4dd-5fb330f12715</x:v>
      </x:c>
      <x:c r="E1317" t="str">
        <x:v>g347c9b48-fc7c-4e69-9aef-ec9a1b797128</x:v>
      </x:c>
      <x:c r="F1317" t="str">
        <x:v>https://www.webonary.org/marubo/g347c9b48-fc7c-4e69-9aef-ec9a1b797128/</x:v>
      </x:c>
      <x:c r="G1317" s="20" t="n">
        <x:v>46003.934901898145</x:v>
      </x:c>
    </x:row>
    <x:row r="1318">
      <x:c r="A1318" t="str">
        <x:v>mão</x:v>
      </x:c>
      <x:c r="B1318" t="str">
        <x:v>mevi</x:v>
      </x:c>
      <x:c r="C1318" t="str">
        <x:v>m</x:v>
      </x:c>
      <x:c r="D1318" t="str">
        <x:v>g18544ace-d230-45ab-94b4-22de6cd3a373</x:v>
      </x:c>
      <x:c r="E1318" t="str">
        <x:v>g810d9aeb-dbd5-4f3c-8e54-506119367603</x:v>
      </x:c>
      <x:c r="F1318" t="str">
        <x:v>https://www.webonary.org/marubo/g810d9aeb-dbd5-4f3c-8e54-506119367603/</x:v>
      </x:c>
      <x:c r="G1318" s="20" t="n">
        <x:v>46003.934901898145</x:v>
      </x:c>
    </x:row>
    <x:row r="1319">
      <x:c r="A1319" t="str">
        <x:v>mão de banana</x:v>
      </x:c>
      <x:c r="B1319" t="str">
        <x:v>mani pashka</x:v>
      </x:c>
      <x:c r="C1319" t="str">
        <x:v>m</x:v>
      </x:c>
      <x:c r="D1319" t="str">
        <x:v>gc66365e3-2878-491f-9eb1-d018cc03d61b</x:v>
      </x:c>
      <x:c r="E1319" t="str">
        <x:v>g745f9980-31e7-4d1a-bf35-5ae1522e6a59</x:v>
      </x:c>
      <x:c r="F1319" t="str">
        <x:v>https://www.webonary.org/marubo/g745f9980-31e7-4d1a-bf35-5ae1522e6a59/</x:v>
      </x:c>
      <x:c r="G1319" s="20" t="n">
        <x:v>46003.934901898145</x:v>
      </x:c>
    </x:row>
    <x:row r="1320">
      <x:c r="A1320" t="str">
        <x:v>maracajá peludo</x:v>
      </x:c>
      <x:c r="B1320" t="str">
        <x:v>ketsĩ</x:v>
      </x:c>
      <x:c r="C1320" t="str">
        <x:v>m</x:v>
      </x:c>
      <x:c r="D1320" t="str">
        <x:v>g208106ae-677b-4c22-bdad-867e864d17eb</x:v>
      </x:c>
      <x:c r="E1320" t="str">
        <x:v>gfdb15266-03df-4f37-96a1-3dd140308b2c</x:v>
      </x:c>
      <x:c r="F1320" t="str">
        <x:v>https://www.webonary.org/marubo/gfdb15266-03df-4f37-96a1-3dd140308b2c/</x:v>
      </x:c>
      <x:c r="G1320" s="20" t="n">
        <x:v>46003.934901898145</x:v>
      </x:c>
    </x:row>
    <x:row r="1321">
      <x:c r="A1321" t="str">
        <x:v>maracuja</x:v>
      </x:c>
      <x:c r="B1321" t="str">
        <x:v>shãtá</x:v>
      </x:c>
      <x:c r="C1321" t="str">
        <x:v>m</x:v>
      </x:c>
      <x:c r="D1321" t="str">
        <x:v>g6a11a56b-0b2b-465b-802a-cf70a55317a3</x:v>
      </x:c>
      <x:c r="E1321" t="str">
        <x:v>g04c1f243-8435-4433-ad14-14301b503c03</x:v>
      </x:c>
      <x:c r="F1321" t="str">
        <x:v>https://www.webonary.org/marubo/g04c1f243-8435-4433-ad14-14301b503c03/</x:v>
      </x:c>
      <x:c r="G1321" s="20" t="n">
        <x:v>46003.934901898145</x:v>
      </x:c>
    </x:row>
    <x:row r="1322">
      <x:c r="A1322" t="str">
        <x:v>marido</x:v>
      </x:c>
      <x:c r="B1322" t="str">
        <x:v>vene</x:v>
      </x:c>
      <x:c r="C1322" t="str">
        <x:v>m</x:v>
      </x:c>
      <x:c r="D1322" t="str">
        <x:v>gb9370b4e-94e5-4806-be7d-25d99c3d2a66</x:v>
      </x:c>
      <x:c r="E1322" t="str">
        <x:v>gf3072b38-ec78-4a76-bc18-47b720693afb</x:v>
      </x:c>
      <x:c r="F1322" t="str">
        <x:v>https://www.webonary.org/marubo/gf3072b38-ec78-4a76-bc18-47b720693afb/</x:v>
      </x:c>
      <x:c r="G1322" s="20" t="n">
        <x:v>46003.934901898145</x:v>
      </x:c>
    </x:row>
    <x:row r="1323">
      <x:c r="A1323" t="str">
        <x:v>mariposa</x:v>
      </x:c>
      <x:c r="B1323" t="str">
        <x:v>oso</x:v>
      </x:c>
      <x:c r="C1323" t="str">
        <x:v>m</x:v>
      </x:c>
      <x:c r="D1323" t="str">
        <x:v>g44d7fbc0-fa62-4609-ae1b-9d643b20a9c0</x:v>
      </x:c>
      <x:c r="E1323" t="str">
        <x:v>g9aa68008-305a-45de-83ef-a498c02d65cc</x:v>
      </x:c>
      <x:c r="F1323" t="str">
        <x:v>https://www.webonary.org/marubo/g9aa68008-305a-45de-83ef-a498c02d65cc/</x:v>
      </x:c>
      <x:c r="G1323" s="20" t="n">
        <x:v>46003.934901898145</x:v>
      </x:c>
    </x:row>
    <x:row r="1324">
      <x:c r="A1324" t="str">
        <x:v>martelo</x:v>
      </x:c>
      <x:c r="B1324" t="str">
        <x:v>ravo txakati</x:v>
      </x:c>
      <x:c r="C1324" t="str">
        <x:v>m</x:v>
      </x:c>
      <x:c r="D1324" t="str">
        <x:v>gebd3e0a0-f7d9-4803-8c66-39ea7f543a1a</x:v>
      </x:c>
      <x:c r="E1324" t="str">
        <x:v>g99ade36f-bac3-4593-a4e1-07e7c616f933</x:v>
      </x:c>
      <x:c r="F1324" t="str">
        <x:v>https://www.webonary.org/marubo/g99ade36f-bac3-4593-a4e1-07e7c616f933/</x:v>
      </x:c>
      <x:c r="G1324" s="20" t="n">
        <x:v>46003.934901898145</x:v>
      </x:c>
    </x:row>
    <x:row r="1325">
      <x:c r="A1325" t="str">
        <x:v>martelo</x:v>
      </x:c>
      <x:c r="B1325" t="str">
        <x:v>ravo tsekati</x:v>
      </x:c>
      <x:c r="C1325" t="str">
        <x:v>m</x:v>
      </x:c>
      <x:c r="D1325" t="str">
        <x:v>gebd3e0a0-f7d9-4803-8c66-39ea7f543a1a</x:v>
      </x:c>
      <x:c r="E1325" t="str">
        <x:v>gafafb7af-9cfb-47d3-9b5c-cf640f00ec96</x:v>
      </x:c>
      <x:c r="F1325" t="str">
        <x:v>https://www.webonary.org/marubo/gafafb7af-9cfb-47d3-9b5c-cf640f00ec96/</x:v>
      </x:c>
      <x:c r="G1325" s="20" t="n">
        <x:v>46003.934901898145</x:v>
      </x:c>
    </x:row>
    <x:row r="1326">
      <x:c r="A1326" t="str">
        <x:v>mastigar</x:v>
      </x:c>
      <x:c r="B1326" t="str">
        <x:v>tokõa</x:v>
      </x:c>
      <x:c r="C1326" t="str">
        <x:v>m</x:v>
      </x:c>
      <x:c r="D1326" t="str">
        <x:v>g06f296be-5cb0-4d9c-bb53-0a859ec9351c</x:v>
      </x:c>
      <x:c r="E1326" t="str">
        <x:v>g0d4bae07-3f6b-4279-8b63-4b0783f442d8</x:v>
      </x:c>
      <x:c r="F1326" t="str">
        <x:v>https://www.webonary.org/marubo/g0d4bae07-3f6b-4279-8b63-4b0783f442d8/</x:v>
      </x:c>
      <x:c r="G1326" s="20" t="n">
        <x:v>46003.934901898145</x:v>
      </x:c>
    </x:row>
    <x:row r="1327">
      <x:c r="A1327" t="str">
        <x:v>mastigar</x:v>
      </x:c>
      <x:c r="B1327" t="str">
        <x:v>txako aká</x:v>
      </x:c>
      <x:c r="C1327" t="str">
        <x:v>m</x:v>
      </x:c>
      <x:c r="D1327" t="str">
        <x:v>g06f296be-5cb0-4d9c-bb53-0a859ec9351c</x:v>
      </x:c>
      <x:c r="E1327" t="str">
        <x:v>gf5ddfbea-4f11-49e0-87b4-ca9f6acd1928</x:v>
      </x:c>
      <x:c r="F1327" t="str">
        <x:v>https://www.webonary.org/marubo/gf5ddfbea-4f11-49e0-87b4-ca9f6acd1928/</x:v>
      </x:c>
      <x:c r="G1327" s="20" t="n">
        <x:v>46003.934901898145</x:v>
      </x:c>
    </x:row>
    <x:row r="1328">
      <x:c r="A1328" t="str">
        <x:v>mata</x:v>
      </x:c>
      <x:c r="B1328" t="str">
        <x:v>ovẽ</x:v>
      </x:c>
      <x:c r="C1328" t="str">
        <x:v>m</x:v>
      </x:c>
      <x:c r="D1328" t="str">
        <x:v>g2f11d2c0-264b-4df6-ba16-bed071e40034</x:v>
      </x:c>
      <x:c r="E1328" t="str">
        <x:v>gb2846753-2bd6-4308-9f6a-9b0c9c68a249</x:v>
      </x:c>
      <x:c r="F1328" t="str">
        <x:v>https://www.webonary.org/marubo/gb2846753-2bd6-4308-9f6a-9b0c9c68a249/</x:v>
      </x:c>
      <x:c r="G1328" s="20" t="n">
        <x:v>46003.934901898145</x:v>
      </x:c>
    </x:row>
    <x:row r="1329">
      <x:c r="A1329" t="str">
        <x:v>mata</x:v>
      </x:c>
      <x:c r="B1329" t="str">
        <x:v>ni</x:v>
      </x:c>
      <x:c r="C1329" t="str">
        <x:v>m</x:v>
      </x:c>
      <x:c r="D1329" t="str">
        <x:v>g2f11d2c0-264b-4df6-ba16-bed071e40034</x:v>
      </x:c>
      <x:c r="E1329" t="str">
        <x:v>gdd6e8059-37f8-44b5-a836-d442be121164</x:v>
      </x:c>
      <x:c r="F1329" t="str">
        <x:v>https://www.webonary.org/marubo/gdd6e8059-37f8-44b5-a836-d442be121164/</x:v>
      </x:c>
      <x:c r="G1329" s="20" t="n">
        <x:v>46003.934901898145</x:v>
      </x:c>
    </x:row>
    <x:row r="1330">
      <x:c r="A1330" t="str">
        <x:v>matar</x:v>
      </x:c>
      <x:c r="B1330" t="str">
        <x:v>tenã</x:v>
      </x:c>
      <x:c r="C1330" t="str">
        <x:v>m</x:v>
      </x:c>
      <x:c r="D1330" t="str">
        <x:v>g938c47db-2ed5-4d7c-8ecd-b5402cc7964a</x:v>
      </x:c>
      <x:c r="E1330" t="str">
        <x:v>g15a757f6-e31c-411d-8985-6fad6bbb1b62</x:v>
      </x:c>
      <x:c r="F1330" t="str">
        <x:v>https://www.webonary.org/marubo/g15a757f6-e31c-411d-8985-6fad6bbb1b62/</x:v>
      </x:c>
      <x:c r="G1330" s="20" t="n">
        <x:v>46003.934901898145</x:v>
      </x:c>
    </x:row>
    <x:row r="1331">
      <x:c r="A1331" t="str">
        <x:v>mato fechado</x:v>
      </x:c>
      <x:c r="B1331" t="str">
        <x:v>tsokóska</x:v>
      </x:c>
      <x:c r="C1331" t="str">
        <x:v>m</x:v>
      </x:c>
      <x:c r="D1331" t="str">
        <x:v>gdf95c0bb-d795-41b2-bb84-a8e417d3cf0f</x:v>
      </x:c>
      <x:c r="E1331" t="str">
        <x:v>g312d6170-753d-4180-b804-be44ba2b260f</x:v>
      </x:c>
      <x:c r="F1331" t="str">
        <x:v>https://www.webonary.org/marubo/g312d6170-753d-4180-b804-be44ba2b260f/</x:v>
      </x:c>
      <x:c r="G1331" s="20" t="n">
        <x:v>46003.934901898145</x:v>
      </x:c>
    </x:row>
    <x:row r="1332">
      <x:c r="A1332" t="str">
        <x:v>medicina traditional</x:v>
      </x:c>
      <x:c r="B1332" t="str">
        <x:v>vonã moka</x:v>
      </x:c>
      <x:c r="C1332" t="str">
        <x:v>m</x:v>
      </x:c>
      <x:c r="D1332" t="str">
        <x:v>gc1d081fb-d65a-4767-994b-911dc810d8c7</x:v>
      </x:c>
      <x:c r="E1332" t="str">
        <x:v>g9a497606-216e-4737-bd4b-c20fe1dbcf0d</x:v>
      </x:c>
      <x:c r="F1332" t="str">
        <x:v>https://www.webonary.org/marubo/g9a497606-216e-4737-bd4b-c20fe1dbcf0d/</x:v>
      </x:c>
      <x:c r="G1332" s="20" t="n">
        <x:v>46003.934901898145</x:v>
      </x:c>
    </x:row>
    <x:row r="1333">
      <x:c r="A1333" t="str">
        <x:v>medida de altura</x:v>
      </x:c>
      <x:c r="B1333" t="str">
        <x:v>-tiá</x:v>
      </x:c>
      <x:c r="C1333" t="str">
        <x:v>m</x:v>
      </x:c>
      <x:c r="D1333" t="str">
        <x:v>ga3452bb4-3c8b-4801-a75d-8197b59d5524</x:v>
      </x:c>
      <x:c r="E1333" t="str">
        <x:v>gc5b0c1b9-14b0-451f-b925-826aee3dddb3</x:v>
      </x:c>
      <x:c r="F1333" t="str">
        <x:v>https://www.webonary.org/marubo/gc5b0c1b9-14b0-451f-b925-826aee3dddb3/</x:v>
      </x:c>
      <x:c r="G1333" s="20" t="n">
        <x:v>46003.934901898145</x:v>
      </x:c>
    </x:row>
    <x:row r="1334">
      <x:c r="A1334" t="str">
        <x:v>medida de distância</x:v>
      </x:c>
      <x:c r="B1334" t="str">
        <x:v>awetishõ</x:v>
      </x:c>
      <x:c r="C1334" t="str">
        <x:v>m</x:v>
      </x:c>
      <x:c r="D1334" t="str">
        <x:v>ge01bbe22-30da-42e0-ab23-2f3e2ce33591</x:v>
      </x:c>
      <x:c r="E1334" t="str">
        <x:v>gdc56c156-a599-496b-b0a9-26cd56e4199f</x:v>
      </x:c>
      <x:c r="F1334" t="str">
        <x:v>https://www.webonary.org/marubo/gdc56c156-a599-496b-b0a9-26cd56e4199f/</x:v>
      </x:c>
      <x:c r="G1334" s="20" t="n">
        <x:v>46003.934901898145</x:v>
      </x:c>
    </x:row>
    <x:row r="1335">
      <x:c r="A1335" t="str">
        <x:v>meia</x:v>
      </x:c>
      <x:c r="B1335" t="str">
        <x:v>tae naríti</x:v>
      </x:c>
      <x:c r="C1335" t="str">
        <x:v>m</x:v>
      </x:c>
      <x:c r="D1335" t="str">
        <x:v>gc609744e-2bd1-4140-bcc5-ba367bf807be</x:v>
      </x:c>
      <x:c r="E1335" t="str">
        <x:v>g14dab60b-1739-4312-97c4-34595ef77c11</x:v>
      </x:c>
      <x:c r="F1335" t="str">
        <x:v>https://www.webonary.org/marubo/g14dab60b-1739-4312-97c4-34595ef77c11/</x:v>
      </x:c>
      <x:c r="G1335" s="20" t="n">
        <x:v>46003.9349116088</x:v>
      </x:c>
    </x:row>
    <x:row r="1336">
      <x:c r="A1336" t="str">
        <x:v>meio duro (roupa ou cabeça)</x:v>
      </x:c>
      <x:c r="B1336" t="str">
        <x:v>txoríchka</x:v>
      </x:c>
      <x:c r="C1336" t="str">
        <x:v>m</x:v>
      </x:c>
      <x:c r="D1336" t="str">
        <x:v>g7dc4daa9-262a-4aed-a842-1abeca2fa9e0</x:v>
      </x:c>
      <x:c r="E1336" t="str">
        <x:v>g172a1e3e-f29a-4122-b54d-ce30bccc2876</x:v>
      </x:c>
      <x:c r="F1336" t="str">
        <x:v>https://www.webonary.org/marubo/g172a1e3e-f29a-4122-b54d-ce30bccc2876/</x:v>
      </x:c>
      <x:c r="G1336" s="20" t="n">
        <x:v>46003.9349116088</x:v>
      </x:c>
    </x:row>
    <x:row r="1337">
      <x:c r="A1337" t="str">
        <x:v>mel</x:v>
      </x:c>
      <x:c r="B1337" t="str">
        <x:v>vona vata</x:v>
      </x:c>
      <x:c r="C1337" t="str">
        <x:v>m</x:v>
      </x:c>
      <x:c r="D1337" t="str">
        <x:v>g7a7d4e54-3147-4e9c-99a0-382c469d5cf9</x:v>
      </x:c>
      <x:c r="E1337" t="str">
        <x:v>g577ca2b3-64ef-4e1b-8469-37682ee2aff5</x:v>
      </x:c>
      <x:c r="F1337" t="str">
        <x:v>https://www.webonary.org/marubo/g577ca2b3-64ef-4e1b-8469-37682ee2aff5/</x:v>
      </x:c>
      <x:c r="G1337" s="20" t="n">
        <x:v>46003.9349116088</x:v>
      </x:c>
    </x:row>
    <x:row r="1338">
      <x:c r="A1338" t="str">
        <x:v>mel</x:v>
      </x:c>
      <x:c r="B1338" t="str">
        <x:v>vakõ vata</x:v>
      </x:c>
      <x:c r="C1338" t="str">
        <x:v>m</x:v>
      </x:c>
      <x:c r="D1338" t="str">
        <x:v>g7a7d4e54-3147-4e9c-99a0-382c469d5cf9</x:v>
      </x:c>
      <x:c r="E1338" t="str">
        <x:v>g406cb4e4-d9e6-4e9a-b07d-534296ea0264</x:v>
      </x:c>
      <x:c r="F1338" t="str">
        <x:v>https://www.webonary.org/marubo/g406cb4e4-d9e6-4e9a-b07d-534296ea0264/</x:v>
      </x:c>
      <x:c r="G1338" s="20" t="n">
        <x:v>46003.9349116088</x:v>
      </x:c>
    </x:row>
    <x:row r="1339">
      <x:c r="A1339" t="str">
        <x:v>menina</x:v>
      </x:c>
      <x:c r="B1339" t="str">
        <x:v>aĩvake</x:v>
      </x:c>
      <x:c r="C1339" t="str">
        <x:v>m</x:v>
      </x:c>
      <x:c r="D1339" t="str">
        <x:v>gbf9421db-0dd7-433b-b426-14725e8e9ec9</x:v>
      </x:c>
      <x:c r="E1339" t="str">
        <x:v>g924baeeb-55f0-4bc8-9731-f1f5f265915b</x:v>
      </x:c>
      <x:c r="F1339" t="str">
        <x:v>https://www.webonary.org/marubo/g924baeeb-55f0-4bc8-9731-f1f5f265915b/</x:v>
      </x:c>
      <x:c r="G1339" s="20" t="n">
        <x:v>46003.9349116088</x:v>
      </x:c>
    </x:row>
    <x:row r="1340">
      <x:c r="A1340" t="str">
        <x:v>menino</x:v>
      </x:c>
      <x:c r="B1340" t="str">
        <x:v>venevake</x:v>
      </x:c>
      <x:c r="C1340" t="str">
        <x:v>m</x:v>
      </x:c>
      <x:c r="D1340" t="str">
        <x:v>gc1d55a04-86ca-4086-ac0f-b8fc67521139</x:v>
      </x:c>
      <x:c r="E1340" t="str">
        <x:v>g5c3d4d7c-8ad8-4ff4-aafc-f428f2f90cee</x:v>
      </x:c>
      <x:c r="F1340" t="str">
        <x:v>https://www.webonary.org/marubo/g5c3d4d7c-8ad8-4ff4-aafc-f428f2f90cee/</x:v>
      </x:c>
      <x:c r="G1340" s="20" t="n">
        <x:v>46003.9349116088</x:v>
      </x:c>
    </x:row>
    <x:row r="1341">
      <x:c r="A1341" t="str">
        <x:v>mentira</x:v>
      </x:c>
      <x:c r="B1341" t="str">
        <x:v>yoa</x:v>
      </x:c>
      <x:c r="C1341" t="str">
        <x:v>m</x:v>
      </x:c>
      <x:c r="D1341" t="str">
        <x:v>geb15853a-b62e-474b-852d-d693533020f9</x:v>
      </x:c>
      <x:c r="E1341" t="str">
        <x:v>gc4fed063-4dfc-4b7b-80b2-092076a96157</x:v>
      </x:c>
      <x:c r="F1341" t="str">
        <x:v>https://www.webonary.org/marubo/gc4fed063-4dfc-4b7b-80b2-092076a96157/</x:v>
      </x:c>
      <x:c r="G1341" s="20" t="n">
        <x:v>46003.9349116088</x:v>
      </x:c>
    </x:row>
    <x:row r="1342">
      <x:c r="A1342" t="str">
        <x:v>mercado</x:v>
      </x:c>
      <x:c r="B1342" t="str">
        <x:v>aweshovo</x:v>
      </x:c>
      <x:c r="C1342" t="str">
        <x:v>m</x:v>
      </x:c>
      <x:c r="D1342" t="str">
        <x:v>g4f95746e-23d5-4a6d-9955-c4a558632e21</x:v>
      </x:c>
      <x:c r="E1342" t="str">
        <x:v>ga8fc9bd2-49c0-4456-9ed0-a095c804419c</x:v>
      </x:c>
      <x:c r="F1342" t="str">
        <x:v>https://www.webonary.org/marubo/ga8fc9bd2-49c0-4456-9ed0-a095c804419c/</x:v>
      </x:c>
      <x:c r="G1342" s="20" t="n">
        <x:v>46003.9349116088</x:v>
      </x:c>
    </x:row>
    <x:row r="1343">
      <x:c r="A1343" t="str">
        <x:v>mergulhar</x:v>
      </x:c>
      <x:c r="B1343" t="str">
        <x:v>morich ikí</x:v>
      </x:c>
      <x:c r="C1343" t="str">
        <x:v>m</x:v>
      </x:c>
      <x:c r="D1343" t="str">
        <x:v>g1fc84df0-0a8c-4791-b891-6eb753a8fcb5</x:v>
      </x:c>
      <x:c r="E1343" t="str">
        <x:v>g65de35af-7ab1-483f-8b75-d8a747d7a1b0</x:v>
      </x:c>
      <x:c r="F1343" t="str">
        <x:v>https://www.webonary.org/marubo/g65de35af-7ab1-483f-8b75-d8a747d7a1b0/</x:v>
      </x:c>
      <x:c r="G1343" s="20" t="n">
        <x:v>46003.9349116088</x:v>
      </x:c>
    </x:row>
    <x:row r="1344">
      <x:c r="A1344" t="str">
        <x:v>meroim</x:v>
      </x:c>
      <x:c r="B1344" t="str">
        <x:v>chio poto</x:v>
      </x:c>
      <x:c r="C1344" t="str">
        <x:v>m</x:v>
      </x:c>
      <x:c r="D1344" t="str">
        <x:v>g1d698d94-2ddc-4c00-a7ce-b9deb460b641</x:v>
      </x:c>
      <x:c r="E1344" t="str">
        <x:v>g61d34aa6-8faa-42fa-8e42-2a209695fd2f</x:v>
      </x:c>
      <x:c r="F1344" t="str">
        <x:v>https://www.webonary.org/marubo/g61d34aa6-8faa-42fa-8e42-2a209695fd2f/</x:v>
      </x:c>
      <x:c r="G1344" s="20" t="n">
        <x:v>46003.9349116088</x:v>
      </x:c>
    </x:row>
    <x:row r="1345">
      <x:c r="A1345" t="str">
        <x:v>mês</x:v>
      </x:c>
      <x:c r="B1345" t="str">
        <x:v>oshe</x:v>
      </x:c>
      <x:c r="C1345" t="str">
        <x:v>m</x:v>
      </x:c>
      <x:c r="D1345" t="str">
        <x:v>g5b760de7-94c4-46b1-b874-17d9cb73dd08</x:v>
      </x:c>
      <x:c r="E1345" t="str">
        <x:v>g725e7384-51ee-4942-a4f3-38f387cc2a1e</x:v>
      </x:c>
      <x:c r="F1345" t="str">
        <x:v>https://www.webonary.org/marubo/g725e7384-51ee-4942-a4f3-38f387cc2a1e/</x:v>
      </x:c>
      <x:c r="G1345" s="20" t="n">
        <x:v>46003.9349116088</x:v>
      </x:c>
    </x:row>
    <x:row r="1346">
      <x:c r="A1346" t="str">
        <x:v>metatarso</x:v>
      </x:c>
      <x:c r="B1346" t="str">
        <x:v>tae testó</x:v>
      </x:c>
      <x:c r="C1346" t="str">
        <x:v>m</x:v>
      </x:c>
      <x:c r="D1346" t="str">
        <x:v>g4579a743-03da-4da2-a880-2d16915337a1</x:v>
      </x:c>
      <x:c r="E1346" t="str">
        <x:v>gc4ef90af-0940-47c9-9124-310adcf240eb</x:v>
      </x:c>
      <x:c r="F1346" t="str">
        <x:v>https://www.webonary.org/marubo/gc4ef90af-0940-47c9-9124-310adcf240eb/</x:v>
      </x:c>
      <x:c r="G1346" s="20" t="n">
        <x:v>46003.9349116088</x:v>
      </x:c>
    </x:row>
    <x:row r="1347">
      <x:c r="A1347" t="str">
        <x:v>mexer</x:v>
      </x:c>
      <x:c r="B1347" t="str">
        <x:v>tewẽ</x:v>
      </x:c>
      <x:c r="C1347" t="str">
        <x:v>m</x:v>
      </x:c>
      <x:c r="D1347" t="str">
        <x:v>g43da38f1-ba68-404d-9cb7-05179af846f7</x:v>
      </x:c>
      <x:c r="E1347" t="str">
        <x:v>g05060c2d-774d-47a5-99e4-4492f7e04995</x:v>
      </x:c>
      <x:c r="F1347" t="str">
        <x:v>https://www.webonary.org/marubo/g05060c2d-774d-47a5-99e4-4492f7e04995/</x:v>
      </x:c>
      <x:c r="G1347" s="20" t="n">
        <x:v>46003.9349116088</x:v>
      </x:c>
    </x:row>
    <x:row r="1348">
      <x:c r="A1348" t="str">
        <x:v>mexer</x:v>
      </x:c>
      <x:c r="B1348" t="str">
        <x:v>1</x:v>
      </x:c>
      <x:c r="C1348" t="str">
        <x:v>m</x:v>
      </x:c>
      <x:c r="D1348" t="str">
        <x:v>g43da38f1-ba68-404d-9cb7-05179af846f7</x:v>
      </x:c>
      <x:c r="E1348" t="str">
        <x:v>g05060c2d-774d-47a5-99e4-4492f7e04995</x:v>
      </x:c>
      <x:c r="F1348" t="str">
        <x:v>https://www.webonary.org/marubo/g05060c2d-774d-47a5-99e4-4492f7e04995/</x:v>
      </x:c>
      <x:c r="G1348" s="20" t="n">
        <x:v>46003.9349116088</x:v>
      </x:c>
    </x:row>
    <x:row r="1349">
      <x:c r="A1349" t="str">
        <x:v>mexer</x:v>
      </x:c>
      <x:c r="B1349" t="str">
        <x:v>txẽwẽ́a</x:v>
      </x:c>
      <x:c r="C1349" t="str">
        <x:v>m</x:v>
      </x:c>
      <x:c r="D1349" t="str">
        <x:v>g43da38f1-ba68-404d-9cb7-05179af846f7</x:v>
      </x:c>
      <x:c r="E1349" t="str">
        <x:v>g0b7d0216-4e92-4cfa-a916-3c1a9cd63602</x:v>
      </x:c>
      <x:c r="F1349" t="str">
        <x:v>https://www.webonary.org/marubo/g0b7d0216-4e92-4cfa-a916-3c1a9cd63602/</x:v>
      </x:c>
      <x:c r="G1349" s="20" t="n">
        <x:v>46003.9349116088</x:v>
      </x:c>
    </x:row>
    <x:row r="1350">
      <x:c r="A1350" t="str">
        <x:v>mexer liquido com pé</x:v>
      </x:c>
      <x:c r="B1350" t="str">
        <x:v>voo aká</x:v>
      </x:c>
      <x:c r="C1350" t="str">
        <x:v>m</x:v>
      </x:c>
      <x:c r="D1350" t="str">
        <x:v>g62e096a2-86ff-4380-952f-5b9da265f0c8</x:v>
      </x:c>
      <x:c r="E1350" t="str">
        <x:v>g88bbacc3-791c-497b-8434-e336fb260786</x:v>
      </x:c>
      <x:c r="F1350" t="str">
        <x:v>https://www.webonary.org/marubo/g88bbacc3-791c-497b-8434-e336fb260786/</x:v>
      </x:c>
      <x:c r="G1350" s="20" t="n">
        <x:v>46003.9349116088</x:v>
      </x:c>
    </x:row>
    <x:row r="1351">
      <x:c r="A1351" t="str">
        <x:v>miçanga</x:v>
      </x:c>
      <x:c r="B1351" t="str">
        <x:v>txakíri</x:v>
      </x:c>
      <x:c r="C1351" t="str">
        <x:v>m</x:v>
      </x:c>
      <x:c r="D1351" t="str">
        <x:v>g37fc5dfb-70f8-4eff-9021-3d569920dc73</x:v>
      </x:c>
      <x:c r="E1351" t="str">
        <x:v>g6ec84a1a-d2c8-4003-8c2a-a7af90a12c40</x:v>
      </x:c>
      <x:c r="F1351" t="str">
        <x:v>https://www.webonary.org/marubo/g6ec84a1a-d2c8-4003-8c2a-a7af90a12c40/</x:v>
      </x:c>
      <x:c r="G1351" s="20" t="n">
        <x:v>46003.9349116088</x:v>
      </x:c>
    </x:row>
    <x:row r="1352">
      <x:c r="A1352" t="str">
        <x:v>mico</x:v>
      </x:c>
      <x:c r="B1352" t="str">
        <x:v>chipi</x:v>
      </x:c>
      <x:c r="C1352" t="str">
        <x:v>m</x:v>
      </x:c>
      <x:c r="D1352" t="str">
        <x:v>g74770bd1-0bfc-414b-8322-fd9a2b9c8a90</x:v>
      </x:c>
      <x:c r="E1352" t="str">
        <x:v>gda9b3646-95b6-4b78-9df1-2ad28d4eced4</x:v>
      </x:c>
      <x:c r="F1352" t="str">
        <x:v>https://www.webonary.org/marubo/gda9b3646-95b6-4b78-9df1-2ad28d4eced4/</x:v>
      </x:c>
      <x:c r="G1352" s="20" t="n">
        <x:v>46003.9349116088</x:v>
      </x:c>
    </x:row>
    <x:row r="1353">
      <x:c r="A1353" t="str">
        <x:v>mico</x:v>
      </x:c>
      <x:c r="B1353" t="str">
        <x:v>1</x:v>
      </x:c>
      <x:c r="C1353" t="str">
        <x:v>m</x:v>
      </x:c>
      <x:c r="D1353" t="str">
        <x:v>g74770bd1-0bfc-414b-8322-fd9a2b9c8a90</x:v>
      </x:c>
      <x:c r="E1353" t="str">
        <x:v>gda9b3646-95b6-4b78-9df1-2ad28d4eced4</x:v>
      </x:c>
      <x:c r="F1353" t="str">
        <x:v>https://www.webonary.org/marubo/gda9b3646-95b6-4b78-9df1-2ad28d4eced4/</x:v>
      </x:c>
      <x:c r="G1353" s="20" t="n">
        <x:v>46003.9349116088</x:v>
      </x:c>
    </x:row>
    <x:row r="1354">
      <x:c r="A1354" t="str">
        <x:v>mico leão dourado</x:v>
      </x:c>
      <x:c r="B1354" t="str">
        <x:v>chipĩwa</x:v>
      </x:c>
      <x:c r="C1354" t="str">
        <x:v>m</x:v>
      </x:c>
      <x:c r="D1354" t="str">
        <x:v>g7e460563-d346-40f0-927d-aa7d33212ca9</x:v>
      </x:c>
      <x:c r="E1354" t="str">
        <x:v>g50e22609-e0e1-409e-a415-d432700190fd</x:v>
      </x:c>
      <x:c r="F1354" t="str">
        <x:v>https://www.webonary.org/marubo/g50e22609-e0e1-409e-a415-d432700190fd/</x:v>
      </x:c>
      <x:c r="G1354" s="20" t="n">
        <x:v>46003.9349116088</x:v>
      </x:c>
    </x:row>
    <x:row r="1355">
      <x:c r="A1355" t="str">
        <x:v>mico leão dourado</x:v>
      </x:c>
      <x:c r="B1355" t="str">
        <x:v>1</x:v>
      </x:c>
      <x:c r="C1355" t="str">
        <x:v>m</x:v>
      </x:c>
      <x:c r="D1355" t="str">
        <x:v>g7e460563-d346-40f0-927d-aa7d33212ca9</x:v>
      </x:c>
      <x:c r="E1355" t="str">
        <x:v>g50e22609-e0e1-409e-a415-d432700190fd</x:v>
      </x:c>
      <x:c r="F1355" t="str">
        <x:v>https://www.webonary.org/marubo/g50e22609-e0e1-409e-a415-d432700190fd/</x:v>
      </x:c>
      <x:c r="G1355" s="20" t="n">
        <x:v>46003.9349116088</x:v>
      </x:c>
    </x:row>
    <x:row r="1356">
      <x:c r="A1356" t="str">
        <x:v>milho</x:v>
      </x:c>
      <x:c r="B1356" t="str">
        <x:v>sheki</x:v>
      </x:c>
      <x:c r="C1356" t="str">
        <x:v>m</x:v>
      </x:c>
      <x:c r="D1356" t="str">
        <x:v>g84fc0237-c77f-45de-898c-a85b961d5502</x:v>
      </x:c>
      <x:c r="E1356" t="str">
        <x:v>gd7b4737d-72c2-4fb2-9041-5745df057f63</x:v>
      </x:c>
      <x:c r="F1356" t="str">
        <x:v>https://www.webonary.org/marubo/gd7b4737d-72c2-4fb2-9041-5745df057f63/</x:v>
      </x:c>
      <x:c r="G1356" s="20" t="n">
        <x:v>46003.9349116088</x:v>
      </x:c>
    </x:row>
    <x:row r="1357">
      <x:c r="A1357" t="str">
        <x:v>milho da cidade</x:v>
      </x:c>
      <x:c r="B1357" t="str">
        <x:v>tokosheki</x:v>
      </x:c>
      <x:c r="C1357" t="str">
        <x:v>m</x:v>
      </x:c>
      <x:c r="D1357" t="str">
        <x:v>g19f93517-4192-4e31-b821-d76a091a8299</x:v>
      </x:c>
      <x:c r="E1357" t="str">
        <x:v>g5381e3ac-a066-4093-833c-825d5136a95c</x:v>
      </x:c>
      <x:c r="F1357" t="str">
        <x:v>https://www.webonary.org/marubo/g5381e3ac-a066-4093-833c-825d5136a95c/</x:v>
      </x:c>
      <x:c r="G1357" s="20" t="n">
        <x:v>46003.9349116088</x:v>
      </x:c>
    </x:row>
    <x:row r="1358">
      <x:c r="A1358" t="str">
        <x:v>misturar</x:v>
      </x:c>
      <x:c r="B1358" t="str">
        <x:v>txẽwẽ́a</x:v>
      </x:c>
      <x:c r="C1358" t="str">
        <x:v>m</x:v>
      </x:c>
      <x:c r="D1358" t="str">
        <x:v>g2b652e5d-a211-4f8e-aac0-a8a4de90305e</x:v>
      </x:c>
      <x:c r="E1358" t="str">
        <x:v>g0b7d0216-4e92-4cfa-a916-3c1a9cd63602</x:v>
      </x:c>
      <x:c r="F1358" t="str">
        <x:v>https://www.webonary.org/marubo/g0b7d0216-4e92-4cfa-a916-3c1a9cd63602/</x:v>
      </x:c>
      <x:c r="G1358" s="20" t="n">
        <x:v>46003.9349116088</x:v>
      </x:c>
    </x:row>
    <x:row r="1359">
      <x:c r="A1359" t="str">
        <x:v>mixturar</x:v>
      </x:c>
      <x:c r="B1359" t="str">
        <x:v>õsía</x:v>
      </x:c>
      <x:c r="C1359" t="str">
        <x:v>m</x:v>
      </x:c>
      <x:c r="D1359" t="str">
        <x:v>gae6edcb4-0474-462e-b525-62d4406850b5</x:v>
      </x:c>
      <x:c r="E1359" t="str">
        <x:v>gcca84789-3b8b-4ffc-a216-72050e581876</x:v>
      </x:c>
      <x:c r="F1359" t="str">
        <x:v>https://www.webonary.org/marubo/gcca84789-3b8b-4ffc-a216-72050e581876/</x:v>
      </x:c>
      <x:c r="G1359" s="20" t="n">
        <x:v>46003.9349116088</x:v>
      </x:c>
    </x:row>
    <x:row r="1360">
      <x:c r="A1360" t="str">
        <x:v>mixturar</x:v>
      </x:c>
      <x:c r="B1360" t="str">
        <x:v>motsa</x:v>
      </x:c>
      <x:c r="C1360" t="str">
        <x:v>m</x:v>
      </x:c>
      <x:c r="D1360" t="str">
        <x:v>gae6edcb4-0474-462e-b525-62d4406850b5</x:v>
      </x:c>
      <x:c r="E1360" t="str">
        <x:v>g69cf726f-40d3-46b4-b9c4-f277619cbcd0</x:v>
      </x:c>
      <x:c r="F1360" t="str">
        <x:v>https://www.webonary.org/marubo/g69cf726f-40d3-46b4-b9c4-f277619cbcd0/</x:v>
      </x:c>
      <x:c r="G1360" s="20" t="n">
        <x:v>46003.9349116088</x:v>
      </x:c>
    </x:row>
    <x:row r="1361">
      <x:c r="A1361" t="str">
        <x:v>mochar</x:v>
      </x:c>
      <x:c r="B1361" t="str">
        <x:v>tsori ikí</x:v>
      </x:c>
      <x:c r="C1361" t="str">
        <x:v>m</x:v>
      </x:c>
      <x:c r="D1361" t="str">
        <x:v>gc671b946-e9b8-433f-9b21-219ff4fecf93</x:v>
      </x:c>
      <x:c r="E1361" t="str">
        <x:v>gae9b3496-7214-401e-8f37-cead1e28e334</x:v>
      </x:c>
      <x:c r="F1361" t="str">
        <x:v>https://www.webonary.org/marubo/gae9b3496-7214-401e-8f37-cead1e28e334/</x:v>
      </x:c>
      <x:c r="G1361" s="20" t="n">
        <x:v>46003.9349116088</x:v>
      </x:c>
    </x:row>
    <x:row r="1362">
      <x:c r="A1362" t="str">
        <x:v>mochar</x:v>
      </x:c>
      <x:c r="B1362" t="str">
        <x:v>tsoo aká</x:v>
      </x:c>
      <x:c r="C1362" t="str">
        <x:v>m</x:v>
      </x:c>
      <x:c r="D1362" t="str">
        <x:v>gc671b946-e9b8-433f-9b21-219ff4fecf93</x:v>
      </x:c>
      <x:c r="E1362" t="str">
        <x:v>gaf3fd3d7-f499-4a81-a2a0-a2b17ddebad5</x:v>
      </x:c>
      <x:c r="F1362" t="str">
        <x:v>https://www.webonary.org/marubo/gaf3fd3d7-f499-4a81-a2a0-a2b17ddebad5/</x:v>
      </x:c>
      <x:c r="G1362" s="20" t="n">
        <x:v>46003.9349116088</x:v>
      </x:c>
    </x:row>
    <x:row r="1363">
      <x:c r="A1363" t="str">
        <x:v>mochila trançada</x:v>
      </x:c>
      <x:c r="B1363" t="str">
        <x:v>tetõ</x:v>
      </x:c>
      <x:c r="C1363" t="str">
        <x:v>m</x:v>
      </x:c>
      <x:c r="D1363" t="str">
        <x:v>g665b280f-7394-4d75-af70-f2bc3d7fdfff</x:v>
      </x:c>
      <x:c r="E1363" t="str">
        <x:v>gd882833a-28a5-4e1b-98ef-f16550feb9c0</x:v>
      </x:c>
      <x:c r="F1363" t="str">
        <x:v>https://www.webonary.org/marubo/gd882833a-28a5-4e1b-98ef-f16550feb9c0/</x:v>
      </x:c>
      <x:c r="G1363" s="20" t="n">
        <x:v>46003.9349116088</x:v>
      </x:c>
    </x:row>
    <x:row r="1364">
      <x:c r="A1364" t="str">
        <x:v>MOD</x:v>
      </x:c>
      <x:c r="B1364" t="str">
        <x:v>-tsẽ</x:v>
      </x:c>
      <x:c r="C1364" t="str">
        <x:v>m</x:v>
      </x:c>
      <x:c r="D1364" t="str">
        <x:v>g9a743dbe-5e87-45a0-beb5-cd2ce785796a</x:v>
      </x:c>
      <x:c r="E1364" t="str">
        <x:v>g62243ea1-fbd7-4009-b35f-684ae33b474a</x:v>
      </x:c>
      <x:c r="F1364" t="str">
        <x:v>https://www.webonary.org/marubo/g62243ea1-fbd7-4009-b35f-684ae33b474a/</x:v>
      </x:c>
      <x:c r="G1364" s="20" t="n">
        <x:v>46003.9349116088</x:v>
      </x:c>
    </x:row>
    <x:row r="1365">
      <x:c r="A1365" t="str">
        <x:v>modal</x:v>
      </x:c>
      <x:c r="B1365" t="str">
        <x:v>-kɨnkẽa</x:v>
      </x:c>
      <x:c r="C1365" t="str">
        <x:v>m</x:v>
      </x:c>
      <x:c r="D1365" t="str">
        <x:v>gec19809a-dbe3-4574-a6c1-96bc44ffdc72</x:v>
      </x:c>
      <x:c r="E1365" t="str">
        <x:v>ga701bfcb-31aa-4dda-aafc-5bd7f579f740</x:v>
      </x:c>
      <x:c r="F1365" t="str">
        <x:v>https://www.webonary.org/marubo/ga701bfcb-31aa-4dda-aafc-5bd7f579f740/</x:v>
      </x:c>
      <x:c r="G1365" s="20" t="n">
        <x:v>46003.9349116088</x:v>
      </x:c>
    </x:row>
    <x:row r="1366">
      <x:c r="A1366" t="str">
        <x:v>moela</x:v>
      </x:c>
      <x:c r="B1366" t="str">
        <x:v>txitá</x:v>
      </x:c>
      <x:c r="C1366" t="str">
        <x:v>m</x:v>
      </x:c>
      <x:c r="D1366" t="str">
        <x:v>ge8a26156-b6c7-4423-82fe-7c57e0cd3319</x:v>
      </x:c>
      <x:c r="E1366" t="str">
        <x:v>gfd80bb77-696a-421d-ae67-86c7c8a1b5b6</x:v>
      </x:c>
      <x:c r="F1366" t="str">
        <x:v>https://www.webonary.org/marubo/gfd80bb77-696a-421d-ae67-86c7c8a1b5b6/</x:v>
      </x:c>
      <x:c r="G1366" s="20" t="n">
        <x:v>46003.9349116088</x:v>
      </x:c>
    </x:row>
    <x:row r="1367">
      <x:c r="A1367" t="str">
        <x:v>moela</x:v>
      </x:c>
      <x:c r="B1367" t="str">
        <x:v>1</x:v>
      </x:c>
      <x:c r="C1367" t="str">
        <x:v>m</x:v>
      </x:c>
      <x:c r="D1367" t="str">
        <x:v>ge8a26156-b6c7-4423-82fe-7c57e0cd3319</x:v>
      </x:c>
      <x:c r="E1367" t="str">
        <x:v>gfd80bb77-696a-421d-ae67-86c7c8a1b5b6</x:v>
      </x:c>
      <x:c r="F1367" t="str">
        <x:v>https://www.webonary.org/marubo/gfd80bb77-696a-421d-ae67-86c7c8a1b5b6/</x:v>
      </x:c>
      <x:c r="G1367" s="20" t="n">
        <x:v>46003.9349116088</x:v>
      </x:c>
    </x:row>
    <x:row r="1368">
      <x:c r="A1368" t="str">
        <x:v>moer</x:v>
      </x:c>
      <x:c r="B1368" t="str">
        <x:v>renea</x:v>
      </x:c>
      <x:c r="C1368" t="str">
        <x:v>m</x:v>
      </x:c>
      <x:c r="D1368" t="str">
        <x:v>gcdd34073-bf47-4696-97f1-68574f6ef225</x:v>
      </x:c>
      <x:c r="E1368" t="str">
        <x:v>gbc8ce428-44ab-4bdd-b6a2-2c2314294264</x:v>
      </x:c>
      <x:c r="F1368" t="str">
        <x:v>https://www.webonary.org/marubo/gbc8ce428-44ab-4bdd-b6a2-2c2314294264/</x:v>
      </x:c>
      <x:c r="G1368" s="20" t="n">
        <x:v>46003.9349116088</x:v>
      </x:c>
    </x:row>
    <x:row r="1369">
      <x:c r="A1369" t="str">
        <x:v>molhado</x:v>
      </x:c>
      <x:c r="B1369" t="str">
        <x:v>txokoa</x:v>
      </x:c>
      <x:c r="C1369" t="str">
        <x:v>m</x:v>
      </x:c>
      <x:c r="D1369" t="str">
        <x:v>g6a7cce5c-7bb7-42cf-b287-ee34d4d41798</x:v>
      </x:c>
      <x:c r="E1369" t="str">
        <x:v>g4cd6a867-2503-44df-accd-56b23a08aecf</x:v>
      </x:c>
      <x:c r="F1369" t="str">
        <x:v>https://www.webonary.org/marubo/g4cd6a867-2503-44df-accd-56b23a08aecf/</x:v>
      </x:c>
      <x:c r="G1369" s="20" t="n">
        <x:v>46003.9349116088</x:v>
      </x:c>
    </x:row>
    <x:row r="1370">
      <x:c r="A1370" t="str">
        <x:v>molhado</x:v>
      </x:c>
      <x:c r="B1370" t="str">
        <x:v>metxáka</x:v>
      </x:c>
      <x:c r="C1370" t="str">
        <x:v>m</x:v>
      </x:c>
      <x:c r="D1370" t="str">
        <x:v>g6a7cce5c-7bb7-42cf-b287-ee34d4d41798</x:v>
      </x:c>
      <x:c r="E1370" t="str">
        <x:v>g1af3afdf-4840-4df1-befc-27dd4cc1881d</x:v>
      </x:c>
      <x:c r="F1370" t="str">
        <x:v>https://www.webonary.org/marubo/g1af3afdf-4840-4df1-befc-27dd4cc1881d/</x:v>
      </x:c>
      <x:c r="G1370" s="20" t="n">
        <x:v>46003.9349116088</x:v>
      </x:c>
    </x:row>
    <x:row r="1371">
      <x:c r="A1371" t="str">
        <x:v>moquear</x:v>
      </x:c>
      <x:c r="B1371" t="str">
        <x:v>txochi aká</x:v>
      </x:c>
      <x:c r="C1371" t="str">
        <x:v>m</x:v>
      </x:c>
      <x:c r="D1371" t="str">
        <x:v>ge719b869-a6be-4a21-be7a-864fe8a898ef</x:v>
      </x:c>
      <x:c r="E1371" t="str">
        <x:v>g6fbebbd5-c334-4ba9-b323-578e6a9c2c7d</x:v>
      </x:c>
      <x:c r="F1371" t="str">
        <x:v>https://www.webonary.org/marubo/g6fbebbd5-c334-4ba9-b323-578e6a9c2c7d/</x:v>
      </x:c>
      <x:c r="G1371" s="20" t="n">
        <x:v>46003.9349116088</x:v>
      </x:c>
    </x:row>
    <x:row r="1372">
      <x:c r="A1372" t="str">
        <x:v>moquear pupunha</x:v>
      </x:c>
      <x:c r="B1372" t="str">
        <x:v>wanĩ koro aká</x:v>
      </x:c>
      <x:c r="C1372" t="str">
        <x:v>m</x:v>
      </x:c>
      <x:c r="D1372" t="str">
        <x:v>gbcff2fb4-19e1-4338-b32d-02de0e27d2f7</x:v>
      </x:c>
      <x:c r="E1372" t="str">
        <x:v>g79f892cb-e301-4f03-b21e-4f3a117ccfc2</x:v>
      </x:c>
      <x:c r="F1372" t="str">
        <x:v>https://www.webonary.org/marubo/g79f892cb-e301-4f03-b21e-4f3a117ccfc2/</x:v>
      </x:c>
      <x:c r="G1372" s="20" t="n">
        <x:v>46003.9349116088</x:v>
      </x:c>
    </x:row>
    <x:row r="1373">
      <x:c r="A1373" t="str">
        <x:v>morcego</x:v>
      </x:c>
      <x:c r="B1373" t="str">
        <x:v>kãchi</x:v>
      </x:c>
      <x:c r="C1373" t="str">
        <x:v>m</x:v>
      </x:c>
      <x:c r="D1373" t="str">
        <x:v>gafded1f6-248a-468e-b349-bddd1c554409</x:v>
      </x:c>
      <x:c r="E1373" t="str">
        <x:v>g67f98100-783c-45c8-9859-8f08482b40e6</x:v>
      </x:c>
      <x:c r="F1373" t="str">
        <x:v>https://www.webonary.org/marubo/g67f98100-783c-45c8-9859-8f08482b40e6/</x:v>
      </x:c>
      <x:c r="G1373" s="20" t="n">
        <x:v>46003.9349116088</x:v>
      </x:c>
    </x:row>
    <x:row r="1374">
      <x:c r="A1374" t="str">
        <x:v>morder</x:v>
      </x:c>
      <x:c r="B1374" t="str">
        <x:v>nacha</x:v>
      </x:c>
      <x:c r="C1374" t="str">
        <x:v>m</x:v>
      </x:c>
      <x:c r="D1374" t="str">
        <x:v>g118314d8-854b-4932-9484-c51da244ea44</x:v>
      </x:c>
      <x:c r="E1374" t="str">
        <x:v>gd7f52020-06a0-4fc5-97e2-2d43059609e4</x:v>
      </x:c>
      <x:c r="F1374" t="str">
        <x:v>https://www.webonary.org/marubo/gd7f52020-06a0-4fc5-97e2-2d43059609e4/</x:v>
      </x:c>
      <x:c r="G1374" s="20" t="n">
        <x:v>46003.9349116088</x:v>
      </x:c>
    </x:row>
    <x:row r="1375">
      <x:c r="A1375" t="str">
        <x:v>morna</x:v>
      </x:c>
      <x:c r="B1375" t="str">
        <x:v>kãshãka</x:v>
      </x:c>
      <x:c r="C1375" t="str">
        <x:v>m</x:v>
      </x:c>
      <x:c r="D1375" t="str">
        <x:v>g5e435f5f-eb85-4bce-a0a0-cb69e93f61ad</x:v>
      </x:c>
      <x:c r="E1375" t="str">
        <x:v>g3c6ba849-0a98-4893-8959-c1faf428af46</x:v>
      </x:c>
      <x:c r="F1375" t="str">
        <x:v>https://www.webonary.org/marubo/g3c6ba849-0a98-4893-8959-c1faf428af46/</x:v>
      </x:c>
      <x:c r="G1375" s="20" t="n">
        <x:v>46003.9349116088</x:v>
      </x:c>
    </x:row>
    <x:row r="1376">
      <x:c r="A1376" t="str">
        <x:v>morrer</x:v>
      </x:c>
      <x:c r="B1376" t="str">
        <x:v>vopia</x:v>
      </x:c>
      <x:c r="C1376" t="str">
        <x:v>m</x:v>
      </x:c>
      <x:c r="D1376" t="str">
        <x:v>g15912d3d-1eab-48a9-bb71-edb4b57955f9</x:v>
      </x:c>
      <x:c r="E1376" t="str">
        <x:v>gd32a3ec5-cdd5-456f-bff0-a9feea027814</x:v>
      </x:c>
      <x:c r="F1376" t="str">
        <x:v>https://www.webonary.org/marubo/gd32a3ec5-cdd5-456f-bff0-a9feea027814/</x:v>
      </x:c>
      <x:c r="G1376" s="20" t="n">
        <x:v>46003.9349116088</x:v>
      </x:c>
    </x:row>
    <x:row r="1377">
      <x:c r="A1377" t="str">
        <x:v>morrer</x:v>
      </x:c>
      <x:c r="B1377" t="str">
        <x:v>yama</x:v>
      </x:c>
      <x:c r="C1377" t="str">
        <x:v>m</x:v>
      </x:c>
      <x:c r="D1377" t="str">
        <x:v>g15912d3d-1eab-48a9-bb71-edb4b57955f9</x:v>
      </x:c>
      <x:c r="E1377" t="str">
        <x:v>gd0edb3ae-bf7d-47d2-8269-33676fd03d89</x:v>
      </x:c>
      <x:c r="F1377" t="str">
        <x:v>https://www.webonary.org/marubo/gd0edb3ae-bf7d-47d2-8269-33676fd03d89/</x:v>
      </x:c>
      <x:c r="G1377" s="20" t="n">
        <x:v>46003.9349116088</x:v>
      </x:c>
    </x:row>
    <x:row r="1378">
      <x:c r="A1378" t="str">
        <x:v>morrer</x:v>
      </x:c>
      <x:c r="B1378" t="str">
        <x:v>ori aká</x:v>
      </x:c>
      <x:c r="C1378" t="str">
        <x:v>m</x:v>
      </x:c>
      <x:c r="D1378" t="str">
        <x:v>g15912d3d-1eab-48a9-bb71-edb4b57955f9</x:v>
      </x:c>
      <x:c r="E1378" t="str">
        <x:v>g906b2456-be39-438f-84ce-9ef84daeaa10</x:v>
      </x:c>
      <x:c r="F1378" t="str">
        <x:v>https://www.webonary.org/marubo/g906b2456-be39-438f-84ce-9ef84daeaa10/</x:v>
      </x:c>
      <x:c r="G1378" s="20" t="n">
        <x:v>46003.9349116088</x:v>
      </x:c>
    </x:row>
    <x:row r="1379">
      <x:c r="A1379" t="str">
        <x:v>morro</x:v>
      </x:c>
      <x:c r="B1379" t="str">
        <x:v>mato</x:v>
      </x:c>
      <x:c r="C1379" t="str">
        <x:v>m</x:v>
      </x:c>
      <x:c r="D1379" t="str">
        <x:v>gb51bd444-2e22-44e5-bb4a-d21861488641</x:v>
      </x:c>
      <x:c r="E1379" t="str">
        <x:v>g08fc8381-0718-4591-a41a-9a9c22a3ceed</x:v>
      </x:c>
      <x:c r="F1379" t="str">
        <x:v>https://www.webonary.org/marubo/g08fc8381-0718-4591-a41a-9a9c22a3ceed/</x:v>
      </x:c>
      <x:c r="G1379" s="20" t="n">
        <x:v>46003.9349116088</x:v>
      </x:c>
    </x:row>
    <x:row r="1380">
      <x:c r="A1380" t="str">
        <x:v>morro</x:v>
      </x:c>
      <x:c r="B1380" t="str">
        <x:v>1</x:v>
      </x:c>
      <x:c r="C1380" t="str">
        <x:v>m</x:v>
      </x:c>
      <x:c r="D1380" t="str">
        <x:v>gb51bd444-2e22-44e5-bb4a-d21861488641</x:v>
      </x:c>
      <x:c r="E1380" t="str">
        <x:v>g08fc8381-0718-4591-a41a-9a9c22a3ceed</x:v>
      </x:c>
      <x:c r="F1380" t="str">
        <x:v>https://www.webonary.org/marubo/g08fc8381-0718-4591-a41a-9a9c22a3ceed/</x:v>
      </x:c>
      <x:c r="G1380" s="20" t="n">
        <x:v>46003.9349116088</x:v>
      </x:c>
    </x:row>
    <x:row r="1381">
      <x:c r="A1381" t="str">
        <x:v>morto</x:v>
      </x:c>
      <x:c r="B1381" t="str">
        <x:v>veiya</x:v>
      </x:c>
      <x:c r="C1381" t="str">
        <x:v>m</x:v>
      </x:c>
      <x:c r="D1381" t="str">
        <x:v>g1a56bb19-720f-4120-9e1d-75c4c8ae985d</x:v>
      </x:c>
      <x:c r="E1381" t="str">
        <x:v>gb50d99bd-cd51-483c-bfb4-6ad52edf71b2</x:v>
      </x:c>
      <x:c r="F1381" t="str">
        <x:v>https://www.webonary.org/marubo/gb50d99bd-cd51-483c-bfb4-6ad52edf71b2/</x:v>
      </x:c>
      <x:c r="G1381" s="20" t="n">
        <x:v>46003.9349116088</x:v>
      </x:c>
    </x:row>
    <x:row r="1382">
      <x:c r="A1382" t="str">
        <x:v>mosca</x:v>
      </x:c>
      <x:c r="B1382" t="str">
        <x:v>nape</x:v>
      </x:c>
      <x:c r="C1382" t="str">
        <x:v>m</x:v>
      </x:c>
      <x:c r="D1382" t="str">
        <x:v>gc164612f-9493-457f-ba7e-be0ffe52dbfe</x:v>
      </x:c>
      <x:c r="E1382" t="str">
        <x:v>g767447c3-559f-4696-9d6f-0d2b7f6fb4a5</x:v>
      </x:c>
      <x:c r="F1382" t="str">
        <x:v>https://www.webonary.org/marubo/g767447c3-559f-4696-9d6f-0d2b7f6fb4a5/</x:v>
      </x:c>
      <x:c r="G1382" s="20" t="n">
        <x:v>46003.9349116088</x:v>
      </x:c>
    </x:row>
    <x:row r="1383">
      <x:c r="A1383" t="str">
        <x:v>mosca verde</x:v>
      </x:c>
      <x:c r="B1383" t="str">
        <x:v>yawã nape</x:v>
      </x:c>
      <x:c r="C1383" t="str">
        <x:v>m</x:v>
      </x:c>
      <x:c r="D1383" t="str">
        <x:v>g46316135-ae9a-4b2b-9bff-9e24e373c72d</x:v>
      </x:c>
      <x:c r="E1383" t="str">
        <x:v>g126abb94-2492-4902-980f-540205df8a03</x:v>
      </x:c>
      <x:c r="F1383" t="str">
        <x:v>https://www.webonary.org/marubo/g126abb94-2492-4902-980f-540205df8a03/</x:v>
      </x:c>
      <x:c r="G1383" s="20" t="n">
        <x:v>46003.9349116088</x:v>
      </x:c>
    </x:row>
    <x:row r="1384">
      <x:c r="A1384" t="str">
        <x:v>mosquiteiro</x:v>
      </x:c>
      <x:c r="B1384" t="str">
        <x:v>pãteti</x:v>
      </x:c>
      <x:c r="C1384" t="str">
        <x:v>m</x:v>
      </x:c>
      <x:c r="D1384" t="str">
        <x:v>g32df7ced-9233-4e40-be16-b8020e769fe2</x:v>
      </x:c>
      <x:c r="E1384" t="str">
        <x:v>g121ea82a-07d6-4e0d-8b78-97c3f2fdb7ea</x:v>
      </x:c>
      <x:c r="F1384" t="str">
        <x:v>https://www.webonary.org/marubo/g121ea82a-07d6-4e0d-8b78-97c3f2fdb7ea/</x:v>
      </x:c>
      <x:c r="G1384" s="20" t="n">
        <x:v>46003.9349116088</x:v>
      </x:c>
    </x:row>
    <x:row r="1385">
      <x:c r="A1385" t="str">
        <x:v>mosquito</x:v>
      </x:c>
      <x:c r="B1385" t="str">
        <x:v>vii</x:v>
      </x:c>
      <x:c r="C1385" t="str">
        <x:v>m</x:v>
      </x:c>
      <x:c r="D1385" t="str">
        <x:v>gedbf835f-f875-4b61-a898-cc204c7eb885</x:v>
      </x:c>
      <x:c r="E1385" t="str">
        <x:v>g6021dde6-eddb-4dc8-8012-66983d28432d</x:v>
      </x:c>
      <x:c r="F1385" t="str">
        <x:v>https://www.webonary.org/marubo/g6021dde6-eddb-4dc8-8012-66983d28432d/</x:v>
      </x:c>
      <x:c r="G1385" s="20" t="n">
        <x:v>46003.9349116088</x:v>
      </x:c>
    </x:row>
    <x:row r="1386">
      <x:c r="A1386" t="str">
        <x:v>mostrar</x:v>
      </x:c>
      <x:c r="B1386" t="str">
        <x:v>yoia</x:v>
      </x:c>
      <x:c r="C1386" t="str">
        <x:v>m</x:v>
      </x:c>
      <x:c r="D1386" t="str">
        <x:v>g9abc7e0b-8850-4871-9327-8da77505fd7e</x:v>
      </x:c>
      <x:c r="E1386" t="str">
        <x:v>g252c3f38-86a7-47df-bd5a-6d95dc188d1f</x:v>
      </x:c>
      <x:c r="F1386" t="str">
        <x:v>https://www.webonary.org/marubo/g252c3f38-86a7-47df-bd5a-6d95dc188d1f/</x:v>
      </x:c>
      <x:c r="G1386" s="20" t="n">
        <x:v>46003.9349116088</x:v>
      </x:c>
    </x:row>
    <x:row r="1387">
      <x:c r="A1387" t="str">
        <x:v>mostrar</x:v>
      </x:c>
      <x:c r="B1387" t="str">
        <x:v>2</x:v>
      </x:c>
      <x:c r="C1387" t="str">
        <x:v>m</x:v>
      </x:c>
      <x:c r="D1387" t="str">
        <x:v>g9abc7e0b-8850-4871-9327-8da77505fd7e</x:v>
      </x:c>
      <x:c r="E1387" t="str">
        <x:v>g252c3f38-86a7-47df-bd5a-6d95dc188d1f</x:v>
      </x:c>
      <x:c r="F1387" t="str">
        <x:v>https://www.webonary.org/marubo/g252c3f38-86a7-47df-bd5a-6d95dc188d1f/</x:v>
      </x:c>
      <x:c r="G1387" s="20" t="n">
        <x:v>46003.9349116088</x:v>
      </x:c>
    </x:row>
    <x:row r="1388">
      <x:c r="A1388" t="str">
        <x:v>motor</x:v>
      </x:c>
      <x:c r="B1388" t="str">
        <x:v>motore</x:v>
      </x:c>
      <x:c r="C1388" t="str">
        <x:v>m</x:v>
      </x:c>
      <x:c r="D1388" t="str">
        <x:v>gbd225450-edf0-4b0c-9506-50d334d550ef</x:v>
      </x:c>
      <x:c r="E1388" t="str">
        <x:v>ge2d99041-5c44-47a1-8823-5e97bceea981</x:v>
      </x:c>
      <x:c r="F1388" t="str">
        <x:v>https://www.webonary.org/marubo/ge2d99041-5c44-47a1-8823-5e97bceea981/</x:v>
      </x:c>
      <x:c r="G1388" s="20" t="n">
        <x:v>46003.9349116088</x:v>
      </x:c>
    </x:row>
    <x:row r="1389">
      <x:c r="A1389" t="str">
        <x:v>motoserra</x:v>
      </x:c>
      <x:c r="B1389" t="str">
        <x:v>iwi nisati</x:v>
      </x:c>
      <x:c r="C1389" t="str">
        <x:v>m</x:v>
      </x:c>
      <x:c r="D1389" t="str">
        <x:v>g5ced3b38-016e-4696-8258-2d942bd2a360</x:v>
      </x:c>
      <x:c r="E1389" t="str">
        <x:v>ge4a11f2a-dec3-47c3-b9d6-d5e32f7b6df4</x:v>
      </x:c>
      <x:c r="F1389" t="str">
        <x:v>https://www.webonary.org/marubo/ge4a11f2a-dec3-47c3-b9d6-d5e32f7b6df4/</x:v>
      </x:c>
      <x:c r="G1389" s="20" t="n">
        <x:v>46003.9349116088</x:v>
      </x:c>
    </x:row>
    <x:row r="1390">
      <x:c r="A1390" t="str">
        <x:v>mover</x:v>
      </x:c>
      <x:c r="B1390" t="str">
        <x:v>moía</x:v>
      </x:c>
      <x:c r="C1390" t="str">
        <x:v>m</x:v>
      </x:c>
      <x:c r="D1390" t="str">
        <x:v>g95bc846b-6fa7-4168-862c-1a67dcdd036b</x:v>
      </x:c>
      <x:c r="E1390" t="str">
        <x:v>gebe82140-a639-4db2-9cca-af1afd1cc550</x:v>
      </x:c>
      <x:c r="F1390" t="str">
        <x:v>https://www.webonary.org/marubo/gebe82140-a639-4db2-9cca-af1afd1cc550/</x:v>
      </x:c>
      <x:c r="G1390" s="20" t="n">
        <x:v>46003.9349116088</x:v>
      </x:c>
    </x:row>
    <x:row r="1391">
      <x:c r="A1391" t="str">
        <x:v>mover-se</x:v>
      </x:c>
      <x:c r="B1391" t="str">
        <x:v>kapóa</x:v>
      </x:c>
      <x:c r="C1391" t="str">
        <x:v>m</x:v>
      </x:c>
      <x:c r="D1391" t="str">
        <x:v>gf039a929-6a54-45b5-88c3-cc49ae4ed118</x:v>
      </x:c>
      <x:c r="E1391" t="str">
        <x:v>g0c203fe2-3702-43e1-9f50-2e98501dbea1</x:v>
      </x:c>
      <x:c r="F1391" t="str">
        <x:v>https://www.webonary.org/marubo/g0c203fe2-3702-43e1-9f50-2e98501dbea1/</x:v>
      </x:c>
      <x:c r="G1391" s="20" t="n">
        <x:v>46003.9349116088</x:v>
      </x:c>
    </x:row>
    <x:row r="1392">
      <x:c r="A1392" t="str">
        <x:v>movimento circular de água ou ar</x:v>
      </x:c>
      <x:c r="B1392" t="str">
        <x:v>chĩkir ikí</x:v>
      </x:c>
      <x:c r="C1392" t="str">
        <x:v>m</x:v>
      </x:c>
      <x:c r="D1392" t="str">
        <x:v>g682cb586-9b29-471c-b292-427cc9101d1a</x:v>
      </x:c>
      <x:c r="E1392" t="str">
        <x:v>g57056a5f-0af9-4bfb-8b7e-9bdcfffae8bd</x:v>
      </x:c>
      <x:c r="F1392" t="str">
        <x:v>https://www.webonary.org/marubo/g57056a5f-0af9-4bfb-8b7e-9bdcfffae8bd/</x:v>
      </x:c>
      <x:c r="G1392" s="20" t="n">
        <x:v>46003.9349116088</x:v>
      </x:c>
    </x:row>
    <x:row r="1393">
      <x:c r="A1393" t="str">
        <x:v>movimento da água</x:v>
      </x:c>
      <x:c r="B1393" t="str">
        <x:v>tsĩki ikí</x:v>
      </x:c>
      <x:c r="C1393" t="str">
        <x:v>m</x:v>
      </x:c>
      <x:c r="D1393" t="str">
        <x:v>g6b1e12e4-ec4e-45e6-93dd-ed9440865936</x:v>
      </x:c>
      <x:c r="E1393" t="str">
        <x:v>gd4a1b3dd-2c50-43fd-9d52-4331332c6fa2</x:v>
      </x:c>
      <x:c r="F1393" t="str">
        <x:v>https://www.webonary.org/marubo/gd4a1b3dd-2c50-43fd-9d52-4331332c6fa2/</x:v>
      </x:c>
      <x:c r="G1393" s="20" t="n">
        <x:v>46003.9349116088</x:v>
      </x:c>
    </x:row>
    <x:row r="1394">
      <x:c r="A1394" t="str">
        <x:v>muco</x:v>
      </x:c>
      <x:c r="B1394" t="str">
        <x:v>recho</x:v>
      </x:c>
      <x:c r="C1394" t="str">
        <x:v>m</x:v>
      </x:c>
      <x:c r="D1394" t="str">
        <x:v>gca98c4ba-8375-498b-b97b-059139fc90cc</x:v>
      </x:c>
      <x:c r="E1394" t="str">
        <x:v>g416fb653-8022-4617-9051-136d92409fd3</x:v>
      </x:c>
      <x:c r="F1394" t="str">
        <x:v>https://www.webonary.org/marubo/g416fb653-8022-4617-9051-136d92409fd3/</x:v>
      </x:c>
      <x:c r="G1394" s="20" t="n">
        <x:v>46003.9349116088</x:v>
      </x:c>
    </x:row>
    <x:row r="1395">
      <x:c r="A1395" t="str">
        <x:v>mucuim</x:v>
      </x:c>
      <x:c r="B1395" t="str">
        <x:v>õpóshe</x:v>
      </x:c>
      <x:c r="C1395" t="str">
        <x:v>m</x:v>
      </x:c>
      <x:c r="D1395" t="str">
        <x:v>gc86e34ec-5b58-44fd-9310-586b18171728</x:v>
      </x:c>
      <x:c r="E1395" t="str">
        <x:v>g45169678-1951-47c0-aa21-1e723a038416</x:v>
      </x:c>
      <x:c r="F1395" t="str">
        <x:v>https://www.webonary.org/marubo/g45169678-1951-47c0-aa21-1e723a038416/</x:v>
      </x:c>
      <x:c r="G1395" s="20" t="n">
        <x:v>46003.9349116088</x:v>
      </x:c>
    </x:row>
    <x:row r="1396">
      <x:c r="A1396" t="str">
        <x:v>mudar</x:v>
      </x:c>
      <x:c r="B1396" t="str">
        <x:v>tekia</x:v>
      </x:c>
      <x:c r="C1396" t="str">
        <x:v>m</x:v>
      </x:c>
      <x:c r="D1396" t="str">
        <x:v>g2187e0d5-50c5-4102-b160-340ddc4eae45</x:v>
      </x:c>
      <x:c r="E1396" t="str">
        <x:v>g0f5d6621-a4aa-4813-951a-32f0dd8e8985</x:v>
      </x:c>
      <x:c r="F1396" t="str">
        <x:v>https://www.webonary.org/marubo/g0f5d6621-a4aa-4813-951a-32f0dd8e8985/</x:v>
      </x:c>
      <x:c r="G1396" s="20" t="n">
        <x:v>46003.9349116088</x:v>
      </x:c>
    </x:row>
    <x:row r="1397">
      <x:c r="A1397" t="str">
        <x:v>mudar de lado ao lado</x:v>
      </x:c>
      <x:c r="B1397" t="str">
        <x:v>võkéa</x:v>
      </x:c>
      <x:c r="C1397" t="str">
        <x:v>m</x:v>
      </x:c>
      <x:c r="D1397" t="str">
        <x:v>g59884692-8d3c-4cfe-894e-1131a11da9c6</x:v>
      </x:c>
      <x:c r="E1397" t="str">
        <x:v>g683e6710-3763-4989-afe3-32de948e222e</x:v>
      </x:c>
      <x:c r="F1397" t="str">
        <x:v>https://www.webonary.org/marubo/g683e6710-3763-4989-afe3-32de948e222e/</x:v>
      </x:c>
      <x:c r="G1397" s="20" t="n">
        <x:v>46003.9349116088</x:v>
      </x:c>
    </x:row>
    <x:row r="1398">
      <x:c r="A1398" t="str">
        <x:v>mudar de lado na rede</x:v>
      </x:c>
      <x:c r="B1398" t="str">
        <x:v>voso aká</x:v>
      </x:c>
      <x:c r="C1398" t="str">
        <x:v>m</x:v>
      </x:c>
      <x:c r="D1398" t="str">
        <x:v>g3f27aa4e-1dba-49e3-aaa2-929466a43b9b</x:v>
      </x:c>
      <x:c r="E1398" t="str">
        <x:v>g1d65f51d-456f-4bd4-b96e-1138c60d4074</x:v>
      </x:c>
      <x:c r="F1398" t="str">
        <x:v>https://www.webonary.org/marubo/g1d65f51d-456f-4bd4-b96e-1138c60d4074/</x:v>
      </x:c>
      <x:c r="G1398" s="20" t="n">
        <x:v>46003.934918645835</x:v>
      </x:c>
    </x:row>
    <x:row r="1399">
      <x:c r="A1399" t="str">
        <x:v>mudo</x:v>
      </x:c>
      <x:c r="B1399" t="str">
        <x:v>vanasma</x:v>
      </x:c>
      <x:c r="C1399" t="str">
        <x:v>m</x:v>
      </x:c>
      <x:c r="D1399" t="str">
        <x:v>g2b4d60d7-0156-4190-83fd-82864598a361</x:v>
      </x:c>
      <x:c r="E1399" t="str">
        <x:v>g5a631aa9-c2b9-4cb3-8925-bf0615fe6a9e</x:v>
      </x:c>
      <x:c r="F1399" t="str">
        <x:v>https://www.webonary.org/marubo/g5a631aa9-c2b9-4cb3-8925-bf0615fe6a9e/</x:v>
      </x:c>
      <x:c r="G1399" s="20" t="n">
        <x:v>46003.934918645835</x:v>
      </x:c>
    </x:row>
    <x:row r="1400">
      <x:c r="A1400" t="str">
        <x:v>mudo</x:v>
      </x:c>
      <x:c r="B1400" t="str">
        <x:v>ãcho</x:v>
      </x:c>
      <x:c r="C1400" t="str">
        <x:v>m</x:v>
      </x:c>
      <x:c r="D1400" t="str">
        <x:v>g2b4d60d7-0156-4190-83fd-82864598a361</x:v>
      </x:c>
      <x:c r="E1400" t="str">
        <x:v>g1a68a48f-20a5-4b3c-9fc7-ad593c903b0a</x:v>
      </x:c>
      <x:c r="F1400" t="str">
        <x:v>https://www.webonary.org/marubo/g1a68a48f-20a5-4b3c-9fc7-ad593c903b0a/</x:v>
      </x:c>
      <x:c r="G1400" s="20" t="n">
        <x:v>46003.934918645835</x:v>
      </x:c>
    </x:row>
    <x:row r="1401">
      <x:c r="A1401" t="str">
        <x:v>mudo</x:v>
      </x:c>
      <x:c r="B1401" t="str">
        <x:v>1</x:v>
      </x:c>
      <x:c r="C1401" t="str">
        <x:v>m</x:v>
      </x:c>
      <x:c r="D1401" t="str">
        <x:v>g2b4d60d7-0156-4190-83fd-82864598a361</x:v>
      </x:c>
      <x:c r="E1401" t="str">
        <x:v>g1a68a48f-20a5-4b3c-9fc7-ad593c903b0a</x:v>
      </x:c>
      <x:c r="F1401" t="str">
        <x:v>https://www.webonary.org/marubo/g1a68a48f-20a5-4b3c-9fc7-ad593c903b0a/</x:v>
      </x:c>
      <x:c r="G1401" s="20" t="n">
        <x:v>46003.934918645835</x:v>
      </x:c>
    </x:row>
    <x:row r="1402">
      <x:c r="A1402" t="str">
        <x:v>muito</x:v>
      </x:c>
      <x:c r="B1402" t="str">
        <x:v>westíma</x:v>
      </x:c>
      <x:c r="C1402" t="str">
        <x:v>m</x:v>
      </x:c>
      <x:c r="D1402" t="str">
        <x:v>g2bbcc5ee-5841-42a8-8fe3-55893e9d2e24</x:v>
      </x:c>
      <x:c r="E1402" t="str">
        <x:v>gb7390d76-7ece-4343-8e80-fd1e4558b858</x:v>
      </x:c>
      <x:c r="F1402" t="str">
        <x:v>https://www.webonary.org/marubo/gb7390d76-7ece-4343-8e80-fd1e4558b858/</x:v>
      </x:c>
      <x:c r="G1402" s="20" t="n">
        <x:v>46003.934918645835</x:v>
      </x:c>
    </x:row>
    <x:row r="1403">
      <x:c r="A1403" t="str">
        <x:v>muito</x:v>
      </x:c>
      <x:c r="B1403" t="str">
        <x:v>ãtsaka</x:v>
      </x:c>
      <x:c r="C1403" t="str">
        <x:v>m</x:v>
      </x:c>
      <x:c r="D1403" t="str">
        <x:v>g2bbcc5ee-5841-42a8-8fe3-55893e9d2e24</x:v>
      </x:c>
      <x:c r="E1403" t="str">
        <x:v>gd46de641-c93c-4b72-bfc3-0fefaf2c1623</x:v>
      </x:c>
      <x:c r="F1403" t="str">
        <x:v>https://www.webonary.org/marubo/gd46de641-c93c-4b72-bfc3-0fefaf2c1623/</x:v>
      </x:c>
      <x:c r="G1403" s="20" t="n">
        <x:v>46003.934918645835</x:v>
      </x:c>
    </x:row>
    <x:row r="1404">
      <x:c r="A1404" t="str">
        <x:v>muito</x:v>
      </x:c>
      <x:c r="B1404" t="str">
        <x:v>otika</x:v>
      </x:c>
      <x:c r="C1404" t="str">
        <x:v>m</x:v>
      </x:c>
      <x:c r="D1404" t="str">
        <x:v>g2bbcc5ee-5841-42a8-8fe3-55893e9d2e24</x:v>
      </x:c>
      <x:c r="E1404" t="str">
        <x:v>g5e07bb1d-7348-49e7-92b6-3a6b81e03da3</x:v>
      </x:c>
      <x:c r="F1404" t="str">
        <x:v>https://www.webonary.org/marubo/g5e07bb1d-7348-49e7-92b6-3a6b81e03da3/</x:v>
      </x:c>
      <x:c r="G1404" s="20" t="n">
        <x:v>46003.934918645835</x:v>
      </x:c>
    </x:row>
    <x:row r="1405">
      <x:c r="A1405" t="str">
        <x:v>muito (febre e chuva)</x:v>
      </x:c>
      <x:c r="B1405" t="str">
        <x:v>aĩka</x:v>
      </x:c>
      <x:c r="C1405" t="str">
        <x:v>m</x:v>
      </x:c>
      <x:c r="D1405" t="str">
        <x:v>g1ae83d58-dfe9-4b73-96a1-edf4254f29f4</x:v>
      </x:c>
      <x:c r="E1405" t="str">
        <x:v>g1722aa7c-6a68-4d27-be41-edc5770f8037</x:v>
      </x:c>
      <x:c r="F1405" t="str">
        <x:v>https://www.webonary.org/marubo/g1722aa7c-6a68-4d27-be41-edc5770f8037/</x:v>
      </x:c>
      <x:c r="G1405" s="20" t="n">
        <x:v>46003.934918645835</x:v>
      </x:c>
    </x:row>
    <x:row r="1406">
      <x:c r="A1406" t="str">
        <x:v>muito alto</x:v>
      </x:c>
      <x:c r="B1406" t="str">
        <x:v>tokopáma</x:v>
      </x:c>
      <x:c r="C1406" t="str">
        <x:v>m</x:v>
      </x:c>
      <x:c r="D1406" t="str">
        <x:v>g730ba646-2bce-4892-ae44-88c419404ba0</x:v>
      </x:c>
      <x:c r="E1406" t="str">
        <x:v>g7adb1e37-a238-46b2-844d-f3486e76627b</x:v>
      </x:c>
      <x:c r="F1406" t="str">
        <x:v>https://www.webonary.org/marubo/g7adb1e37-a238-46b2-844d-f3486e76627b/</x:v>
      </x:c>
      <x:c r="G1406" s="20" t="n">
        <x:v>46003.934918645835</x:v>
      </x:c>
    </x:row>
    <x:row r="1407">
      <x:c r="A1407" t="str">
        <x:v>muitos</x:v>
      </x:c>
      <x:c r="B1407" t="str">
        <x:v>ranóma</x:v>
      </x:c>
      <x:c r="C1407" t="str">
        <x:v>m</x:v>
      </x:c>
      <x:c r="D1407" t="str">
        <x:v>g63d36059-cd71-4199-ae16-e2f5e49fbee2</x:v>
      </x:c>
      <x:c r="E1407" t="str">
        <x:v>g16294e05-6bfe-4cbc-a057-27587a8b4f60</x:v>
      </x:c>
      <x:c r="F1407" t="str">
        <x:v>https://www.webonary.org/marubo/g16294e05-6bfe-4cbc-a057-27587a8b4f60/</x:v>
      </x:c>
      <x:c r="G1407" s="20" t="n">
        <x:v>46003.934918645835</x:v>
      </x:c>
    </x:row>
    <x:row r="1408">
      <x:c r="A1408" t="str">
        <x:v>mulher</x:v>
      </x:c>
      <x:c r="B1408" t="str">
        <x:v>aĩvo</x:v>
      </x:c>
      <x:c r="C1408" t="str">
        <x:v>m</x:v>
      </x:c>
      <x:c r="D1408" t="str">
        <x:v>gbc9dd6f8-5eb6-4420-8878-b4a51eaf5efe</x:v>
      </x:c>
      <x:c r="E1408" t="str">
        <x:v>g1a253e58-870d-4baf-903d-ed388b523977</x:v>
      </x:c>
      <x:c r="F1408" t="str">
        <x:v>https://www.webonary.org/marubo/g1a253e58-870d-4baf-903d-ed388b523977/</x:v>
      </x:c>
      <x:c r="G1408" s="20" t="n">
        <x:v>46003.934918645835</x:v>
      </x:c>
    </x:row>
    <x:row r="1409">
      <x:c r="A1409" t="str">
        <x:v>mulher (termo de respeito)</x:v>
      </x:c>
      <x:c r="B1409" t="str">
        <x:v>shavo</x:v>
      </x:c>
      <x:c r="C1409" t="str">
        <x:v>m</x:v>
      </x:c>
      <x:c r="D1409" t="str">
        <x:v>g88ca5c78-e38a-48aa-ae27-42078f35f94c</x:v>
      </x:c>
      <x:c r="E1409" t="str">
        <x:v>ga139e645-e990-4676-b591-1116f655f284</x:v>
      </x:c>
      <x:c r="F1409" t="str">
        <x:v>https://www.webonary.org/marubo/ga139e645-e990-4676-b591-1116f655f284/</x:v>
      </x:c>
      <x:c r="G1409" s="20" t="n">
        <x:v>46003.934918645835</x:v>
      </x:c>
    </x:row>
    <x:row r="1410">
      <x:c r="A1410" t="str">
        <x:v>mulher abandonado</x:v>
      </x:c>
      <x:c r="B1410" t="str">
        <x:v>meshe ikí</x:v>
      </x:c>
      <x:c r="C1410" t="str">
        <x:v>m</x:v>
      </x:c>
      <x:c r="D1410" t="str">
        <x:v>g21de204c-c62a-406d-aa9b-b2422924d499</x:v>
      </x:c>
      <x:c r="E1410" t="str">
        <x:v>g5a1954f9-612a-434f-9895-4ce5b3484a72</x:v>
      </x:c>
      <x:c r="F1410" t="str">
        <x:v>https://www.webonary.org/marubo/g5a1954f9-612a-434f-9895-4ce5b3484a72/</x:v>
      </x:c>
      <x:c r="G1410" s="20" t="n">
        <x:v>46003.934918645835</x:v>
      </x:c>
    </x:row>
    <x:row r="1411">
      <x:c r="A1411" t="str">
        <x:v>mulher gestante</x:v>
      </x:c>
      <x:c r="B1411" t="str">
        <x:v>postoka</x:v>
      </x:c>
      <x:c r="C1411" t="str">
        <x:v>m</x:v>
      </x:c>
      <x:c r="D1411" t="str">
        <x:v>geb1c1d6e-0c06-4a4e-87ef-a1d379376db4</x:v>
      </x:c>
      <x:c r="E1411" t="str">
        <x:v>g997776a9-3993-4787-bbfc-ea1b494be5c3</x:v>
      </x:c>
      <x:c r="F1411" t="str">
        <x:v>https://www.webonary.org/marubo/g997776a9-3993-4787-bbfc-ea1b494be5c3/</x:v>
      </x:c>
      <x:c r="G1411" s="20" t="n">
        <x:v>46003.934918645835</x:v>
      </x:c>
    </x:row>
    <x:row r="1412">
      <x:c r="A1412" t="str">
        <x:v>mulher melhor de todoas</x:v>
      </x:c>
      <x:c r="B1412" t="str">
        <x:v>shavo koĩ</x:v>
      </x:c>
      <x:c r="C1412" t="str">
        <x:v>m</x:v>
      </x:c>
      <x:c r="D1412" t="str">
        <x:v>gea8c6365-2300-4a46-ac36-a237eff101f0</x:v>
      </x:c>
      <x:c r="E1412" t="str">
        <x:v>g5587485b-b314-4abe-94d5-a91ec004dc8e</x:v>
      </x:c>
      <x:c r="F1412" t="str">
        <x:v>https://www.webonary.org/marubo/g5587485b-b314-4abe-94d5-a91ec004dc8e/</x:v>
      </x:c>
      <x:c r="G1412" s="20" t="n">
        <x:v>46003.934918645835</x:v>
      </x:c>
    </x:row>
    <x:row r="1413">
      <x:c r="A1413" t="str">
        <x:v>murmuru (palmeira)</x:v>
      </x:c>
      <x:c r="B1413" t="str">
        <x:v>pĩtxo</x:v>
      </x:c>
      <x:c r="C1413" t="str">
        <x:v>m</x:v>
      </x:c>
      <x:c r="D1413" t="str">
        <x:v>g211bf618-653b-4a39-af12-6003a6dd280e</x:v>
      </x:c>
      <x:c r="E1413" t="str">
        <x:v>g60d2078f-2d35-416c-8559-d5676faca919</x:v>
      </x:c>
      <x:c r="F1413" t="str">
        <x:v>https://www.webonary.org/marubo/g60d2078f-2d35-416c-8559-d5676faca919/</x:v>
      </x:c>
      <x:c r="G1413" s="20" t="n">
        <x:v>46003.934918645835</x:v>
      </x:c>
    </x:row>
    <x:row r="1414">
      <x:c r="A1414" t="str">
        <x:v>mutuka</x:v>
      </x:c>
      <x:c r="B1414" t="str">
        <x:v>txepe</x:v>
      </x:c>
      <x:c r="C1414" t="str">
        <x:v>m</x:v>
      </x:c>
      <x:c r="D1414" t="str">
        <x:v>g82308da7-c96c-410d-be57-d92c4813300a</x:v>
      </x:c>
      <x:c r="E1414" t="str">
        <x:v>g610fdb51-d30d-41ed-8b37-b83d0c47eb8a</x:v>
      </x:c>
      <x:c r="F1414" t="str">
        <x:v>https://www.webonary.org/marubo/g610fdb51-d30d-41ed-8b37-b83d0c47eb8a/</x:v>
      </x:c>
      <x:c r="G1414" s="20" t="n">
        <x:v>46003.934918645835</x:v>
      </x:c>
    </x:row>
    <x:row r="1415">
      <x:c r="A1415" t="str">
        <x:v>mutum</x:v>
      </x:c>
      <x:c r="B1415" t="str">
        <x:v>ãsĩ</x:v>
      </x:c>
      <x:c r="C1415" t="str">
        <x:v>m</x:v>
      </x:c>
      <x:c r="D1415" t="str">
        <x:v>gb36e2b75-1c50-4857-8c25-0bb08aab3a75</x:v>
      </x:c>
      <x:c r="E1415" t="str">
        <x:v>g3a822e8c-34d9-48e1-aa0f-ecf9efa16730</x:v>
      </x:c>
      <x:c r="F1415" t="str">
        <x:v>https://www.webonary.org/marubo/g3a822e8c-34d9-48e1-aa0f-ecf9efa16730/</x:v>
      </x:c>
      <x:c r="G1415" s="20" t="n">
        <x:v>46003.934918645835</x:v>
      </x:c>
    </x:row>
    <x:row r="1416">
      <x:c r="A1416" t="str">
        <x:v>mutum</x:v>
      </x:c>
      <x:c r="B1416" t="str">
        <x:v>1</x:v>
      </x:c>
      <x:c r="C1416" t="str">
        <x:v>m</x:v>
      </x:c>
      <x:c r="D1416" t="str">
        <x:v>gb36e2b75-1c50-4857-8c25-0bb08aab3a75</x:v>
      </x:c>
      <x:c r="E1416" t="str">
        <x:v>g3a822e8c-34d9-48e1-aa0f-ecf9efa16730</x:v>
      </x:c>
      <x:c r="F1416" t="str">
        <x:v>https://www.webonary.org/marubo/g3a822e8c-34d9-48e1-aa0f-ecf9efa16730/</x:v>
      </x:c>
      <x:c r="G1416" s="20" t="n">
        <x:v>46003.934918645835</x:v>
      </x:c>
    </x:row>
    <x:row r="1417">
      <x:c r="A1417" t="str">
        <x:v>nadar</x:v>
      </x:c>
      <x:c r="B1417" t="str">
        <x:v>nona kawã</x:v>
      </x:c>
      <x:c r="C1417" t="str">
        <x:v>n</x:v>
      </x:c>
      <x:c r="D1417" t="str">
        <x:v>g7e6be46c-cc0e-4a47-b227-8bad44703f4f</x:v>
      </x:c>
      <x:c r="E1417" t="str">
        <x:v>g4c1a770f-7702-4baf-8763-9305e86d1904</x:v>
      </x:c>
      <x:c r="F1417" t="str">
        <x:v>https://www.webonary.org/marubo/g4c1a770f-7702-4baf-8763-9305e86d1904/</x:v>
      </x:c>
      <x:c r="G1417" s="20" t="n">
        <x:v>46003.934918645835</x:v>
      </x:c>
    </x:row>
    <x:row r="1418">
      <x:c r="A1418" t="str">
        <x:v>não ascende</x:v>
      </x:c>
      <x:c r="B1418" t="str">
        <x:v>veko aká</x:v>
      </x:c>
      <x:c r="C1418" t="str">
        <x:v>n</x:v>
      </x:c>
      <x:c r="D1418" t="str">
        <x:v>g634135db-1eec-4215-9687-7519bc900e08</x:v>
      </x:c>
      <x:c r="E1418" t="str">
        <x:v>g3815f3ff-47e6-4801-ae2a-9d428640a580</x:v>
      </x:c>
      <x:c r="F1418" t="str">
        <x:v>https://www.webonary.org/marubo/g3815f3ff-47e6-4801-ae2a-9d428640a580/</x:v>
      </x:c>
      <x:c r="G1418" s="20" t="n">
        <x:v>46003.934918645835</x:v>
      </x:c>
    </x:row>
    <x:row r="1419">
      <x:c r="A1419" t="str">
        <x:v>não educado</x:v>
      </x:c>
      <x:c r="B1419" t="str">
        <x:v>vechtika</x:v>
      </x:c>
      <x:c r="C1419" t="str">
        <x:v>n</x:v>
      </x:c>
      <x:c r="D1419" t="str">
        <x:v>gd34a678b-f5c1-4c3c-b1c8-72e94bb2ac5b</x:v>
      </x:c>
      <x:c r="E1419" t="str">
        <x:v>g500839e7-ce04-481e-9aa4-aaf11735798d</x:v>
      </x:c>
      <x:c r="F1419" t="str">
        <x:v>https://www.webonary.org/marubo/g500839e7-ce04-481e-9aa4-aaf11735798d/</x:v>
      </x:c>
      <x:c r="G1419" s="20" t="n">
        <x:v>46003.934918645835</x:v>
      </x:c>
    </x:row>
    <x:row r="1420">
      <x:c r="A1420" t="str">
        <x:v>não estava quando alguem te esperava</x:v>
      </x:c>
      <x:c r="B1420" t="str">
        <x:v>manoa</x:v>
      </x:c>
      <x:c r="C1420" t="str">
        <x:v>n</x:v>
      </x:c>
      <x:c r="D1420" t="str">
        <x:v>g2da6833c-8fe4-401b-a652-f68842644fb1</x:v>
      </x:c>
      <x:c r="E1420" t="str">
        <x:v>g84861268-c0bf-4018-a51d-e5627f93e6f6</x:v>
      </x:c>
      <x:c r="F1420" t="str">
        <x:v>https://www.webonary.org/marubo/g84861268-c0bf-4018-a51d-e5627f93e6f6/</x:v>
      </x:c>
      <x:c r="G1420" s="20" t="n">
        <x:v>46003.934918645835</x:v>
      </x:c>
    </x:row>
    <x:row r="1421">
      <x:c r="A1421" t="str">
        <x:v>não fazer</x:v>
      </x:c>
      <x:c r="B1421" t="str">
        <x:v>iamá</x:v>
      </x:c>
      <x:c r="C1421" t="str">
        <x:v>n</x:v>
      </x:c>
      <x:c r="D1421" t="str">
        <x:v>g57a92aa0-62b0-4a82-80af-265bd2e66e0d</x:v>
      </x:c>
      <x:c r="E1421" t="str">
        <x:v>g57c596ea-103c-4298-9030-3f64c056cb98</x:v>
      </x:c>
      <x:c r="F1421" t="str">
        <x:v>https://www.webonary.org/marubo/g57c596ea-103c-4298-9030-3f64c056cb98/</x:v>
      </x:c>
      <x:c r="G1421" s="20" t="n">
        <x:v>46003.934918645835</x:v>
      </x:c>
    </x:row>
    <x:row r="1422">
      <x:c r="A1422" t="str">
        <x:v>não pegar peixe com waka ou timbó</x:v>
      </x:c>
      <x:c r="B1422" t="str">
        <x:v>veshnã</x:v>
      </x:c>
      <x:c r="C1422" t="str">
        <x:v>n</x:v>
      </x:c>
      <x:c r="D1422" t="str">
        <x:v>g25676617-c9b3-46a4-92bf-b480572d3258</x:v>
      </x:c>
      <x:c r="E1422" t="str">
        <x:v>gc3a8aa9d-a5e9-4c56-9fb6-d62a714ac41b</x:v>
      </x:c>
      <x:c r="F1422" t="str">
        <x:v>https://www.webonary.org/marubo/gc3a8aa9d-a5e9-4c56-9fb6-d62a714ac41b/</x:v>
      </x:c>
      <x:c r="G1422" s="20" t="n">
        <x:v>46003.934918645835</x:v>
      </x:c>
    </x:row>
    <x:row r="1423">
      <x:c r="A1423" t="str">
        <x:v>não penteado</x:v>
      </x:c>
      <x:c r="B1423" t="str">
        <x:v>nashnaka</x:v>
      </x:c>
      <x:c r="C1423" t="str">
        <x:v>n</x:v>
      </x:c>
      <x:c r="D1423" t="str">
        <x:v>gf7e1f111-8fa2-41ef-9ed7-267c6d03a1db</x:v>
      </x:c>
      <x:c r="E1423" t="str">
        <x:v>gd47c631e-9051-4bc4-b2e3-6dcc25121174</x:v>
      </x:c>
      <x:c r="F1423" t="str">
        <x:v>https://www.webonary.org/marubo/gd47c631e-9051-4bc4-b2e3-6dcc25121174/</x:v>
      </x:c>
      <x:c r="G1423" s="20" t="n">
        <x:v>46003.934918645835</x:v>
      </x:c>
    </x:row>
    <x:row r="1424">
      <x:c r="A1424" t="str">
        <x:v>não pontudo (embotado rombudo)</x:v>
      </x:c>
      <x:c r="B1424" t="str">
        <x:v>restoka</x:v>
      </x:c>
      <x:c r="C1424" t="str">
        <x:v>n</x:v>
      </x:c>
      <x:c r="D1424" t="str">
        <x:v>g51c19938-1bbb-4401-b41b-672189e276a0</x:v>
      </x:c>
      <x:c r="E1424" t="str">
        <x:v>gcad172f3-a947-433a-8d43-16fe3cd241dd</x:v>
      </x:c>
      <x:c r="F1424" t="str">
        <x:v>https://www.webonary.org/marubo/gcad172f3-a947-433a-8d43-16fe3cd241dd/</x:v>
      </x:c>
      <x:c r="G1424" s="20" t="n">
        <x:v>46003.934918645835</x:v>
      </x:c>
    </x:row>
    <x:row r="1425">
      <x:c r="A1425" t="str">
        <x:v>não saber</x:v>
      </x:c>
      <x:c r="B1425" t="str">
        <x:v>txaaka(se)</x:v>
      </x:c>
      <x:c r="C1425" t="str">
        <x:v>n</x:v>
      </x:c>
      <x:c r="D1425" t="str">
        <x:v>gc5559be0-05af-4861-9baa-5551c9a88f10</x:v>
      </x:c>
      <x:c r="E1425" t="str">
        <x:v>gcb5bd45e-c9f0-4c7a-b7c6-9829df0cf1d9</x:v>
      </x:c>
      <x:c r="F1425" t="str">
        <x:v>https://www.webonary.org/marubo/gcb5bd45e-c9f0-4c7a-b7c6-9829df0cf1d9/</x:v>
      </x:c>
      <x:c r="G1425" s="20" t="n">
        <x:v>46003.934918645835</x:v>
      </x:c>
    </x:row>
    <x:row r="1426">
      <x:c r="A1426" t="str">
        <x:v>não sei</x:v>
      </x:c>
      <x:c r="B1426" t="str">
        <x:v>aavĩ</x:v>
      </x:c>
      <x:c r="C1426" t="str">
        <x:v>n</x:v>
      </x:c>
      <x:c r="D1426" t="str">
        <x:v>gb6478fe8-5978-4e8b-ba80-a229f76aebe5</x:v>
      </x:c>
      <x:c r="E1426" t="str">
        <x:v>g238259e8-b4b0-4468-9dc4-9a48eaebff4e</x:v>
      </x:c>
      <x:c r="F1426" t="str">
        <x:v>https://www.webonary.org/marubo/g238259e8-b4b0-4468-9dc4-9a48eaebff4e/</x:v>
      </x:c>
      <x:c r="G1426" s="20" t="n">
        <x:v>46003.934918645835</x:v>
      </x:c>
    </x:row>
    <x:row r="1427">
      <x:c r="A1427" t="str">
        <x:v>naquela época</x:v>
      </x:c>
      <x:c r="B1427" t="str">
        <x:v>-tiã</x:v>
      </x:c>
      <x:c r="C1427" t="str">
        <x:v>n</x:v>
      </x:c>
      <x:c r="D1427" t="str">
        <x:v>g4404d96d-7f11-4e31-b466-f8df7c62406b</x:v>
      </x:c>
      <x:c r="E1427" t="str">
        <x:v>g3d30c8d2-f45e-4cb9-bde4-72538a7f53f8</x:v>
      </x:c>
      <x:c r="F1427" t="str">
        <x:v>https://www.webonary.org/marubo/g3d30c8d2-f45e-4cb9-bde4-72538a7f53f8/</x:v>
      </x:c>
      <x:c r="G1427" s="20" t="n">
        <x:v>46003.934918645835</x:v>
      </x:c>
    </x:row>
    <x:row r="1428">
      <x:c r="A1428" t="str">
        <x:v>naquele tempo</x:v>
      </x:c>
      <x:c r="B1428" t="str">
        <x:v>-tĩa</x:v>
      </x:c>
      <x:c r="C1428" t="str">
        <x:v>n</x:v>
      </x:c>
      <x:c r="D1428" t="str">
        <x:v>gad8fe8fd-3131-4983-83b0-9360081b2615</x:v>
      </x:c>
      <x:c r="E1428" t="str">
        <x:v>g9b84409b-924c-45e8-bfce-9e2d23d6ff3d</x:v>
      </x:c>
      <x:c r="F1428" t="str">
        <x:v>https://www.webonary.org/marubo/g9b84409b-924c-45e8-bfce-9e2d23d6ff3d/</x:v>
      </x:c>
      <x:c r="G1428" s="20" t="n">
        <x:v>46003.934918645835</x:v>
      </x:c>
    </x:row>
    <x:row r="1429">
      <x:c r="A1429" t="str">
        <x:v>NAR</x:v>
      </x:c>
      <x:c r="B1429" t="str">
        <x:v>-kĩ</x:v>
      </x:c>
      <x:c r="C1429" t="str">
        <x:v>n</x:v>
      </x:c>
      <x:c r="D1429" t="str">
        <x:v>g845e3f35-2510-4d55-96c9-51de017de6d9</x:v>
      </x:c>
      <x:c r="E1429" t="str">
        <x:v>gfda70524-2c7d-415d-8aad-481fb1ef157c</x:v>
      </x:c>
      <x:c r="F1429" t="str">
        <x:v>https://www.webonary.org/marubo/gfda70524-2c7d-415d-8aad-481fb1ef157c/</x:v>
      </x:c>
      <x:c r="G1429" s="20" t="n">
        <x:v>46003.934918645835</x:v>
      </x:c>
    </x:row>
    <x:row r="1430">
      <x:c r="A1430" t="str">
        <x:v>NAR</x:v>
      </x:c>
      <x:c r="B1430" t="str">
        <x:v>2</x:v>
      </x:c>
      <x:c r="C1430" t="str">
        <x:v>n</x:v>
      </x:c>
      <x:c r="D1430" t="str">
        <x:v>g845e3f35-2510-4d55-96c9-51de017de6d9</x:v>
      </x:c>
      <x:c r="E1430" t="str">
        <x:v>gfda70524-2c7d-415d-8aad-481fb1ef157c</x:v>
      </x:c>
      <x:c r="F1430" t="str">
        <x:v>https://www.webonary.org/marubo/gfda70524-2c7d-415d-8aad-481fb1ef157c/</x:v>
      </x:c>
      <x:c r="G1430" s="20" t="n">
        <x:v>46003.934918645835</x:v>
      </x:c>
    </x:row>
    <x:row r="1431">
      <x:c r="A1431" t="str">
        <x:v>NAR</x:v>
      </x:c>
      <x:c r="B1431" t="str">
        <x:v>-ki</x:v>
      </x:c>
      <x:c r="C1431" t="str">
        <x:v>n</x:v>
      </x:c>
      <x:c r="D1431" t="str">
        <x:v>g845e3f35-2510-4d55-96c9-51de017de6d9</x:v>
      </x:c>
      <x:c r="E1431" t="str">
        <x:v>gbf16ce88-41ee-4141-b40b-9b0680589e78</x:v>
      </x:c>
      <x:c r="F1431" t="str">
        <x:v>https://www.webonary.org/marubo/gbf16ce88-41ee-4141-b40b-9b0680589e78/</x:v>
      </x:c>
      <x:c r="G1431" s="20" t="n">
        <x:v>46003.934918645835</x:v>
      </x:c>
    </x:row>
    <x:row r="1432">
      <x:c r="A1432" t="str">
        <x:v>NAR</x:v>
      </x:c>
      <x:c r="B1432" t="str">
        <x:v>2</x:v>
      </x:c>
      <x:c r="C1432" t="str">
        <x:v>n</x:v>
      </x:c>
      <x:c r="D1432" t="str">
        <x:v>g845e3f35-2510-4d55-96c9-51de017de6d9</x:v>
      </x:c>
      <x:c r="E1432" t="str">
        <x:v>gbf16ce88-41ee-4141-b40b-9b0680589e78</x:v>
      </x:c>
      <x:c r="F1432" t="str">
        <x:v>https://www.webonary.org/marubo/gbf16ce88-41ee-4141-b40b-9b0680589e78/</x:v>
      </x:c>
      <x:c r="G1432" s="20" t="n">
        <x:v>46003.934918645835</x:v>
      </x:c>
    </x:row>
    <x:row r="1433">
      <x:c r="A1433" t="str">
        <x:v>NAR</x:v>
      </x:c>
      <x:c r="B1433" t="str">
        <x:v>-í</x:v>
      </x:c>
      <x:c r="C1433" t="str">
        <x:v>n</x:v>
      </x:c>
      <x:c r="D1433" t="str">
        <x:v>g845e3f35-2510-4d55-96c9-51de017de6d9</x:v>
      </x:c>
      <x:c r="E1433" t="str">
        <x:v>g47635018-ee0f-4dc7-b4e3-d2dd2db95aa7</x:v>
      </x:c>
      <x:c r="F1433" t="str">
        <x:v>https://www.webonary.org/marubo/g47635018-ee0f-4dc7-b4e3-d2dd2db95aa7/</x:v>
      </x:c>
      <x:c r="G1433" s="20" t="n">
        <x:v>46003.934918645835</x:v>
      </x:c>
    </x:row>
    <x:row r="1434">
      <x:c r="A1434" t="str">
        <x:v>NAR</x:v>
      </x:c>
      <x:c r="B1434" t="str">
        <x:v>2</x:v>
      </x:c>
      <x:c r="C1434" t="str">
        <x:v>n</x:v>
      </x:c>
      <x:c r="D1434" t="str">
        <x:v>g845e3f35-2510-4d55-96c9-51de017de6d9</x:v>
      </x:c>
      <x:c r="E1434" t="str">
        <x:v>g47635018-ee0f-4dc7-b4e3-d2dd2db95aa7</x:v>
      </x:c>
      <x:c r="F1434" t="str">
        <x:v>https://www.webonary.org/marubo/g47635018-ee0f-4dc7-b4e3-d2dd2db95aa7/</x:v>
      </x:c>
      <x:c r="G1434" s="20" t="n">
        <x:v>46003.934918645835</x:v>
      </x:c>
    </x:row>
    <x:row r="1435">
      <x:c r="A1435" t="str">
        <x:v>NAR</x:v>
      </x:c>
      <x:c r="B1435" t="str">
        <x:v>-i</x:v>
      </x:c>
      <x:c r="C1435" t="str">
        <x:v>n</x:v>
      </x:c>
      <x:c r="D1435" t="str">
        <x:v>g845e3f35-2510-4d55-96c9-51de017de6d9</x:v>
      </x:c>
      <x:c r="E1435" t="str">
        <x:v>g34a9e07a-6b36-4a13-b7cd-a507807c1401</x:v>
      </x:c>
      <x:c r="F1435" t="str">
        <x:v>https://www.webonary.org/marubo/g34a9e07a-6b36-4a13-b7cd-a507807c1401/</x:v>
      </x:c>
      <x:c r="G1435" s="20" t="n">
        <x:v>46003.934918645835</x:v>
      </x:c>
    </x:row>
    <x:row r="1436">
      <x:c r="A1436" t="str">
        <x:v>NAR</x:v>
      </x:c>
      <x:c r="B1436" t="str">
        <x:v>2</x:v>
      </x:c>
      <x:c r="C1436" t="str">
        <x:v>n</x:v>
      </x:c>
      <x:c r="D1436" t="str">
        <x:v>g845e3f35-2510-4d55-96c9-51de017de6d9</x:v>
      </x:c>
      <x:c r="E1436" t="str">
        <x:v>g34a9e07a-6b36-4a13-b7cd-a507807c1401</x:v>
      </x:c>
      <x:c r="F1436" t="str">
        <x:v>https://www.webonary.org/marubo/g34a9e07a-6b36-4a13-b7cd-a507807c1401/</x:v>
      </x:c>
      <x:c r="G1436" s="20" t="n">
        <x:v>46003.934918645835</x:v>
      </x:c>
    </x:row>
    <x:row r="1437">
      <x:c r="A1437" t="str">
        <x:v>nariz</x:v>
      </x:c>
      <x:c r="B1437" t="str">
        <x:v>rekĩ</x:v>
      </x:c>
      <x:c r="C1437" t="str">
        <x:v>n</x:v>
      </x:c>
      <x:c r="D1437" t="str">
        <x:v>gd7d9322e-3279-4675-bf3e-cde65457fcb6</x:v>
      </x:c>
      <x:c r="E1437" t="str">
        <x:v>g0b96784e-8603-4305-bebf-e49257c01e60</x:v>
      </x:c>
      <x:c r="F1437" t="str">
        <x:v>https://www.webonary.org/marubo/g0b96784e-8603-4305-bebf-e49257c01e60/</x:v>
      </x:c>
      <x:c r="G1437" s="20" t="n">
        <x:v>46003.934918645835</x:v>
      </x:c>
    </x:row>
    <x:row r="1438">
      <x:c r="A1438" t="str">
        <x:v>neblina</x:v>
      </x:c>
      <x:c r="B1438" t="str">
        <x:v>wichnã</x:v>
      </x:c>
      <x:c r="C1438" t="str">
        <x:v>n</x:v>
      </x:c>
      <x:c r="D1438" t="str">
        <x:v>ga372a8ab-c9bc-4785-8a8c-f244b50013bb</x:v>
      </x:c>
      <x:c r="E1438" t="str">
        <x:v>g33a08034-734c-4938-9928-48590336be6a</x:v>
      </x:c>
      <x:c r="F1438" t="str">
        <x:v>https://www.webonary.org/marubo/g33a08034-734c-4938-9928-48590336be6a/</x:v>
      </x:c>
      <x:c r="G1438" s="20" t="n">
        <x:v>46003.934918645835</x:v>
      </x:c>
    </x:row>
    <x:row r="1439">
      <x:c r="A1439" t="str">
        <x:v>NEG</x:v>
      </x:c>
      <x:c r="B1439" t="str">
        <x:v>-parotsõ</x:v>
      </x:c>
      <x:c r="C1439" t="str">
        <x:v>n</x:v>
      </x:c>
      <x:c r="D1439" t="str">
        <x:v>g7f01d382-79a8-41e1-9c30-6efc32d8bf5a</x:v>
      </x:c>
      <x:c r="E1439" t="str">
        <x:v>ge42d45ac-32b1-47be-825b-2ab382f4504b</x:v>
      </x:c>
      <x:c r="F1439" t="str">
        <x:v>https://www.webonary.org/marubo/ge42d45ac-32b1-47be-825b-2ab382f4504b/</x:v>
      </x:c>
      <x:c r="G1439" s="20" t="n">
        <x:v>46003.934918645835</x:v>
      </x:c>
    </x:row>
    <x:row r="1440">
      <x:c r="A1440" t="str">
        <x:v>NEG</x:v>
      </x:c>
      <x:c r="B1440" t="str">
        <x:f>"=ma"</x:f>
        <x:v>=ma</x:v>
      </x:c>
      <x:c r="C1440" t="str">
        <x:v>n</x:v>
      </x:c>
      <x:c r="D1440" t="str">
        <x:v>g7f01d382-79a8-41e1-9c30-6efc32d8bf5a</x:v>
      </x:c>
      <x:c r="E1440" t="str">
        <x:v>gd7cfd4f5-093c-4bc6-aa41-40d0d9cefffb</x:v>
      </x:c>
      <x:c r="F1440" t="str">
        <x:v>https://www.webonary.org/marubo/gd7cfd4f5-093c-4bc6-aa41-40d0d9cefffb/</x:v>
      </x:c>
      <x:c r="G1440" s="20" t="n">
        <x:v>46003.934918645835</x:v>
      </x:c>
    </x:row>
    <x:row r="1441">
      <x:c r="A1441" t="str">
        <x:v>NEG.ENF</x:v>
      </x:c>
      <x:c r="B1441" t="str">
        <x:v>-patsĩkĩ</x:v>
      </x:c>
      <x:c r="C1441" t="str">
        <x:v>n</x:v>
      </x:c>
      <x:c r="D1441" t="str">
        <x:v>gf700c53a-c704-4b42-91bf-6542f8acc3fe</x:v>
      </x:c>
      <x:c r="E1441" t="str">
        <x:v>g35cfb39f-0fb0-4d94-8083-4f3f1fa4fa5d</x:v>
      </x:c>
      <x:c r="F1441" t="str">
        <x:v>https://www.webonary.org/marubo/g35cfb39f-0fb0-4d94-8083-4f3f1fa4fa5d/</x:v>
      </x:c>
      <x:c r="G1441" s="20" t="n">
        <x:v>46003.934918645835</x:v>
      </x:c>
    </x:row>
    <x:row r="1442">
      <x:c r="A1442" t="str">
        <x:v>neto</x:v>
      </x:c>
      <x:c r="B1442" t="str">
        <x:v>shokó</x:v>
      </x:c>
      <x:c r="C1442" t="str">
        <x:v>n</x:v>
      </x:c>
      <x:c r="D1442" t="str">
        <x:v>g39aecbc9-6e1b-4a83-8564-00e415726c02</x:v>
      </x:c>
      <x:c r="E1442" t="str">
        <x:v>g770ff4f2-fb73-4c4c-94e2-e7d438991399</x:v>
      </x:c>
      <x:c r="F1442" t="str">
        <x:v>https://www.webonary.org/marubo/g770ff4f2-fb73-4c4c-94e2-e7d438991399/</x:v>
      </x:c>
      <x:c r="G1442" s="20" t="n">
        <x:v>46003.934918645835</x:v>
      </x:c>
    </x:row>
    <x:row r="1443">
      <x:c r="A1443" t="str">
        <x:v>neto</x:v>
      </x:c>
      <x:c r="B1443" t="str">
        <x:v>vava</x:v>
      </x:c>
      <x:c r="C1443" t="str">
        <x:v>n</x:v>
      </x:c>
      <x:c r="D1443" t="str">
        <x:v>g39aecbc9-6e1b-4a83-8564-00e415726c02</x:v>
      </x:c>
      <x:c r="E1443" t="str">
        <x:v>gdf835bce-012a-4440-a3a9-c6ae798c5a18</x:v>
      </x:c>
      <x:c r="F1443" t="str">
        <x:v>https://www.webonary.org/marubo/gdf835bce-012a-4440-a3a9-c6ae798c5a18/</x:v>
      </x:c>
      <x:c r="G1443" s="20" t="n">
        <x:v>46003.934918645835</x:v>
      </x:c>
    </x:row>
    <x:row r="1444">
      <x:c r="A1444" t="str">
        <x:v>neto macho</x:v>
      </x:c>
      <x:c r="B1444" t="str">
        <x:v>onivake</x:v>
      </x:c>
      <x:c r="C1444" t="str">
        <x:v>n</x:v>
      </x:c>
      <x:c r="D1444" t="str">
        <x:v>gca307e9c-cef4-49a0-a248-ba9191ada6a7</x:v>
      </x:c>
      <x:c r="E1444" t="str">
        <x:v>g1f75f17b-72b4-474e-aba6-3db9942dd558</x:v>
      </x:c>
      <x:c r="F1444" t="str">
        <x:v>https://www.webonary.org/marubo/g1f75f17b-72b4-474e-aba6-3db9942dd558/</x:v>
      </x:c>
      <x:c r="G1444" s="20" t="n">
        <x:v>46003.934918645835</x:v>
      </x:c>
    </x:row>
    <x:row r="1445">
      <x:c r="A1445" t="str">
        <x:v>ninho de pássaro</x:v>
      </x:c>
      <x:c r="B1445" t="str">
        <x:v>chaĩná</x:v>
      </x:c>
      <x:c r="C1445" t="str">
        <x:v>n</x:v>
      </x:c>
      <x:c r="D1445" t="str">
        <x:v>g9a365fde-0bb0-4da1-824f-025a250fe884</x:v>
      </x:c>
      <x:c r="E1445" t="str">
        <x:v>gb6724c8b-2cb9-46d3-951a-9e04a1da4191</x:v>
      </x:c>
      <x:c r="F1445" t="str">
        <x:v>https://www.webonary.org/marubo/gb6724c8b-2cb9-46d3-951a-9e04a1da4191/</x:v>
      </x:c>
      <x:c r="G1445" s="20" t="n">
        <x:v>46003.934918645835</x:v>
      </x:c>
    </x:row>
    <x:row r="1446">
      <x:c r="A1446" t="str">
        <x:v>NMLZ</x:v>
      </x:c>
      <x:c r="B1446" t="str">
        <x:v>-ya</x:v>
      </x:c>
      <x:c r="C1446" t="str">
        <x:v>n</x:v>
      </x:c>
      <x:c r="D1446" t="str">
        <x:v>gc1ecfe6d-e51b-49a3-bfcc-05bc792dd586</x:v>
      </x:c>
      <x:c r="E1446" t="str">
        <x:v>g2e2f0405-affe-4bb8-9750-62a3d074fccb</x:v>
      </x:c>
      <x:c r="F1446" t="str">
        <x:v>https://www.webonary.org/marubo/g2e2f0405-affe-4bb8-9750-62a3d074fccb/</x:v>
      </x:c>
      <x:c r="G1446" s="20" t="n">
        <x:v>46003.934918645835</x:v>
      </x:c>
    </x:row>
    <x:row r="1447">
      <x:c r="A1447" t="str">
        <x:v>NMLZ</x:v>
      </x:c>
      <x:c r="B1447" t="str">
        <x:v>1</x:v>
      </x:c>
      <x:c r="C1447" t="str">
        <x:v>n</x:v>
      </x:c>
      <x:c r="D1447" t="str">
        <x:v>gc1ecfe6d-e51b-49a3-bfcc-05bc792dd586</x:v>
      </x:c>
      <x:c r="E1447" t="str">
        <x:v>g2e2f0405-affe-4bb8-9750-62a3d074fccb</x:v>
      </x:c>
      <x:c r="F1447" t="str">
        <x:v>https://www.webonary.org/marubo/g2e2f0405-affe-4bb8-9750-62a3d074fccb/</x:v>
      </x:c>
      <x:c r="G1447" s="20" t="n">
        <x:v>46003.934918645835</x:v>
      </x:c>
    </x:row>
    <x:row r="1448">
      <x:c r="A1448" t="str">
        <x:v>NMLZ</x:v>
      </x:c>
      <x:c r="B1448" t="str">
        <x:v>-á</x:v>
      </x:c>
      <x:c r="C1448" t="str">
        <x:v>n</x:v>
      </x:c>
      <x:c r="D1448" t="str">
        <x:v>gc1ecfe6d-e51b-49a3-bfcc-05bc792dd586</x:v>
      </x:c>
      <x:c r="E1448" t="str">
        <x:v>g1f6008a2-a997-49de-85d2-294f4a3b452c</x:v>
      </x:c>
      <x:c r="F1448" t="str">
        <x:v>https://www.webonary.org/marubo/g1f6008a2-a997-49de-85d2-294f4a3b452c/</x:v>
      </x:c>
      <x:c r="G1448" s="20" t="n">
        <x:v>46003.934918645835</x:v>
      </x:c>
    </x:row>
    <x:row r="1449">
      <x:c r="A1449" t="str">
        <x:v>NMLZ</x:v>
      </x:c>
      <x:c r="B1449" t="str">
        <x:v>-a</x:v>
      </x:c>
      <x:c r="C1449" t="str">
        <x:v>n</x:v>
      </x:c>
      <x:c r="D1449" t="str">
        <x:v>gc1ecfe6d-e51b-49a3-bfcc-05bc792dd586</x:v>
      </x:c>
      <x:c r="E1449" t="str">
        <x:v>gc19ac425-516c-4912-aab7-035cbae73499</x:v>
      </x:c>
      <x:c r="F1449" t="str">
        <x:v>https://www.webonary.org/marubo/gc19ac425-516c-4912-aab7-035cbae73499/</x:v>
      </x:c>
      <x:c r="G1449" s="20" t="n">
        <x:v>46003.934918645835</x:v>
      </x:c>
    </x:row>
    <x:row r="1450">
      <x:c r="A1450" t="str">
        <x:v>NMLZ</x:v>
      </x:c>
      <x:c r="B1450" t="str">
        <x:v>2</x:v>
      </x:c>
      <x:c r="C1450" t="str">
        <x:v>n</x:v>
      </x:c>
      <x:c r="D1450" t="str">
        <x:v>gc1ecfe6d-e51b-49a3-bfcc-05bc792dd586</x:v>
      </x:c>
      <x:c r="E1450" t="str">
        <x:v>gc19ac425-516c-4912-aab7-035cbae73499</x:v>
      </x:c>
      <x:c r="F1450" t="str">
        <x:v>https://www.webonary.org/marubo/gc19ac425-516c-4912-aab7-035cbae73499/</x:v>
      </x:c>
      <x:c r="G1450" s="20" t="n">
        <x:v>46003.934918645835</x:v>
      </x:c>
    </x:row>
    <x:row r="1451">
      <x:c r="A1451" t="str">
        <x:v>nó de árvore</x:v>
      </x:c>
      <x:c r="B1451" t="str">
        <x:v>txãpi</x:v>
      </x:c>
      <x:c r="C1451" t="str">
        <x:v>n</x:v>
      </x:c>
      <x:c r="D1451" t="str">
        <x:v>g46c33c97-eba4-4e20-8432-f056bba4a2c6</x:v>
      </x:c>
      <x:c r="E1451" t="str">
        <x:v>g8627c558-1eab-40a9-bdb3-ee12317ea6e3</x:v>
      </x:c>
      <x:c r="F1451" t="str">
        <x:v>https://www.webonary.org/marubo/g8627c558-1eab-40a9-bdb3-ee12317ea6e3/</x:v>
      </x:c>
      <x:c r="G1451" s="20" t="n">
        <x:v>46003.934918645835</x:v>
      </x:c>
    </x:row>
    <x:row r="1452">
      <x:c r="A1452" t="str">
        <x:v>no lado</x:v>
      </x:c>
      <x:c r="B1452" t="str">
        <x:v>keshkã</x:v>
      </x:c>
      <x:c r="C1452" t="str">
        <x:v>n</x:v>
      </x:c>
      <x:c r="D1452" t="str">
        <x:v>gee42be9c-8e33-4f41-ae6b-bda84c6c3bda</x:v>
      </x:c>
      <x:c r="E1452" t="str">
        <x:v>gb3fd28ae-21cb-4af0-b1dc-d803106fddb5</x:v>
      </x:c>
      <x:c r="F1452" t="str">
        <x:v>https://www.webonary.org/marubo/gb3fd28ae-21cb-4af0-b1dc-d803106fddb5/</x:v>
      </x:c>
      <x:c r="G1452" s="20" t="n">
        <x:v>46003.934918645835</x:v>
      </x:c>
    </x:row>
    <x:row r="1453">
      <x:c r="A1453" t="str">
        <x:v>no meio</x:v>
      </x:c>
      <x:c r="B1453" t="str">
        <x:v>potxini</x:v>
      </x:c>
      <x:c r="C1453" t="str">
        <x:v>n</x:v>
      </x:c>
      <x:c r="D1453" t="str">
        <x:v>gb8944f0e-7c71-45af-a50f-ba31ec20db31</x:v>
      </x:c>
      <x:c r="E1453" t="str">
        <x:v>ga4590073-59f4-4d13-903d-ae8031e56417</x:v>
      </x:c>
      <x:c r="F1453" t="str">
        <x:v>https://www.webonary.org/marubo/ga4590073-59f4-4d13-903d-ae8031e56417/</x:v>
      </x:c>
      <x:c r="G1453" s="20" t="n">
        <x:v>46003.934918645835</x:v>
      </x:c>
    </x:row>
    <x:row r="1454">
      <x:c r="A1454" t="str">
        <x:v>noite</x:v>
      </x:c>
      <x:c r="B1454" t="str">
        <x:v>yamé</x:v>
      </x:c>
      <x:c r="C1454" t="str">
        <x:v>n</x:v>
      </x:c>
      <x:c r="D1454" t="str">
        <x:v>g7b707e58-6a7d-41af-90be-82090b0e78c1</x:v>
      </x:c>
      <x:c r="E1454" t="str">
        <x:v>g55d36d7a-0b78-4572-950c-60be644fee24</x:v>
      </x:c>
      <x:c r="F1454" t="str">
        <x:v>https://www.webonary.org/marubo/g55d36d7a-0b78-4572-950c-60be644fee24/</x:v>
      </x:c>
      <x:c r="G1454" s="20" t="n">
        <x:v>46003.934918645835</x:v>
      </x:c>
    </x:row>
    <x:row r="1455">
      <x:c r="A1455" t="str">
        <x:v>nojento</x:v>
      </x:c>
      <x:c r="B1455" t="str">
        <x:v>seyáka</x:v>
      </x:c>
      <x:c r="C1455" t="str">
        <x:v>n</x:v>
      </x:c>
      <x:c r="D1455" t="str">
        <x:v>g9bc61a62-9ae8-4883-ba75-e93d9cabab8c</x:v>
      </x:c>
      <x:c r="E1455" t="str">
        <x:v>ga6f6e1af-e7b8-402d-8ba5-93a0738fee6f</x:v>
      </x:c>
      <x:c r="F1455" t="str">
        <x:v>https://www.webonary.org/marubo/ga6f6e1af-e7b8-402d-8ba5-93a0738fee6f/</x:v>
      </x:c>
      <x:c r="G1455" s="20" t="n">
        <x:v>46003.934918645835</x:v>
      </x:c>
    </x:row>
    <x:row r="1456">
      <x:c r="A1456" t="str">
        <x:v>nojo</x:v>
      </x:c>
      <x:c r="B1456" t="str">
        <x:v>seyá</x:v>
      </x:c>
      <x:c r="C1456" t="str">
        <x:v>n</x:v>
      </x:c>
      <x:c r="D1456" t="str">
        <x:v>gd6cd10a4-a85c-4a7f-9c6c-f9f169b5a35e</x:v>
      </x:c>
      <x:c r="E1456" t="str">
        <x:v>g48e129d5-1279-4a05-b38e-202caa8e5b5d</x:v>
      </x:c>
      <x:c r="F1456" t="str">
        <x:v>https://www.webonary.org/marubo/g48e129d5-1279-4a05-b38e-202caa8e5b5d/</x:v>
      </x:c>
      <x:c r="G1456" s="20" t="n">
        <x:v>46003.934918645835</x:v>
      </x:c>
    </x:row>
    <x:row r="1457">
      <x:c r="A1457" t="str">
        <x:v>nome</x:v>
      </x:c>
      <x:c r="B1457" t="str">
        <x:v>ane</x:v>
      </x:c>
      <x:c r="C1457" t="str">
        <x:v>n</x:v>
      </x:c>
      <x:c r="D1457" t="str">
        <x:v>gbb288cb1-c6b2-4d9c-bd4f-a5a67b62ab58</x:v>
      </x:c>
      <x:c r="E1457" t="str">
        <x:v>gbe7961f2-fce3-4c61-8f36-becdf794b8f4</x:v>
      </x:c>
      <x:c r="F1457" t="str">
        <x:v>https://www.webonary.org/marubo/gbe7961f2-fce3-4c61-8f36-becdf794b8f4/</x:v>
      </x:c>
      <x:c r="G1457" s="20" t="n">
        <x:v>46003.934918645835</x:v>
      </x:c>
    </x:row>
    <x:row r="1458">
      <x:c r="A1458" t="str">
        <x:v>nome antigo do Rio Ituí</x:v>
      </x:c>
      <x:c r="B1458" t="str">
        <x:v>vari waka</x:v>
      </x:c>
      <x:c r="C1458" t="str">
        <x:v>n</x:v>
      </x:c>
      <x:c r="D1458" t="str">
        <x:v>ge255c082-e89b-46e0-bf1d-127e7341c97d</x:v>
      </x:c>
      <x:c r="E1458" t="str">
        <x:v>ga679c223-ba36-40af-8562-ab79328ad06d</x:v>
      </x:c>
      <x:c r="F1458" t="str">
        <x:v>https://www.webonary.org/marubo/ga679c223-ba36-40af-8562-ab79328ad06d/</x:v>
      </x:c>
      <x:c r="G1458" s="20" t="n">
        <x:v>46003.934918645835</x:v>
      </x:c>
    </x:row>
    <x:row r="1459">
      <x:c r="A1459" t="str">
        <x:v>nome antigo geral para voadores perigosos</x:v>
      </x:c>
      <x:c r="B1459" t="str">
        <x:v>vopi chai</x:v>
      </x:c>
      <x:c r="C1459" t="str">
        <x:v>n</x:v>
      </x:c>
      <x:c r="D1459" t="str">
        <x:v>g722316c1-d4a5-46dd-beee-be5b37a7be87</x:v>
      </x:c>
      <x:c r="E1459" t="str">
        <x:v>gb87659fb-0642-4271-9769-eb3c4a3bf4be</x:v>
      </x:c>
      <x:c r="F1459" t="str">
        <x:v>https://www.webonary.org/marubo/gb87659fb-0642-4271-9769-eb3c4a3bf4be/</x:v>
      </x:c>
      <x:c r="G1459" s="20" t="n">
        <x:v>46003.934918645835</x:v>
      </x:c>
    </x:row>
    <x:row r="1460">
      <x:c r="A1460" t="str">
        <x:v>nome antigo para homem</x:v>
      </x:c>
      <x:c r="B1460" t="str">
        <x:v>oni</x:v>
      </x:c>
      <x:c r="C1460" t="str">
        <x:v>n</x:v>
      </x:c>
      <x:c r="D1460" t="str">
        <x:v>g8734b433-ef3a-49ae-9eb9-b8c325e155b0</x:v>
      </x:c>
      <x:c r="E1460" t="str">
        <x:v>g404f00fb-20b9-459c-97b8-5bedc17fe36d</x:v>
      </x:c>
      <x:c r="F1460" t="str">
        <x:v>https://www.webonary.org/marubo/g404f00fb-20b9-459c-97b8-5bedc17fe36d/</x:v>
      </x:c>
      <x:c r="G1460" s="20" t="n">
        <x:v>46003.934918645835</x:v>
      </x:c>
    </x:row>
    <x:row r="1461">
      <x:c r="A1461" t="str">
        <x:v>nome antigo para rosto e pelos na testa</x:v>
      </x:c>
      <x:c r="B1461" t="str">
        <x:v>veshpó</x:v>
      </x:c>
      <x:c r="C1461" t="str">
        <x:v>n</x:v>
      </x:c>
      <x:c r="D1461" t="str">
        <x:v>ge2fcee1d-4a58-425a-871c-eb639c6cdc0e</x:v>
      </x:c>
      <x:c r="E1461" t="str">
        <x:v>gbb9eda2c-3f54-48a7-bcb5-7c9dada52a09</x:v>
      </x:c>
      <x:c r="F1461" t="str">
        <x:v>https://www.webonary.org/marubo/gbb9eda2c-3f54-48a7-bcb5-7c9dada52a09/</x:v>
      </x:c>
      <x:c r="G1461" s="20" t="n">
        <x:v>46003.934918645835</x:v>
      </x:c>
    </x:row>
    <x:row r="1462">
      <x:c r="A1462" t="str">
        <x:v>nome da beira de roça</x:v>
      </x:c>
      <x:c r="B1462" t="str">
        <x:v>tsisó</x:v>
      </x:c>
      <x:c r="C1462" t="str">
        <x:v>n</x:v>
      </x:c>
      <x:c r="D1462" t="str">
        <x:v>g5a9618af-bbc5-41e0-a7bc-04f314e0b481</x:v>
      </x:c>
      <x:c r="E1462" t="str">
        <x:v>g4588f754-4831-4573-89a7-6161ca90cf5c</x:v>
      </x:c>
      <x:c r="F1462" t="str">
        <x:v>https://www.webonary.org/marubo/g4588f754-4831-4573-89a7-6161ca90cf5c/</x:v>
      </x:c>
      <x:c r="G1462" s="20" t="n">
        <x:v>46003.934918645835</x:v>
      </x:c>
    </x:row>
    <x:row r="1463">
      <x:c r="A1463" t="str">
        <x:v>nome de árvore</x:v>
      </x:c>
      <x:c r="B1463" t="str">
        <x:v>oshá rao</x:v>
      </x:c>
      <x:c r="C1463" t="str">
        <x:v>n</x:v>
      </x:c>
      <x:c r="D1463" t="str">
        <x:v>g0399be10-87a5-46bd-93b1-90b37e8a2cfa</x:v>
      </x:c>
      <x:c r="E1463" t="str">
        <x:v>ge9967da5-e97b-4974-84a7-581562a287cf</x:v>
      </x:c>
      <x:c r="F1463" t="str">
        <x:v>https://www.webonary.org/marubo/ge9967da5-e97b-4974-84a7-581562a287cf/</x:v>
      </x:c>
      <x:c r="G1463" s="20" t="n">
        <x:v>46003.934918645835</x:v>
      </x:c>
    </x:row>
    <x:row r="1464">
      <x:c r="A1464" t="str">
        <x:v>nome de boto (vocativo)</x:v>
      </x:c>
      <x:c r="B1464" t="str">
        <x:v>yaka</x:v>
      </x:c>
      <x:c r="C1464" t="str">
        <x:v>n</x:v>
      </x:c>
      <x:c r="D1464" t="str">
        <x:v>gf1a90513-2a4c-4bde-967c-5d69a5a5132e</x:v>
      </x:c>
      <x:c r="E1464" t="str">
        <x:v>g43a2cb9d-685a-4765-b36a-76f1611bc5bd</x:v>
      </x:c>
      <x:c r="F1464" t="str">
        <x:v>https://www.webonary.org/marubo/g43a2cb9d-685a-4765-b36a-76f1611bc5bd/</x:v>
      </x:c>
      <x:c r="G1464" s="20" t="n">
        <x:v>46003.934918645835</x:v>
      </x:c>
    </x:row>
    <x:row r="1465">
      <x:c r="A1465" t="str">
        <x:v>nome de cachorro</x:v>
      </x:c>
      <x:c r="B1465" t="str">
        <x:v>kaiyo</x:v>
      </x:c>
      <x:c r="C1465" t="str">
        <x:v>n</x:v>
      </x:c>
      <x:c r="D1465" t="str">
        <x:v>g8d803a6e-acc3-4d29-97de-778e46978cac</x:v>
      </x:c>
      <x:c r="E1465" t="str">
        <x:v>g1d5750e0-c404-46b5-9da6-2d8be355ddf4</x:v>
      </x:c>
      <x:c r="F1465" t="str">
        <x:v>https://www.webonary.org/marubo/g1d5750e0-c404-46b5-9da6-2d8be355ddf4/</x:v>
      </x:c>
      <x:c r="G1465" s="20" t="n">
        <x:v>46003.934918645835</x:v>
      </x:c>
    </x:row>
    <x:row r="1466">
      <x:c r="A1466" t="str">
        <x:v>nome de cachorro fêmea preta</x:v>
      </x:c>
      <x:c r="B1466" t="str">
        <x:v>txawa</x:v>
      </x:c>
      <x:c r="C1466" t="str">
        <x:v>n</x:v>
      </x:c>
      <x:c r="D1466" t="str">
        <x:v>g819201a1-ae9c-4652-a9b3-b6c09c39c89b</x:v>
      </x:c>
      <x:c r="E1466" t="str">
        <x:v>gb75e2a1d-9822-40a2-b786-b9590a6e0b2b</x:v>
      </x:c>
      <x:c r="F1466" t="str">
        <x:v>https://www.webonary.org/marubo/gb75e2a1d-9822-40a2-b786-b9590a6e0b2b/</x:v>
      </x:c>
      <x:c r="G1466" s="20" t="n">
        <x:v>46003.93492572917</x:v>
      </x:c>
    </x:row>
    <x:row r="1467">
      <x:c r="A1467" t="str">
        <x:v>nome de clã</x:v>
      </x:c>
      <x:c r="B1467" t="str">
        <x:v>varinawa</x:v>
      </x:c>
      <x:c r="C1467" t="str">
        <x:v>n</x:v>
      </x:c>
      <x:c r="D1467" t="str">
        <x:v>g8ab75409-13bc-40e8-932c-f07591b3f04d</x:v>
      </x:c>
      <x:c r="E1467" t="str">
        <x:v>g1a0fb7eb-8a5f-41e9-87a6-b78daef6600c</x:v>
      </x:c>
      <x:c r="F1467" t="str">
        <x:v>https://www.webonary.org/marubo/g1a0fb7eb-8a5f-41e9-87a6-b78daef6600c/</x:v>
      </x:c>
      <x:c r="G1467" s="20" t="n">
        <x:v>46003.93492572917</x:v>
      </x:c>
    </x:row>
    <x:row r="1468">
      <x:c r="A1468" t="str">
        <x:v>nome de espinho da mata</x:v>
      </x:c>
      <x:c r="B1468" t="str">
        <x:v>chokiri mosha</x:v>
      </x:c>
      <x:c r="C1468" t="str">
        <x:v>n</x:v>
      </x:c>
      <x:c r="D1468" t="str">
        <x:v>g8ad003b7-666f-4b9f-bdbd-11a752c6f000</x:v>
      </x:c>
      <x:c r="E1468" t="str">
        <x:v>ga9cb7748-e3dc-4558-b1cc-16535411fb2c</x:v>
      </x:c>
      <x:c r="F1468" t="str">
        <x:v>https://www.webonary.org/marubo/ga9cb7748-e3dc-4558-b1cc-16535411fb2c/</x:v>
      </x:c>
      <x:c r="G1468" s="20" t="n">
        <x:v>46003.93492572917</x:v>
      </x:c>
    </x:row>
    <x:row r="1469">
      <x:c r="A1469" t="str">
        <x:v>nome de igarapé</x:v>
      </x:c>
      <x:c r="B1469" t="str">
        <x:v>ponõtia</x:v>
      </x:c>
      <x:c r="C1469" t="str">
        <x:v>n</x:v>
      </x:c>
      <x:c r="D1469" t="str">
        <x:v>g792acd15-e885-4bb2-aff2-d825cca67117</x:v>
      </x:c>
      <x:c r="E1469" t="str">
        <x:v>gec3dcc6a-2efc-47fc-817b-a7dc753c3bd3</x:v>
      </x:c>
      <x:c r="F1469" t="str">
        <x:v>https://www.webonary.org/marubo/gec3dcc6a-2efc-47fc-817b-a7dc753c3bd3/</x:v>
      </x:c>
      <x:c r="G1469" s="20" t="n">
        <x:v>46003.93492572917</x:v>
      </x:c>
    </x:row>
    <x:row r="1470">
      <x:c r="A1470" t="str">
        <x:v>nome de igarapé</x:v>
      </x:c>
      <x:c r="B1470" t="str">
        <x:v>võtoya</x:v>
      </x:c>
      <x:c r="C1470" t="str">
        <x:v>n</x:v>
      </x:c>
      <x:c r="D1470" t="str">
        <x:v>g792acd15-e885-4bb2-aff2-d825cca67117</x:v>
      </x:c>
      <x:c r="E1470" t="str">
        <x:v>g94de7647-096d-4733-9348-4f79a5e03a5a</x:v>
      </x:c>
      <x:c r="F1470" t="str">
        <x:v>https://www.webonary.org/marubo/g94de7647-096d-4733-9348-4f79a5e03a5a/</x:v>
      </x:c>
      <x:c r="G1470" s="20" t="n">
        <x:v>46003.93492572917</x:v>
      </x:c>
    </x:row>
    <x:row r="1471">
      <x:c r="A1471" t="str">
        <x:v>nome de igarapé</x:v>
      </x:c>
      <x:c r="B1471" t="str">
        <x:v>chanóya</x:v>
      </x:c>
      <x:c r="C1471" t="str">
        <x:v>n</x:v>
      </x:c>
      <x:c r="D1471" t="str">
        <x:v>g792acd15-e885-4bb2-aff2-d825cca67117</x:v>
      </x:c>
      <x:c r="E1471" t="str">
        <x:v>g7a301170-c8dc-41da-aefb-1f0f792e3c1b</x:v>
      </x:c>
      <x:c r="F1471" t="str">
        <x:v>https://www.webonary.org/marubo/g7a301170-c8dc-41da-aefb-1f0f792e3c1b/</x:v>
      </x:c>
      <x:c r="G1471" s="20" t="n">
        <x:v>46003.93492572917</x:v>
      </x:c>
    </x:row>
    <x:row r="1472">
      <x:c r="A1472" t="str">
        <x:v>nome de igarapé</x:v>
      </x:c>
      <x:c r="B1472" t="str">
        <x:v>chaishaoya</x:v>
      </x:c>
      <x:c r="C1472" t="str">
        <x:v>n</x:v>
      </x:c>
      <x:c r="D1472" t="str">
        <x:v>g792acd15-e885-4bb2-aff2-d825cca67117</x:v>
      </x:c>
      <x:c r="E1472" t="str">
        <x:v>g3bcebfe8-9051-42af-91a7-b0f489ff44a5</x:v>
      </x:c>
      <x:c r="F1472" t="str">
        <x:v>https://www.webonary.org/marubo/g3bcebfe8-9051-42af-91a7-b0f489ff44a5/</x:v>
      </x:c>
      <x:c r="G1472" s="20" t="n">
        <x:v>46003.93492572917</x:v>
      </x:c>
    </x:row>
    <x:row r="1473">
      <x:c r="A1473" t="str">
        <x:v>nome de igarapé no Rio Itui</x:v>
      </x:c>
      <x:c r="B1473" t="str">
        <x:v>ovẽya</x:v>
      </x:c>
      <x:c r="C1473" t="str">
        <x:v>n</x:v>
      </x:c>
      <x:c r="D1473" t="str">
        <x:v>g18c4abaa-88c9-422e-acea-3509c31ce8ca</x:v>
      </x:c>
      <x:c r="E1473" t="str">
        <x:v>gab47ea21-d9b5-4aba-8765-27c06d369dbc</x:v>
      </x:c>
      <x:c r="F1473" t="str">
        <x:v>https://www.webonary.org/marubo/gab47ea21-d9b5-4aba-8765-27c06d369dbc/</x:v>
      </x:c>
      <x:c r="G1473" s="20" t="n">
        <x:v>46003.93492572917</x:v>
      </x:c>
    </x:row>
    <x:row r="1474">
      <x:c r="A1474" t="str">
        <x:v>nome de igarapé no Rio Itúi</x:v>
      </x:c>
      <x:c r="B1474" t="str">
        <x:v>Võpisiya</x:v>
      </x:c>
      <x:c r="C1474" t="str">
        <x:v>n</x:v>
      </x:c>
      <x:c r="D1474" t="str">
        <x:v>g04fca1a6-5ae6-4727-8c23-f0585090fcdf</x:v>
      </x:c>
      <x:c r="E1474" t="str">
        <x:v>g7d2bc62a-2732-4485-97e2-51e51adaa84c</x:v>
      </x:c>
      <x:c r="F1474" t="str">
        <x:v>https://www.webonary.org/marubo/g7d2bc62a-2732-4485-97e2-51e51adaa84c/</x:v>
      </x:c>
      <x:c r="G1474" s="20" t="n">
        <x:v>46003.93492572917</x:v>
      </x:c>
    </x:row>
    <x:row r="1475">
      <x:c r="A1475" t="str">
        <x:v>nome de macaco prego de estimação</x:v>
      </x:c>
      <x:c r="B1475" t="str">
        <x:v>chokó</x:v>
      </x:c>
      <x:c r="C1475" t="str">
        <x:v>n</x:v>
      </x:c>
      <x:c r="D1475" t="str">
        <x:v>g32b9ae99-a040-4872-9a81-1dfe7c65e955</x:v>
      </x:c>
      <x:c r="E1475" t="str">
        <x:v>gf3aa0799-53c3-411b-996d-58f3b7f2171d</x:v>
      </x:c>
      <x:c r="F1475" t="str">
        <x:v>https://www.webonary.org/marubo/gf3aa0799-53c3-411b-996d-58f3b7f2171d/</x:v>
      </x:c>
      <x:c r="G1475" s="20" t="n">
        <x:v>46003.93492572917</x:v>
      </x:c>
    </x:row>
    <x:row r="1476">
      <x:c r="A1476" t="str">
        <x:v>nome de masculino</x:v>
      </x:c>
      <x:c r="B1476" t="str">
        <x:v>chinĩpa</x:v>
      </x:c>
      <x:c r="C1476" t="str">
        <x:v>n</x:v>
      </x:c>
      <x:c r="D1476" t="str">
        <x:v>gcffed357-ceb0-474d-8778-be7efddfca8f</x:v>
      </x:c>
      <x:c r="E1476" t="str">
        <x:v>g3301e3c0-043a-4d44-918f-cf4d25b85690</x:v>
      </x:c>
      <x:c r="F1476" t="str">
        <x:v>https://www.webonary.org/marubo/g3301e3c0-043a-4d44-918f-cf4d25b85690/</x:v>
      </x:c>
      <x:c r="G1476" s="20" t="n">
        <x:v>46003.93492572917</x:v>
      </x:c>
    </x:row>
    <x:row r="1477">
      <x:c r="A1477" t="str">
        <x:v>nome de menina</x:v>
      </x:c>
      <x:c r="B1477" t="str">
        <x:v>kana</x:v>
      </x:c>
      <x:c r="C1477" t="str">
        <x:v>n</x:v>
      </x:c>
      <x:c r="D1477" t="str">
        <x:v>g2f803a1e-bbb2-45cb-8d63-1824187b1898</x:v>
      </x:c>
      <x:c r="E1477" t="str">
        <x:v>g2063d86a-6be6-4dc1-bbef-00d69d9f3fba</x:v>
      </x:c>
      <x:c r="F1477" t="str">
        <x:v>https://www.webonary.org/marubo/g2063d86a-6be6-4dc1-bbef-00d69d9f3fba/</x:v>
      </x:c>
      <x:c r="G1477" s="20" t="n">
        <x:v>46003.93492572917</x:v>
      </x:c>
    </x:row>
    <x:row r="1478">
      <x:c r="A1478" t="str">
        <x:v>nome de menina</x:v>
      </x:c>
      <x:c r="B1478" t="str">
        <x:v>kena</x:v>
      </x:c>
      <x:c r="C1478" t="str">
        <x:v>n</x:v>
      </x:c>
      <x:c r="D1478" t="str">
        <x:v>g2f803a1e-bbb2-45cb-8d63-1824187b1898</x:v>
      </x:c>
      <x:c r="E1478" t="str">
        <x:v>g5ea213a1-4615-45e1-a668-fa1a2c32d3e4</x:v>
      </x:c>
      <x:c r="F1478" t="str">
        <x:v>https://www.webonary.org/marubo/g5ea213a1-4615-45e1-a668-fa1a2c32d3e4/</x:v>
      </x:c>
      <x:c r="G1478" s="20" t="n">
        <x:v>46003.93492572917</x:v>
      </x:c>
    </x:row>
    <x:row r="1479">
      <x:c r="A1479" t="str">
        <x:v>nome de menino</x:v>
      </x:c>
      <x:c r="B1479" t="str">
        <x:v>karo</x:v>
      </x:c>
      <x:c r="C1479" t="str">
        <x:v>n</x:v>
      </x:c>
      <x:c r="D1479" t="str">
        <x:v>gf8dc6476-4622-47be-bdcb-e9dea87acfe0</x:v>
      </x:c>
      <x:c r="E1479" t="str">
        <x:v>g70db0da8-561c-456b-a17a-4bd9fba88207</x:v>
      </x:c>
      <x:c r="F1479" t="str">
        <x:v>https://www.webonary.org/marubo/g70db0da8-561c-456b-a17a-4bd9fba88207/</x:v>
      </x:c>
      <x:c r="G1479" s="20" t="n">
        <x:v>46003.93492572917</x:v>
      </x:c>
    </x:row>
    <x:row r="1480">
      <x:c r="A1480" t="str">
        <x:v>nome de tipo de pintura</x:v>
      </x:c>
      <x:c r="B1480" t="str">
        <x:v>voĩ paoti aká</x:v>
      </x:c>
      <x:c r="C1480" t="str">
        <x:v>n</x:v>
      </x:c>
      <x:c r="D1480" t="str">
        <x:v>g3c62c8a7-e137-43fd-bdc6-1c3e822f7e4d</x:v>
      </x:c>
      <x:c r="E1480" t="str">
        <x:v>g6f22234b-0b98-4f86-bf7a-af815f0d15d4</x:v>
      </x:c>
      <x:c r="F1480" t="str">
        <x:v>https://www.webonary.org/marubo/g6f22234b-0b98-4f86-bf7a-af815f0d15d4/</x:v>
      </x:c>
      <x:c r="G1480" s="20" t="n">
        <x:v>46003.93492572917</x:v>
      </x:c>
    </x:row>
    <x:row r="1481">
      <x:c r="A1481" t="str">
        <x:v>nome feminino</x:v>
      </x:c>
      <x:c r="B1481" t="str">
        <x:v>võsi</x:v>
      </x:c>
      <x:c r="C1481" t="str">
        <x:v>n</x:v>
      </x:c>
      <x:c r="D1481" t="str">
        <x:v>ge9f0c184-b182-4ed7-909e-06b4c2dcc4c3</x:v>
      </x:c>
      <x:c r="E1481" t="str">
        <x:v>ga7bff855-a412-4c22-9187-98b4108ac5ee</x:v>
      </x:c>
      <x:c r="F1481" t="str">
        <x:v>https://www.webonary.org/marubo/ga7bff855-a412-4c22-9187-98b4108ac5ee/</x:v>
      </x:c>
      <x:c r="G1481" s="20" t="n">
        <x:v>46003.93492572917</x:v>
      </x:c>
    </x:row>
    <x:row r="1482">
      <x:c r="A1482" t="str">
        <x:v>nome feminino</x:v>
      </x:c>
      <x:c r="B1482" t="str">
        <x:v>vote</x:v>
      </x:c>
      <x:c r="C1482" t="str">
        <x:v>n</x:v>
      </x:c>
      <x:c r="D1482" t="str">
        <x:v>ge9f0c184-b182-4ed7-909e-06b4c2dcc4c3</x:v>
      </x:c>
      <x:c r="E1482" t="str">
        <x:v>g7b6a92cd-c298-4256-9c90-a2912e36bdec</x:v>
      </x:c>
      <x:c r="F1482" t="str">
        <x:v>https://www.webonary.org/marubo/g7b6a92cd-c298-4256-9c90-a2912e36bdec/</x:v>
      </x:c>
      <x:c r="G1482" s="20" t="n">
        <x:v>46003.93492572917</x:v>
      </x:c>
    </x:row>
    <x:row r="1483">
      <x:c r="A1483" t="str">
        <x:v>nome feminino</x:v>
      </x:c>
      <x:c r="B1483" t="str">
        <x:v>võchi</x:v>
      </x:c>
      <x:c r="C1483" t="str">
        <x:v>n</x:v>
      </x:c>
      <x:c r="D1483" t="str">
        <x:v>ge9f0c184-b182-4ed7-909e-06b4c2dcc4c3</x:v>
      </x:c>
      <x:c r="E1483" t="str">
        <x:v>g0b7b4c28-8cfe-4795-91f8-856f7fa61384</x:v>
      </x:c>
      <x:c r="F1483" t="str">
        <x:v>https://www.webonary.org/marubo/g0b7b4c28-8cfe-4795-91f8-856f7fa61384/</x:v>
      </x:c>
      <x:c r="G1483" s="20" t="n">
        <x:v>46003.93492572917</x:v>
      </x:c>
    </x:row>
    <x:row r="1484">
      <x:c r="A1484" t="str">
        <x:v>nome feminino</x:v>
      </x:c>
      <x:c r="B1484" t="str">
        <x:v>voa</x:v>
      </x:c>
      <x:c r="C1484" t="str">
        <x:v>n</x:v>
      </x:c>
      <x:c r="D1484" t="str">
        <x:v>ge9f0c184-b182-4ed7-909e-06b4c2dcc4c3</x:v>
      </x:c>
      <x:c r="E1484" t="str">
        <x:v>ga9e293b0-c3a8-4754-a9f2-daae7ae99e2e</x:v>
      </x:c>
      <x:c r="F1484" t="str">
        <x:v>https://www.webonary.org/marubo/ga9e293b0-c3a8-4754-a9f2-daae7ae99e2e/</x:v>
      </x:c>
      <x:c r="G1484" s="20" t="n">
        <x:v>46003.93492572917</x:v>
      </x:c>
    </x:row>
    <x:row r="1485">
      <x:c r="A1485" t="str">
        <x:v>nome feminino</x:v>
      </x:c>
      <x:c r="B1485" t="str">
        <x:v>2</x:v>
      </x:c>
      <x:c r="C1485" t="str">
        <x:v>n</x:v>
      </x:c>
      <x:c r="D1485" t="str">
        <x:v>ge9f0c184-b182-4ed7-909e-06b4c2dcc4c3</x:v>
      </x:c>
      <x:c r="E1485" t="str">
        <x:v>ga9e293b0-c3a8-4754-a9f2-daae7ae99e2e</x:v>
      </x:c>
      <x:c r="F1485" t="str">
        <x:v>https://www.webonary.org/marubo/ga9e293b0-c3a8-4754-a9f2-daae7ae99e2e/</x:v>
      </x:c>
      <x:c r="G1485" s="20" t="n">
        <x:v>46003.93492572917</x:v>
      </x:c>
    </x:row>
    <x:row r="1486">
      <x:c r="A1486" t="str">
        <x:v>nome feminino</x:v>
      </x:c>
      <x:c r="B1486" t="str">
        <x:v>vinãewa</x:v>
      </x:c>
      <x:c r="C1486" t="str">
        <x:v>n</x:v>
      </x:c>
      <x:c r="D1486" t="str">
        <x:v>ge9f0c184-b182-4ed7-909e-06b4c2dcc4c3</x:v>
      </x:c>
      <x:c r="E1486" t="str">
        <x:v>g22b04db3-4c91-46c5-af19-918796c788f8</x:v>
      </x:c>
      <x:c r="F1486" t="str">
        <x:v>https://www.webonary.org/marubo/g22b04db3-4c91-46c5-af19-918796c788f8/</x:v>
      </x:c>
      <x:c r="G1486" s="20" t="n">
        <x:v>46003.93492572917</x:v>
      </x:c>
    </x:row>
    <x:row r="1487">
      <x:c r="A1487" t="str">
        <x:v>nome feminino</x:v>
      </x:c>
      <x:c r="B1487" t="str">
        <x:v>voo</x:v>
      </x:c>
      <x:c r="C1487" t="str">
        <x:v>n</x:v>
      </x:c>
      <x:c r="D1487" t="str">
        <x:v>ge9f0c184-b182-4ed7-909e-06b4c2dcc4c3</x:v>
      </x:c>
      <x:c r="E1487" t="str">
        <x:v>g24d71f5d-8cc9-4fe7-919e-63dff84f31c2</x:v>
      </x:c>
      <x:c r="F1487" t="str">
        <x:v>https://www.webonary.org/marubo/g24d71f5d-8cc9-4fe7-919e-63dff84f31c2/</x:v>
      </x:c>
      <x:c r="G1487" s="20" t="n">
        <x:v>46003.93492572917</x:v>
      </x:c>
    </x:row>
    <x:row r="1488">
      <x:c r="A1488" t="str">
        <x:v>nome feminino</x:v>
      </x:c>
      <x:c r="B1488" t="str">
        <x:v>Võkĩewa</x:v>
      </x:c>
      <x:c r="C1488" t="str">
        <x:v>n</x:v>
      </x:c>
      <x:c r="D1488" t="str">
        <x:v>ge9f0c184-b182-4ed7-909e-06b4c2dcc4c3</x:v>
      </x:c>
      <x:c r="E1488" t="str">
        <x:v>g91b940c3-e085-4ca4-9e73-293cb7f14bbd</x:v>
      </x:c>
      <x:c r="F1488" t="str">
        <x:v>https://www.webonary.org/marubo/g91b940c3-e085-4ca4-9e73-293cb7f14bbd/</x:v>
      </x:c>
      <x:c r="G1488" s="20" t="n">
        <x:v>46003.93492572917</x:v>
      </x:c>
    </x:row>
    <x:row r="1489">
      <x:c r="A1489" t="str">
        <x:v>nome feminino</x:v>
      </x:c>
      <x:c r="B1489" t="str">
        <x:v>Võki</x:v>
      </x:c>
      <x:c r="C1489" t="str">
        <x:v>n</x:v>
      </x:c>
      <x:c r="D1489" t="str">
        <x:v>ge9f0c184-b182-4ed7-909e-06b4c2dcc4c3</x:v>
      </x:c>
      <x:c r="E1489" t="str">
        <x:v>geb43ed40-5aca-4613-a81c-ca1dd98dbb28</x:v>
      </x:c>
      <x:c r="F1489" t="str">
        <x:v>https://www.webonary.org/marubo/geb43ed40-5aca-4613-a81c-ca1dd98dbb28/</x:v>
      </x:c>
      <x:c r="G1489" s="20" t="n">
        <x:v>46003.93492572917</x:v>
      </x:c>
    </x:row>
    <x:row r="1490">
      <x:c r="A1490" t="str">
        <x:v>nome feminino</x:v>
      </x:c>
      <x:c r="B1490" t="str">
        <x:v>yochi</x:v>
      </x:c>
      <x:c r="C1490" t="str">
        <x:v>n</x:v>
      </x:c>
      <x:c r="D1490" t="str">
        <x:v>ge9f0c184-b182-4ed7-909e-06b4c2dcc4c3</x:v>
      </x:c>
      <x:c r="E1490" t="str">
        <x:v>gb6b038d0-35eb-4fb5-af08-a61810ae5b73</x:v>
      </x:c>
      <x:c r="F1490" t="str">
        <x:v>https://www.webonary.org/marubo/gb6b038d0-35eb-4fb5-af08-a61810ae5b73/</x:v>
      </x:c>
      <x:c r="G1490" s="20" t="n">
        <x:v>46003.93492572917</x:v>
      </x:c>
    </x:row>
    <x:row r="1491">
      <x:c r="A1491" t="str">
        <x:v>nome feminino</x:v>
      </x:c>
      <x:c r="B1491" t="str">
        <x:v>yawã roá</x:v>
      </x:c>
      <x:c r="C1491" t="str">
        <x:v>n</x:v>
      </x:c>
      <x:c r="D1491" t="str">
        <x:v>ge9f0c184-b182-4ed7-909e-06b4c2dcc4c3</x:v>
      </x:c>
      <x:c r="E1491" t="str">
        <x:v>g8ed92c3c-8bf9-46a6-9878-d55e92534289</x:v>
      </x:c>
      <x:c r="F1491" t="str">
        <x:v>https://www.webonary.org/marubo/g8ed92c3c-8bf9-46a6-9878-d55e92534289/</x:v>
      </x:c>
      <x:c r="G1491" s="20" t="n">
        <x:v>46003.93492572917</x:v>
      </x:c>
    </x:row>
    <x:row r="1492">
      <x:c r="A1492" t="str">
        <x:v>nome feminino</x:v>
      </x:c>
      <x:c r="B1492" t="str">
        <x:v>2</x:v>
      </x:c>
      <x:c r="C1492" t="str">
        <x:v>n</x:v>
      </x:c>
      <x:c r="D1492" t="str">
        <x:v>ge9f0c184-b182-4ed7-909e-06b4c2dcc4c3</x:v>
      </x:c>
      <x:c r="E1492" t="str">
        <x:v>g8ed92c3c-8bf9-46a6-9878-d55e92534289</x:v>
      </x:c>
      <x:c r="F1492" t="str">
        <x:v>https://www.webonary.org/marubo/g8ed92c3c-8bf9-46a6-9878-d55e92534289/</x:v>
      </x:c>
      <x:c r="G1492" s="20" t="n">
        <x:v>46003.93492572917</x:v>
      </x:c>
    </x:row>
    <x:row r="1493">
      <x:c r="A1493" t="str">
        <x:v>nome feminino</x:v>
      </x:c>
      <x:c r="B1493" t="str">
        <x:v>yove</x:v>
      </x:c>
      <x:c r="C1493" t="str">
        <x:v>n</x:v>
      </x:c>
      <x:c r="D1493" t="str">
        <x:v>ge9f0c184-b182-4ed7-909e-06b4c2dcc4c3</x:v>
      </x:c>
      <x:c r="E1493" t="str">
        <x:v>g24c2e36a-b5d5-4862-b10f-0282897ecab4</x:v>
      </x:c>
      <x:c r="F1493" t="str">
        <x:v>https://www.webonary.org/marubo/g24c2e36a-b5d5-4862-b10f-0282897ecab4/</x:v>
      </x:c>
      <x:c r="G1493" s="20" t="n">
        <x:v>46003.93492572917</x:v>
      </x:c>
    </x:row>
    <x:row r="1494">
      <x:c r="A1494" t="str">
        <x:v>nome feminino</x:v>
      </x:c>
      <x:c r="B1494" t="str">
        <x:v>yasa</x:v>
      </x:c>
      <x:c r="C1494" t="str">
        <x:v>n</x:v>
      </x:c>
      <x:c r="D1494" t="str">
        <x:v>ge9f0c184-b182-4ed7-909e-06b4c2dcc4c3</x:v>
      </x:c>
      <x:c r="E1494" t="str">
        <x:v>g1dc631f5-f990-42ef-83b3-05891eeab532</x:v>
      </x:c>
      <x:c r="F1494" t="str">
        <x:v>https://www.webonary.org/marubo/g1dc631f5-f990-42ef-83b3-05891eeab532/</x:v>
      </x:c>
      <x:c r="G1494" s="20" t="n">
        <x:v>46003.93492572917</x:v>
      </x:c>
    </x:row>
    <x:row r="1495">
      <x:c r="A1495" t="str">
        <x:v>nome feminino</x:v>
      </x:c>
      <x:c r="B1495" t="str">
        <x:v>yaka</x:v>
      </x:c>
      <x:c r="C1495" t="str">
        <x:v>n</x:v>
      </x:c>
      <x:c r="D1495" t="str">
        <x:v>ge9f0c184-b182-4ed7-909e-06b4c2dcc4c3</x:v>
      </x:c>
      <x:c r="E1495" t="str">
        <x:v>g43a2cb9d-685a-4765-b36a-76f1611bc5bd</x:v>
      </x:c>
      <x:c r="F1495" t="str">
        <x:v>https://www.webonary.org/marubo/g43a2cb9d-685a-4765-b36a-76f1611bc5bd/</x:v>
      </x:c>
      <x:c r="G1495" s="20" t="n">
        <x:v>46003.93492572917</x:v>
      </x:c>
    </x:row>
    <x:row r="1496">
      <x:c r="A1496" t="str">
        <x:v>nome feminino</x:v>
      </x:c>
      <x:c r="B1496" t="str">
        <x:v>Vimĩewa</x:v>
      </x:c>
      <x:c r="C1496" t="str">
        <x:v>n</x:v>
      </x:c>
      <x:c r="D1496" t="str">
        <x:v>ge9f0c184-b182-4ed7-909e-06b4c2dcc4c3</x:v>
      </x:c>
      <x:c r="E1496" t="str">
        <x:v>ge9e1987f-f088-4ba8-9cb3-b7fabd9fc91c</x:v>
      </x:c>
      <x:c r="F1496" t="str">
        <x:v>https://www.webonary.org/marubo/ge9e1987f-f088-4ba8-9cb3-b7fabd9fc91c/</x:v>
      </x:c>
      <x:c r="G1496" s="20" t="n">
        <x:v>46003.93492572917</x:v>
      </x:c>
    </x:row>
    <x:row r="1497">
      <x:c r="A1497" t="str">
        <x:v>nome feminino</x:v>
      </x:c>
      <x:c r="B1497" t="str">
        <x:v>vanãewa</x:v>
      </x:c>
      <x:c r="C1497" t="str">
        <x:v>n</x:v>
      </x:c>
      <x:c r="D1497" t="str">
        <x:v>ge9f0c184-b182-4ed7-909e-06b4c2dcc4c3</x:v>
      </x:c>
      <x:c r="E1497" t="str">
        <x:v>g5ca0d7e1-1e4b-4687-8f6e-bff01ab860c3</x:v>
      </x:c>
      <x:c r="F1497" t="str">
        <x:v>https://www.webonary.org/marubo/g5ca0d7e1-1e4b-4687-8f6e-bff01ab860c3/</x:v>
      </x:c>
      <x:c r="G1497" s="20" t="n">
        <x:v>46003.93492572917</x:v>
      </x:c>
    </x:row>
    <x:row r="1498">
      <x:c r="A1498" t="str">
        <x:v>nome feminino</x:v>
      </x:c>
      <x:c r="B1498" t="str">
        <x:v>vasĩewa</x:v>
      </x:c>
      <x:c r="C1498" t="str">
        <x:v>n</x:v>
      </x:c>
      <x:c r="D1498" t="str">
        <x:v>ge9f0c184-b182-4ed7-909e-06b4c2dcc4c3</x:v>
      </x:c>
      <x:c r="E1498" t="str">
        <x:v>g131376cf-ec65-4d62-94b8-b64f23525284</x:v>
      </x:c>
      <x:c r="F1498" t="str">
        <x:v>https://www.webonary.org/marubo/g131376cf-ec65-4d62-94b8-b64f23525284/</x:v>
      </x:c>
      <x:c r="G1498" s="20" t="n">
        <x:v>46003.93492572917</x:v>
      </x:c>
    </x:row>
    <x:row r="1499">
      <x:c r="A1499" t="str">
        <x:v>nome feminino</x:v>
      </x:c>
      <x:c r="B1499" t="str">
        <x:v>vasi</x:v>
      </x:c>
      <x:c r="C1499" t="str">
        <x:v>n</x:v>
      </x:c>
      <x:c r="D1499" t="str">
        <x:v>ge9f0c184-b182-4ed7-909e-06b4c2dcc4c3</x:v>
      </x:c>
      <x:c r="E1499" t="str">
        <x:v>gd2cb240d-0be6-4920-af55-63f745b2caac</x:v>
      </x:c>
      <x:c r="F1499" t="str">
        <x:v>https://www.webonary.org/marubo/gd2cb240d-0be6-4920-af55-63f745b2caac/</x:v>
      </x:c>
      <x:c r="G1499" s="20" t="n">
        <x:v>46003.93492572917</x:v>
      </x:c>
    </x:row>
    <x:row r="1500">
      <x:c r="A1500" t="str">
        <x:v>nome feminino</x:v>
      </x:c>
      <x:c r="B1500" t="str">
        <x:v>vanẽewa</x:v>
      </x:c>
      <x:c r="C1500" t="str">
        <x:v>n</x:v>
      </x:c>
      <x:c r="D1500" t="str">
        <x:v>ge9f0c184-b182-4ed7-909e-06b4c2dcc4c3</x:v>
      </x:c>
      <x:c r="E1500" t="str">
        <x:v>g8c95a850-afda-462f-baaf-a35d08bb3199</x:v>
      </x:c>
      <x:c r="F1500" t="str">
        <x:v>https://www.webonary.org/marubo/g8c95a850-afda-462f-baaf-a35d08bb3199/</x:v>
      </x:c>
      <x:c r="G1500" s="20" t="n">
        <x:v>46003.93492572917</x:v>
      </x:c>
    </x:row>
    <x:row r="1501">
      <x:c r="A1501" t="str">
        <x:v>nome feminino</x:v>
      </x:c>
      <x:c r="B1501" t="str">
        <x:v>vane</x:v>
      </x:c>
      <x:c r="C1501" t="str">
        <x:v>n</x:v>
      </x:c>
      <x:c r="D1501" t="str">
        <x:v>ge9f0c184-b182-4ed7-909e-06b4c2dcc4c3</x:v>
      </x:c>
      <x:c r="E1501" t="str">
        <x:v>g04ae47b4-76d3-41c1-8863-3af37bbcd1b8</x:v>
      </x:c>
      <x:c r="F1501" t="str">
        <x:v>https://www.webonary.org/marubo/g04ae47b4-76d3-41c1-8863-3af37bbcd1b8/</x:v>
      </x:c>
      <x:c r="G1501" s="20" t="n">
        <x:v>46003.93492572917</x:v>
      </x:c>
    </x:row>
    <x:row r="1502">
      <x:c r="A1502" t="str">
        <x:v>nome feminino</x:v>
      </x:c>
      <x:c r="B1502" t="str">
        <x:v>vari shavo</x:v>
      </x:c>
      <x:c r="C1502" t="str">
        <x:v>n</x:v>
      </x:c>
      <x:c r="D1502" t="str">
        <x:v>ge9f0c184-b182-4ed7-909e-06b4c2dcc4c3</x:v>
      </x:c>
      <x:c r="E1502" t="str">
        <x:v>gb56e5a13-0bc9-434b-b819-31a299ab5af6</x:v>
      </x:c>
      <x:c r="F1502" t="str">
        <x:v>https://www.webonary.org/marubo/gb56e5a13-0bc9-434b-b819-31a299ab5af6/</x:v>
      </x:c>
      <x:c r="G1502" s="20" t="n">
        <x:v>46003.93492572917</x:v>
      </x:c>
    </x:row>
    <x:row r="1503">
      <x:c r="A1503" t="str">
        <x:v>nome feminino</x:v>
      </x:c>
      <x:c r="B1503" t="str">
        <x:v>veka</x:v>
      </x:c>
      <x:c r="C1503" t="str">
        <x:v>n</x:v>
      </x:c>
      <x:c r="D1503" t="str">
        <x:v>ge9f0c184-b182-4ed7-909e-06b4c2dcc4c3</x:v>
      </x:c>
      <x:c r="E1503" t="str">
        <x:v>g6ab7827c-d55b-46a6-8640-4ce651dde0c7</x:v>
      </x:c>
      <x:c r="F1503" t="str">
        <x:v>https://www.webonary.org/marubo/g6ab7827c-d55b-46a6-8640-4ce651dde0c7/</x:v>
      </x:c>
      <x:c r="G1503" s="20" t="n">
        <x:v>46003.93492572917</x:v>
      </x:c>
    </x:row>
    <x:row r="1504">
      <x:c r="A1504" t="str">
        <x:v>nome feminino</x:v>
      </x:c>
      <x:c r="B1504" t="str">
        <x:v>vena</x:v>
      </x:c>
      <x:c r="C1504" t="str">
        <x:v>n</x:v>
      </x:c>
      <x:c r="D1504" t="str">
        <x:v>ge9f0c184-b182-4ed7-909e-06b4c2dcc4c3</x:v>
      </x:c>
      <x:c r="E1504" t="str">
        <x:v>g8af21cd5-113d-4c4d-aeaa-f6b480d832ad</x:v>
      </x:c>
      <x:c r="F1504" t="str">
        <x:v>https://www.webonary.org/marubo/g8af21cd5-113d-4c4d-aeaa-f6b480d832ad/</x:v>
      </x:c>
      <x:c r="G1504" s="20" t="n">
        <x:v>46003.93492572917</x:v>
      </x:c>
    </x:row>
    <x:row r="1505">
      <x:c r="A1505" t="str">
        <x:v>nome feminino</x:v>
      </x:c>
      <x:c r="B1505" t="str">
        <x:v>ino</x:v>
      </x:c>
      <x:c r="C1505" t="str">
        <x:v>n</x:v>
      </x:c>
      <x:c r="D1505" t="str">
        <x:v>ge9f0c184-b182-4ed7-909e-06b4c2dcc4c3</x:v>
      </x:c>
      <x:c r="E1505" t="str">
        <x:v>g565e32f3-ddfa-40c7-8317-af998860dde7</x:v>
      </x:c>
      <x:c r="F1505" t="str">
        <x:v>https://www.webonary.org/marubo/g565e32f3-ddfa-40c7-8317-af998860dde7/</x:v>
      </x:c>
      <x:c r="G1505" s="20" t="n">
        <x:v>46003.93492572917</x:v>
      </x:c>
    </x:row>
    <x:row r="1506">
      <x:c r="A1506" t="str">
        <x:v>nome feminino</x:v>
      </x:c>
      <x:c r="B1506" t="str">
        <x:v>chai maya</x:v>
      </x:c>
      <x:c r="C1506" t="str">
        <x:v>n</x:v>
      </x:c>
      <x:c r="D1506" t="str">
        <x:v>ge9f0c184-b182-4ed7-909e-06b4c2dcc4c3</x:v>
      </x:c>
      <x:c r="E1506" t="str">
        <x:v>gee15051f-74ba-449f-a0da-52a530b8b4b4</x:v>
      </x:c>
      <x:c r="F1506" t="str">
        <x:v>https://www.webonary.org/marubo/gee15051f-74ba-449f-a0da-52a530b8b4b4/</x:v>
      </x:c>
      <x:c r="G1506" s="20" t="n">
        <x:v>46003.93492572917</x:v>
      </x:c>
    </x:row>
    <x:row r="1507">
      <x:c r="A1507" t="str">
        <x:v>nome feminino</x:v>
      </x:c>
      <x:c r="B1507" t="str">
        <x:v>chai shavo</x:v>
      </x:c>
      <x:c r="C1507" t="str">
        <x:v>n</x:v>
      </x:c>
      <x:c r="D1507" t="str">
        <x:v>ge9f0c184-b182-4ed7-909e-06b4c2dcc4c3</x:v>
      </x:c>
      <x:c r="E1507" t="str">
        <x:v>gac3beab6-3ba1-49f4-a35c-95c359d24c43</x:v>
      </x:c>
      <x:c r="F1507" t="str">
        <x:v>https://www.webonary.org/marubo/gac3beab6-3ba1-49f4-a35c-95c359d24c43/</x:v>
      </x:c>
      <x:c r="G1507" s="20" t="n">
        <x:v>46003.93492572917</x:v>
      </x:c>
    </x:row>
    <x:row r="1508">
      <x:c r="A1508" t="str">
        <x:v>nome feminino</x:v>
      </x:c>
      <x:c r="B1508" t="str">
        <x:v>chaĩ wani</x:v>
      </x:c>
      <x:c r="C1508" t="str">
        <x:v>n</x:v>
      </x:c>
      <x:c r="D1508" t="str">
        <x:v>ge9f0c184-b182-4ed7-909e-06b4c2dcc4c3</x:v>
      </x:c>
      <x:c r="E1508" t="str">
        <x:v>gb14c4d05-d0ca-4857-8b34-1d4a3bb19d20</x:v>
      </x:c>
      <x:c r="F1508" t="str">
        <x:v>https://www.webonary.org/marubo/gb14c4d05-d0ca-4857-8b34-1d4a3bb19d20/</x:v>
      </x:c>
      <x:c r="G1508" s="20" t="n">
        <x:v>46003.93492572917</x:v>
      </x:c>
    </x:row>
    <x:row r="1509">
      <x:c r="A1509" t="str">
        <x:v>nome feminino</x:v>
      </x:c>
      <x:c r="B1509" t="str">
        <x:v>chorĩwa</x:v>
      </x:c>
      <x:c r="C1509" t="str">
        <x:v>n</x:v>
      </x:c>
      <x:c r="D1509" t="str">
        <x:v>ge9f0c184-b182-4ed7-909e-06b4c2dcc4c3</x:v>
      </x:c>
      <x:c r="E1509" t="str">
        <x:v>g5d4fc52e-c240-4bc7-84cf-19eb39460151</x:v>
      </x:c>
      <x:c r="F1509" t="str">
        <x:v>https://www.webonary.org/marubo/g5d4fc52e-c240-4bc7-84cf-19eb39460151/</x:v>
      </x:c>
      <x:c r="G1509" s="20" t="n">
        <x:v>46003.93492572917</x:v>
      </x:c>
    </x:row>
    <x:row r="1510">
      <x:c r="A1510" t="str">
        <x:v>nome feminino</x:v>
      </x:c>
      <x:c r="B1510" t="str">
        <x:v>chori</x:v>
      </x:c>
      <x:c r="C1510" t="str">
        <x:v>n</x:v>
      </x:c>
      <x:c r="D1510" t="str">
        <x:v>ge9f0c184-b182-4ed7-909e-06b4c2dcc4c3</x:v>
      </x:c>
      <x:c r="E1510" t="str">
        <x:v>gdfb5da7d-73d8-45f8-ba72-1aad69d0bb95</x:v>
      </x:c>
      <x:c r="F1510" t="str">
        <x:v>https://www.webonary.org/marubo/gdfb5da7d-73d8-45f8-ba72-1aad69d0bb95/</x:v>
      </x:c>
      <x:c r="G1510" s="20" t="n">
        <x:v>46003.93492572917</x:v>
      </x:c>
    </x:row>
    <x:row r="1511">
      <x:c r="A1511" t="str">
        <x:v>nome feminino</x:v>
      </x:c>
      <x:c r="B1511" t="str">
        <x:v>1</x:v>
      </x:c>
      <x:c r="C1511" t="str">
        <x:v>n</x:v>
      </x:c>
      <x:c r="D1511" t="str">
        <x:v>ge9f0c184-b182-4ed7-909e-06b4c2dcc4c3</x:v>
      </x:c>
      <x:c r="E1511" t="str">
        <x:v>gdfb5da7d-73d8-45f8-ba72-1aad69d0bb95</x:v>
      </x:c>
      <x:c r="F1511" t="str">
        <x:v>https://www.webonary.org/marubo/gdfb5da7d-73d8-45f8-ba72-1aad69d0bb95/</x:v>
      </x:c>
      <x:c r="G1511" s="20" t="n">
        <x:v>46003.93492572917</x:v>
      </x:c>
    </x:row>
    <x:row r="1512">
      <x:c r="A1512" t="str">
        <x:v>nome feminino</x:v>
      </x:c>
      <x:c r="B1512" t="str">
        <x:v>choi</x:v>
      </x:c>
      <x:c r="C1512" t="str">
        <x:v>n</x:v>
      </x:c>
      <x:c r="D1512" t="str">
        <x:v>ge9f0c184-b182-4ed7-909e-06b4c2dcc4c3</x:v>
      </x:c>
      <x:c r="E1512" t="str">
        <x:v>g12e495a3-519b-4efb-824b-c4f02a286d33</x:v>
      </x:c>
      <x:c r="F1512" t="str">
        <x:v>https://www.webonary.org/marubo/g12e495a3-519b-4efb-824b-c4f02a286d33/</x:v>
      </x:c>
      <x:c r="G1512" s="20" t="n">
        <x:v>46003.93492572917</x:v>
      </x:c>
    </x:row>
    <x:row r="1513">
      <x:c r="A1513" t="str">
        <x:v>nome feminino</x:v>
      </x:c>
      <x:c r="B1513" t="str">
        <x:v>chocho</x:v>
      </x:c>
      <x:c r="C1513" t="str">
        <x:v>n</x:v>
      </x:c>
      <x:c r="D1513" t="str">
        <x:v>ge9f0c184-b182-4ed7-909e-06b4c2dcc4c3</x:v>
      </x:c>
      <x:c r="E1513" t="str">
        <x:v>g7832afbd-4c8b-46e3-8686-ba8e9517e391</x:v>
      </x:c>
      <x:c r="F1513" t="str">
        <x:v>https://www.webonary.org/marubo/g7832afbd-4c8b-46e3-8686-ba8e9517e391/</x:v>
      </x:c>
      <x:c r="G1513" s="20" t="n">
        <x:v>46003.93492572917</x:v>
      </x:c>
    </x:row>
    <x:row r="1514">
      <x:c r="A1514" t="str">
        <x:v>nome indígena para Rio Itui</x:v>
      </x:c>
      <x:c r="B1514" t="str">
        <x:v>txeshe</x:v>
      </x:c>
      <x:c r="C1514" t="str">
        <x:v>n</x:v>
      </x:c>
      <x:c r="D1514" t="str">
        <x:v>gb791d0ee-35ee-4f0a-a9c5-ed0ade0a34b0</x:v>
      </x:c>
      <x:c r="E1514" t="str">
        <x:v>g869a694f-6b78-4915-aaed-3208a98f58e7</x:v>
      </x:c>
      <x:c r="F1514" t="str">
        <x:v>https://www.webonary.org/marubo/g869a694f-6b78-4915-aaed-3208a98f58e7/</x:v>
      </x:c>
      <x:c r="G1514" s="20" t="n">
        <x:v>46003.93492572917</x:v>
      </x:c>
    </x:row>
    <x:row r="1515">
      <x:c r="A1515" t="str">
        <x:v>nome masculino</x:v>
      </x:c>
      <x:c r="B1515" t="str">
        <x:v>poya</x:v>
      </x:c>
      <x:c r="C1515" t="str">
        <x:v>n</x:v>
      </x:c>
      <x:c r="D1515" t="str">
        <x:v>g3105cc25-244d-46b3-a6d8-8e90f20b98be</x:v>
      </x:c>
      <x:c r="E1515" t="str">
        <x:v>g75abad19-fc18-470f-ae65-b9a8059b64fa</x:v>
      </x:c>
      <x:c r="F1515" t="str">
        <x:v>https://www.webonary.org/marubo/g75abad19-fc18-470f-ae65-b9a8059b64fa/</x:v>
      </x:c>
      <x:c r="G1515" s="20" t="n">
        <x:v>46003.93492572917</x:v>
      </x:c>
    </x:row>
    <x:row r="1516">
      <x:c r="A1516" t="str">
        <x:v>nome masculino</x:v>
      </x:c>
      <x:c r="B1516" t="str">
        <x:v>Võsĩpa</x:v>
      </x:c>
      <x:c r="C1516" t="str">
        <x:v>n</x:v>
      </x:c>
      <x:c r="D1516" t="str">
        <x:v>g3105cc25-244d-46b3-a6d8-8e90f20b98be</x:v>
      </x:c>
      <x:c r="E1516" t="str">
        <x:v>g2f0f1e5c-01db-45b2-9842-9c27ad2c32fa</x:v>
      </x:c>
      <x:c r="F1516" t="str">
        <x:v>https://www.webonary.org/marubo/g2f0f1e5c-01db-45b2-9842-9c27ad2c32fa/</x:v>
      </x:c>
      <x:c r="G1516" s="20" t="n">
        <x:v>46003.93492572917</x:v>
      </x:c>
    </x:row>
    <x:row r="1517">
      <x:c r="A1517" t="str">
        <x:v>nome masculino</x:v>
      </x:c>
      <x:c r="B1517" t="str">
        <x:v>Voré Sere</x:v>
      </x:c>
      <x:c r="C1517" t="str">
        <x:v>n</x:v>
      </x:c>
      <x:c r="D1517" t="str">
        <x:v>g3105cc25-244d-46b3-a6d8-8e90f20b98be</x:v>
      </x:c>
      <x:c r="E1517" t="str">
        <x:v>g8b502679-6225-4a77-867e-befa096416fb</x:v>
      </x:c>
      <x:c r="F1517" t="str">
        <x:v>https://www.webonary.org/marubo/g8b502679-6225-4a77-867e-befa096416fb/</x:v>
      </x:c>
      <x:c r="G1517" s="20" t="n">
        <x:v>46003.93492572917</x:v>
      </x:c>
    </x:row>
    <x:row r="1518">
      <x:c r="A1518" t="str">
        <x:v>nome masculino</x:v>
      </x:c>
      <x:c r="B1518" t="str">
        <x:v>Võpa</x:v>
      </x:c>
      <x:c r="C1518" t="str">
        <x:v>n</x:v>
      </x:c>
      <x:c r="D1518" t="str">
        <x:v>g3105cc25-244d-46b3-a6d8-8e90f20b98be</x:v>
      </x:c>
      <x:c r="E1518" t="str">
        <x:v>ge6f5be96-b093-4d89-b620-6586984465e2</x:v>
      </x:c>
      <x:c r="F1518" t="str">
        <x:v>https://www.webonary.org/marubo/ge6f5be96-b093-4d89-b620-6586984465e2/</x:v>
      </x:c>
      <x:c r="G1518" s="20" t="n">
        <x:v>46003.93492572917</x:v>
      </x:c>
    </x:row>
    <x:row r="1519">
      <x:c r="A1519" t="str">
        <x:v>nome masculino</x:v>
      </x:c>
      <x:c r="B1519" t="str">
        <x:v>Vinõpa</x:v>
      </x:c>
      <x:c r="C1519" t="str">
        <x:v>n</x:v>
      </x:c>
      <x:c r="D1519" t="str">
        <x:v>g3105cc25-244d-46b3-a6d8-8e90f20b98be</x:v>
      </x:c>
      <x:c r="E1519" t="str">
        <x:v>gecd2f5f4-c50e-4b9b-8d32-f62dbb11f210</x:v>
      </x:c>
      <x:c r="F1519" t="str">
        <x:v>https://www.webonary.org/marubo/gecd2f5f4-c50e-4b9b-8d32-f62dbb11f210/</x:v>
      </x:c>
      <x:c r="G1519" s="20" t="n">
        <x:v>46003.93492572917</x:v>
      </x:c>
    </x:row>
    <x:row r="1520">
      <x:c r="A1520" t="str">
        <x:v>nome masculino</x:v>
      </x:c>
      <x:c r="B1520" t="str">
        <x:v>vino</x:v>
      </x:c>
      <x:c r="C1520" t="str">
        <x:v>n</x:v>
      </x:c>
      <x:c r="D1520" t="str">
        <x:v>g3105cc25-244d-46b3-a6d8-8e90f20b98be</x:v>
      </x:c>
      <x:c r="E1520" t="str">
        <x:v>g04fc76ad-2820-469d-9da8-00bc55b4ad90</x:v>
      </x:c>
      <x:c r="F1520" t="str">
        <x:v>https://www.webonary.org/marubo/g04fc76ad-2820-469d-9da8-00bc55b4ad90/</x:v>
      </x:c>
      <x:c r="G1520" s="20" t="n">
        <x:v>46003.93492572917</x:v>
      </x:c>
    </x:row>
    <x:row r="1521">
      <x:c r="A1521" t="str">
        <x:v>nome masculino</x:v>
      </x:c>
      <x:c r="B1521" t="str">
        <x:v>Vinãpa</x:v>
      </x:c>
      <x:c r="C1521" t="str">
        <x:v>n</x:v>
      </x:c>
      <x:c r="D1521" t="str">
        <x:v>g3105cc25-244d-46b3-a6d8-8e90f20b98be</x:v>
      </x:c>
      <x:c r="E1521" t="str">
        <x:v>g3afd8bb4-c68c-4a12-86f8-32bca9364379</x:v>
      </x:c>
      <x:c r="F1521" t="str">
        <x:v>https://www.webonary.org/marubo/g3afd8bb4-c68c-4a12-86f8-32bca9364379/</x:v>
      </x:c>
      <x:c r="G1521" s="20" t="n">
        <x:v>46003.93492572917</x:v>
      </x:c>
    </x:row>
    <x:row r="1522">
      <x:c r="A1522" t="str">
        <x:v>nome masculino</x:v>
      </x:c>
      <x:c r="B1522" t="str">
        <x:v>vina</x:v>
      </x:c>
      <x:c r="C1522" t="str">
        <x:v>n</x:v>
      </x:c>
      <x:c r="D1522" t="str">
        <x:v>g3105cc25-244d-46b3-a6d8-8e90f20b98be</x:v>
      </x:c>
      <x:c r="E1522" t="str">
        <x:v>g504edeee-f1a9-42cc-8d6a-273569878b6e</x:v>
      </x:c>
      <x:c r="F1522" t="str">
        <x:v>https://www.webonary.org/marubo/g504edeee-f1a9-42cc-8d6a-273569878b6e/</x:v>
      </x:c>
      <x:c r="G1522" s="20" t="n">
        <x:v>46003.93492572917</x:v>
      </x:c>
    </x:row>
    <x:row r="1523">
      <x:c r="A1523" t="str">
        <x:v>nome masculino</x:v>
      </x:c>
      <x:c r="B1523" t="str">
        <x:v>Vimĩpa</x:v>
      </x:c>
      <x:c r="C1523" t="str">
        <x:v>n</x:v>
      </x:c>
      <x:c r="D1523" t="str">
        <x:v>g3105cc25-244d-46b3-a6d8-8e90f20b98be</x:v>
      </x:c>
      <x:c r="E1523" t="str">
        <x:v>gc0edbfb5-5507-4012-81bf-da953a66be42</x:v>
      </x:c>
      <x:c r="F1523" t="str">
        <x:v>https://www.webonary.org/marubo/gc0edbfb5-5507-4012-81bf-da953a66be42/</x:v>
      </x:c>
      <x:c r="G1523" s="20" t="n">
        <x:v>46003.93492572917</x:v>
      </x:c>
    </x:row>
    <x:row r="1524">
      <x:c r="A1524" t="str">
        <x:v>nome masculino</x:v>
      </x:c>
      <x:c r="B1524" t="str">
        <x:v>Vonãpa</x:v>
      </x:c>
      <x:c r="C1524" t="str">
        <x:v>n</x:v>
      </x:c>
      <x:c r="D1524" t="str">
        <x:v>g3105cc25-244d-46b3-a6d8-8e90f20b98be</x:v>
      </x:c>
      <x:c r="E1524" t="str">
        <x:v>gf246bbd9-01e7-46f8-8820-ab492e4b9ce5</x:v>
      </x:c>
      <x:c r="F1524" t="str">
        <x:v>https://www.webonary.org/marubo/gf246bbd9-01e7-46f8-8820-ab492e4b9ce5/</x:v>
      </x:c>
      <x:c r="G1524" s="20" t="n">
        <x:v>46003.93492572917</x:v>
      </x:c>
    </x:row>
    <x:row r="1525">
      <x:c r="A1525" t="str">
        <x:v>nome masculino</x:v>
      </x:c>
      <x:c r="B1525" t="str">
        <x:v>vona</x:v>
      </x:c>
      <x:c r="C1525" t="str">
        <x:v>n</x:v>
      </x:c>
      <x:c r="D1525" t="str">
        <x:v>g3105cc25-244d-46b3-a6d8-8e90f20b98be</x:v>
      </x:c>
      <x:c r="E1525" t="str">
        <x:v>gc0748ca9-487b-425c-882d-574158a18e8d</x:v>
      </x:c>
      <x:c r="F1525" t="str">
        <x:v>https://www.webonary.org/marubo/gc0748ca9-487b-425c-882d-574158a18e8d/</x:v>
      </x:c>
      <x:c r="G1525" s="20" t="n">
        <x:v>46003.93492572917</x:v>
      </x:c>
    </x:row>
    <x:row r="1526">
      <x:c r="A1526" t="str">
        <x:v>nome masculino</x:v>
      </x:c>
      <x:c r="B1526" t="str">
        <x:v>võko</x:v>
      </x:c>
      <x:c r="C1526" t="str">
        <x:v>n</x:v>
      </x:c>
      <x:c r="D1526" t="str">
        <x:v>g3105cc25-244d-46b3-a6d8-8e90f20b98be</x:v>
      </x:c>
      <x:c r="E1526" t="str">
        <x:v>g1e770090-a0d6-4764-a3f8-548624aaafd5</x:v>
      </x:c>
      <x:c r="F1526" t="str">
        <x:v>https://www.webonary.org/marubo/g1e770090-a0d6-4764-a3f8-548624aaafd5/</x:v>
      </x:c>
      <x:c r="G1526" s="20" t="n">
        <x:v>46003.93492572917</x:v>
      </x:c>
    </x:row>
    <x:row r="1527">
      <x:c r="A1527" t="str">
        <x:v>nome masculino</x:v>
      </x:c>
      <x:c r="B1527" t="str">
        <x:v>Võkĩpa</x:v>
      </x:c>
      <x:c r="C1527" t="str">
        <x:v>n</x:v>
      </x:c>
      <x:c r="D1527" t="str">
        <x:v>g3105cc25-244d-46b3-a6d8-8e90f20b98be</x:v>
      </x:c>
      <x:c r="E1527" t="str">
        <x:v>gdab235fd-6e60-48a7-a271-b09d752c6b66</x:v>
      </x:c>
      <x:c r="F1527" t="str">
        <x:v>https://www.webonary.org/marubo/gdab235fd-6e60-48a7-a271-b09d752c6b66/</x:v>
      </x:c>
      <x:c r="G1527" s="20" t="n">
        <x:v>46003.93492572917</x:v>
      </x:c>
    </x:row>
    <x:row r="1528">
      <x:c r="A1528" t="str">
        <x:v>nome masculino</x:v>
      </x:c>
      <x:c r="B1528" t="str">
        <x:v>Vimíni</x:v>
      </x:c>
      <x:c r="C1528" t="str">
        <x:v>n</x:v>
      </x:c>
      <x:c r="D1528" t="str">
        <x:v>g3105cc25-244d-46b3-a6d8-8e90f20b98be</x:v>
      </x:c>
      <x:c r="E1528" t="str">
        <x:v>gc6855e06-c7f6-4fda-a051-98cc15099f56</x:v>
      </x:c>
      <x:c r="F1528" t="str">
        <x:v>https://www.webonary.org/marubo/gc6855e06-c7f6-4fda-a051-98cc15099f56/</x:v>
      </x:c>
      <x:c r="G1528" s="20" t="n">
        <x:v>46003.93492572917</x:v>
      </x:c>
    </x:row>
    <x:row r="1529">
      <x:c r="A1529" t="str">
        <x:v>nome masculino</x:v>
      </x:c>
      <x:c r="B1529" t="str">
        <x:v>yoáti</x:v>
      </x:c>
      <x:c r="C1529" t="str">
        <x:v>n</x:v>
      </x:c>
      <x:c r="D1529" t="str">
        <x:v>g3105cc25-244d-46b3-a6d8-8e90f20b98be</x:v>
      </x:c>
      <x:c r="E1529" t="str">
        <x:v>g883ce65d-0807-4876-960d-0a7925c431b7</x:v>
      </x:c>
      <x:c r="F1529" t="str">
        <x:v>https://www.webonary.org/marubo/g883ce65d-0807-4876-960d-0a7925c431b7/</x:v>
      </x:c>
      <x:c r="G1529" s="20" t="n">
        <x:v>46003.93492572917</x:v>
      </x:c>
    </x:row>
    <x:row r="1530">
      <x:c r="A1530" t="str">
        <x:v>nome masculino</x:v>
      </x:c>
      <x:c r="B1530" t="str">
        <x:v>yopa</x:v>
      </x:c>
      <x:c r="C1530" t="str">
        <x:v>n</x:v>
      </x:c>
      <x:c r="D1530" t="str">
        <x:v>g3105cc25-244d-46b3-a6d8-8e90f20b98be</x:v>
      </x:c>
      <x:c r="E1530" t="str">
        <x:v>g352c6022-10af-4af4-80f7-9aa089f9ee69</x:v>
      </x:c>
      <x:c r="F1530" t="str">
        <x:v>https://www.webonary.org/marubo/g352c6022-10af-4af4-80f7-9aa089f9ee69/</x:v>
      </x:c>
      <x:c r="G1530" s="20" t="n">
        <x:v>46003.93492572917</x:v>
      </x:c>
    </x:row>
    <x:row r="1531">
      <x:c r="A1531" t="str">
        <x:v>nome masculino</x:v>
      </x:c>
      <x:c r="B1531" t="str">
        <x:v>2</x:v>
      </x:c>
      <x:c r="C1531" t="str">
        <x:v>n</x:v>
      </x:c>
      <x:c r="D1531" t="str">
        <x:v>g3105cc25-244d-46b3-a6d8-8e90f20b98be</x:v>
      </x:c>
      <x:c r="E1531" t="str">
        <x:v>g352c6022-10af-4af4-80f7-9aa089f9ee69</x:v>
      </x:c>
      <x:c r="F1531" t="str">
        <x:v>https://www.webonary.org/marubo/g352c6022-10af-4af4-80f7-9aa089f9ee69/</x:v>
      </x:c>
      <x:c r="G1531" s="20" t="n">
        <x:v>46003.93492572917</x:v>
      </x:c>
    </x:row>
    <x:row r="1532">
      <x:c r="A1532" t="str">
        <x:v>nome masculino</x:v>
      </x:c>
      <x:c r="B1532" t="str">
        <x:v>vana</x:v>
      </x:c>
      <x:c r="C1532" t="str">
        <x:v>n</x:v>
      </x:c>
      <x:c r="D1532" t="str">
        <x:v>g3105cc25-244d-46b3-a6d8-8e90f20b98be</x:v>
      </x:c>
      <x:c r="E1532" t="str">
        <x:v>gd2063ae1-f201-49d0-9575-cecf591880b1</x:v>
      </x:c>
      <x:c r="F1532" t="str">
        <x:v>https://www.webonary.org/marubo/gd2063ae1-f201-49d0-9575-cecf591880b1/</x:v>
      </x:c>
      <x:c r="G1532" s="20" t="n">
        <x:v>46003.93492572917</x:v>
      </x:c>
    </x:row>
    <x:row r="1533">
      <x:c r="A1533" t="str">
        <x:v>nome masculino</x:v>
      </x:c>
      <x:c r="B1533" t="str">
        <x:v>1</x:v>
      </x:c>
      <x:c r="C1533" t="str">
        <x:v>n</x:v>
      </x:c>
      <x:c r="D1533" t="str">
        <x:v>g3105cc25-244d-46b3-a6d8-8e90f20b98be</x:v>
      </x:c>
      <x:c r="E1533" t="str">
        <x:v>gd2063ae1-f201-49d0-9575-cecf591880b1</x:v>
      </x:c>
      <x:c r="F1533" t="str">
        <x:v>https://www.webonary.org/marubo/gd2063ae1-f201-49d0-9575-cecf591880b1/</x:v>
      </x:c>
      <x:c r="G1533" s="20" t="n">
        <x:v>46003.93492572917</x:v>
      </x:c>
    </x:row>
    <x:row r="1534">
      <x:c r="A1534" t="str">
        <x:v>nome masculino</x:v>
      </x:c>
      <x:c r="B1534" t="str">
        <x:v>vamãpa</x:v>
      </x:c>
      <x:c r="C1534" t="str">
        <x:v>n</x:v>
      </x:c>
      <x:c r="D1534" t="str">
        <x:v>g3105cc25-244d-46b3-a6d8-8e90f20b98be</x:v>
      </x:c>
      <x:c r="E1534" t="str">
        <x:v>g4c38e18a-6872-4825-bde0-cfabceee8a89</x:v>
      </x:c>
      <x:c r="F1534" t="str">
        <x:v>https://www.webonary.org/marubo/g4c38e18a-6872-4825-bde0-cfabceee8a89/</x:v>
      </x:c>
      <x:c r="G1534" s="20" t="n">
        <x:v>46003.93492572917</x:v>
      </x:c>
    </x:row>
    <x:row r="1535">
      <x:c r="A1535" t="str">
        <x:v>nome masculino</x:v>
      </x:c>
      <x:c r="B1535" t="str">
        <x:v>vama</x:v>
      </x:c>
      <x:c r="C1535" t="str">
        <x:v>n</x:v>
      </x:c>
      <x:c r="D1535" t="str">
        <x:v>g3105cc25-244d-46b3-a6d8-8e90f20b98be</x:v>
      </x:c>
      <x:c r="E1535" t="str">
        <x:v>g425ff7d6-4b27-48a3-8c91-89f4eb3f991d</x:v>
      </x:c>
      <x:c r="F1535" t="str">
        <x:v>https://www.webonary.org/marubo/g425ff7d6-4b27-48a3-8c91-89f4eb3f991d/</x:v>
      </x:c>
      <x:c r="G1535" s="20" t="n">
        <x:v>46003.93492572917</x:v>
      </x:c>
    </x:row>
    <x:row r="1536">
      <x:c r="A1536" t="str">
        <x:v>nome masculino</x:v>
      </x:c>
      <x:c r="B1536" t="str">
        <x:v>1</x:v>
      </x:c>
      <x:c r="C1536" t="str">
        <x:v>n</x:v>
      </x:c>
      <x:c r="D1536" t="str">
        <x:v>g3105cc25-244d-46b3-a6d8-8e90f20b98be</x:v>
      </x:c>
      <x:c r="E1536" t="str">
        <x:v>g425ff7d6-4b27-48a3-8c91-89f4eb3f991d</x:v>
      </x:c>
      <x:c r="F1536" t="str">
        <x:v>https://www.webonary.org/marubo/g425ff7d6-4b27-48a3-8c91-89f4eb3f991d/</x:v>
      </x:c>
      <x:c r="G1536" s="20" t="n">
        <x:v>46003.93492572917</x:v>
      </x:c>
    </x:row>
    <x:row r="1537">
      <x:c r="A1537" t="str">
        <x:v>nome masculino</x:v>
      </x:c>
      <x:c r="B1537" t="str">
        <x:v>vasho</x:v>
      </x:c>
      <x:c r="C1537" t="str">
        <x:v>n</x:v>
      </x:c>
      <x:c r="D1537" t="str">
        <x:v>g3105cc25-244d-46b3-a6d8-8e90f20b98be</x:v>
      </x:c>
      <x:c r="E1537" t="str">
        <x:v>g22dca768-44ef-4daa-98dc-4773ff919377</x:v>
      </x:c>
      <x:c r="F1537" t="str">
        <x:v>https://www.webonary.org/marubo/g22dca768-44ef-4daa-98dc-4773ff919377/</x:v>
      </x:c>
      <x:c r="G1537" s="20" t="n">
        <x:v>46003.93492572917</x:v>
      </x:c>
    </x:row>
    <x:row r="1538">
      <x:c r="A1538" t="str">
        <x:v>nome masculino</x:v>
      </x:c>
      <x:c r="B1538" t="str">
        <x:v>vasĩpa</x:v>
      </x:c>
      <x:c r="C1538" t="str">
        <x:v>n</x:v>
      </x:c>
      <x:c r="D1538" t="str">
        <x:v>g3105cc25-244d-46b3-a6d8-8e90f20b98be</x:v>
      </x:c>
      <x:c r="E1538" t="str">
        <x:v>gcd225392-3332-4467-98d2-a459243e8981</x:v>
      </x:c>
      <x:c r="F1538" t="str">
        <x:v>https://www.webonary.org/marubo/gcd225392-3332-4467-98d2-a459243e8981/</x:v>
      </x:c>
      <x:c r="G1538" s="20" t="n">
        <x:v>46003.93492572917</x:v>
      </x:c>
    </x:row>
    <x:row r="1539">
      <x:c r="A1539" t="str">
        <x:v>nome masculino</x:v>
      </x:c>
      <x:c r="B1539" t="str">
        <x:v>varĩ vimi</x:v>
      </x:c>
      <x:c r="C1539" t="str">
        <x:v>n</x:v>
      </x:c>
      <x:c r="D1539" t="str">
        <x:v>g3105cc25-244d-46b3-a6d8-8e90f20b98be</x:v>
      </x:c>
      <x:c r="E1539" t="str">
        <x:v>gb8e2a813-bbb4-4b23-8778-7769b8de56a6</x:v>
      </x:c>
      <x:c r="F1539" t="str">
        <x:v>https://www.webonary.org/marubo/gb8e2a813-bbb4-4b23-8778-7769b8de56a6/</x:v>
      </x:c>
      <x:c r="G1539" s="20" t="n">
        <x:v>46003.93492572917</x:v>
      </x:c>
    </x:row>
    <x:row r="1540">
      <x:c r="A1540" t="str">
        <x:v>nome masculino</x:v>
      </x:c>
      <x:c r="B1540" t="str">
        <x:v>vanãpa</x:v>
      </x:c>
      <x:c r="C1540" t="str">
        <x:v>n</x:v>
      </x:c>
      <x:c r="D1540" t="str">
        <x:v>g3105cc25-244d-46b3-a6d8-8e90f20b98be</x:v>
      </x:c>
      <x:c r="E1540" t="str">
        <x:v>gf5de3802-5e86-46a5-af64-39600f4ea9ef</x:v>
      </x:c>
      <x:c r="F1540" t="str">
        <x:v>https://www.webonary.org/marubo/gf5de3802-5e86-46a5-af64-39600f4ea9ef/</x:v>
      </x:c>
      <x:c r="G1540" s="20" t="n">
        <x:v>46003.93492572917</x:v>
      </x:c>
    </x:row>
    <x:row r="1541">
      <x:c r="A1541" t="str">
        <x:v>nome masculino</x:v>
      </x:c>
      <x:c r="B1541" t="str">
        <x:v>vari shavõpa</x:v>
      </x:c>
      <x:c r="C1541" t="str">
        <x:v>n</x:v>
      </x:c>
      <x:c r="D1541" t="str">
        <x:v>g3105cc25-244d-46b3-a6d8-8e90f20b98be</x:v>
      </x:c>
      <x:c r="E1541" t="str">
        <x:v>g87d4c95d-dbee-43a6-9b9d-798340cb6cfc</x:v>
      </x:c>
      <x:c r="F1541" t="str">
        <x:v>https://www.webonary.org/marubo/g87d4c95d-dbee-43a6-9b9d-798340cb6cfc/</x:v>
      </x:c>
      <x:c r="G1541" s="20" t="n">
        <x:v>46003.93492572917</x:v>
      </x:c>
    </x:row>
    <x:row r="1542">
      <x:c r="A1542" t="str">
        <x:v>nome masculino</x:v>
      </x:c>
      <x:c r="B1542" t="str">
        <x:v>vari panã</x:v>
      </x:c>
      <x:c r="C1542" t="str">
        <x:v>n</x:v>
      </x:c>
      <x:c r="D1542" t="str">
        <x:v>g3105cc25-244d-46b3-a6d8-8e90f20b98be</x:v>
      </x:c>
      <x:c r="E1542" t="str">
        <x:v>g458bc1dd-c7db-4a70-b820-ad8cbf7a36d6</x:v>
      </x:c>
      <x:c r="F1542" t="str">
        <x:v>https://www.webonary.org/marubo/g458bc1dd-c7db-4a70-b820-ad8cbf7a36d6/</x:v>
      </x:c>
      <x:c r="G1542" s="20" t="n">
        <x:v>46003.93492572917</x:v>
      </x:c>
    </x:row>
    <x:row r="1543">
      <x:c r="A1543" t="str">
        <x:v>nome masculino</x:v>
      </x:c>
      <x:c r="B1543" t="str">
        <x:v>vari nato</x:v>
      </x:c>
      <x:c r="C1543" t="str">
        <x:v>n</x:v>
      </x:c>
      <x:c r="D1543" t="str">
        <x:v>g3105cc25-244d-46b3-a6d8-8e90f20b98be</x:v>
      </x:c>
      <x:c r="E1543" t="str">
        <x:v>g726f77a1-0360-4c50-8b42-08073a5e3f5f</x:v>
      </x:c>
      <x:c r="F1543" t="str">
        <x:v>https://www.webonary.org/marubo/g726f77a1-0360-4c50-8b42-08073a5e3f5f/</x:v>
      </x:c>
      <x:c r="G1543" s="20" t="n">
        <x:v>46003.93492572917</x:v>
      </x:c>
    </x:row>
    <x:row r="1544">
      <x:c r="A1544" t="str">
        <x:v>nome masculino</x:v>
      </x:c>
      <x:c r="B1544" t="str">
        <x:v>vari itsa</x:v>
      </x:c>
      <x:c r="C1544" t="str">
        <x:v>n</x:v>
      </x:c>
      <x:c r="D1544" t="str">
        <x:v>g3105cc25-244d-46b3-a6d8-8e90f20b98be</x:v>
      </x:c>
      <x:c r="E1544" t="str">
        <x:v>g08a88835-22f3-4fe6-9142-19f217aaa12e</x:v>
      </x:c>
      <x:c r="F1544" t="str">
        <x:v>https://www.webonary.org/marubo/g08a88835-22f3-4fe6-9142-19f217aaa12e/</x:v>
      </x:c>
      <x:c r="G1544" s="20" t="n">
        <x:v>46003.93492572917</x:v>
      </x:c>
    </x:row>
    <x:row r="1545">
      <x:c r="A1545" t="str">
        <x:v>nome masculino</x:v>
      </x:c>
      <x:c r="B1545" t="str">
        <x:v>vari</x:v>
      </x:c>
      <x:c r="C1545" t="str">
        <x:v>n</x:v>
      </x:c>
      <x:c r="D1545" t="str">
        <x:v>g3105cc25-244d-46b3-a6d8-8e90f20b98be</x:v>
      </x:c>
      <x:c r="E1545" t="str">
        <x:v>gaa061f79-4b8c-476b-939e-561aa91e277a</x:v>
      </x:c>
      <x:c r="F1545" t="str">
        <x:v>https://www.webonary.org/marubo/gaa061f79-4b8c-476b-939e-561aa91e277a/</x:v>
      </x:c>
      <x:c r="G1545" s="20" t="n">
        <x:v>46003.93492572917</x:v>
      </x:c>
    </x:row>
    <x:row r="1546">
      <x:c r="A1546" t="str">
        <x:v>nome masculino</x:v>
      </x:c>
      <x:c r="B1546" t="str">
        <x:v>vanẽpa</x:v>
      </x:c>
      <x:c r="C1546" t="str">
        <x:v>n</x:v>
      </x:c>
      <x:c r="D1546" t="str">
        <x:v>g3105cc25-244d-46b3-a6d8-8e90f20b98be</x:v>
      </x:c>
      <x:c r="E1546" t="str">
        <x:v>gd4368a86-83cd-40b9-980a-b65584f56e16</x:v>
      </x:c>
      <x:c r="F1546" t="str">
        <x:v>https://www.webonary.org/marubo/gd4368a86-83cd-40b9-980a-b65584f56e16/</x:v>
      </x:c>
      <x:c r="G1546" s="20" t="n">
        <x:v>46003.93492572917</x:v>
      </x:c>
    </x:row>
    <x:row r="1547">
      <x:c r="A1547" t="str">
        <x:v>nome masculino</x:v>
      </x:c>
      <x:c r="B1547" t="str">
        <x:v>vãtĩpa</x:v>
      </x:c>
      <x:c r="C1547" t="str">
        <x:v>n</x:v>
      </x:c>
      <x:c r="D1547" t="str">
        <x:v>g3105cc25-244d-46b3-a6d8-8e90f20b98be</x:v>
      </x:c>
      <x:c r="E1547" t="str">
        <x:v>g4d9d94db-fd75-4481-8bfb-4f550487cd56</x:v>
      </x:c>
      <x:c r="F1547" t="str">
        <x:v>https://www.webonary.org/marubo/g4d9d94db-fd75-4481-8bfb-4f550487cd56/</x:v>
      </x:c>
      <x:c r="G1547" s="20" t="n">
        <x:v>46003.93492572917</x:v>
      </x:c>
    </x:row>
    <x:row r="1548">
      <x:c r="A1548" t="str">
        <x:v>nome masculino</x:v>
      </x:c>
      <x:c r="B1548" t="str">
        <x:v>vimi</x:v>
      </x:c>
      <x:c r="C1548" t="str">
        <x:v>n</x:v>
      </x:c>
      <x:c r="D1548" t="str">
        <x:v>g3105cc25-244d-46b3-a6d8-8e90f20b98be</x:v>
      </x:c>
      <x:c r="E1548" t="str">
        <x:v>g2dd5c06b-8f41-48a1-8bb0-7e6d6ba48675</x:v>
      </x:c>
      <x:c r="F1548" t="str">
        <x:v>https://www.webonary.org/marubo/g2dd5c06b-8f41-48a1-8bb0-7e6d6ba48675/</x:v>
      </x:c>
      <x:c r="G1548" s="20" t="n">
        <x:v>46003.93492572917</x:v>
      </x:c>
    </x:row>
    <x:row r="1549">
      <x:c r="A1549" t="str">
        <x:v>nome masculino</x:v>
      </x:c>
      <x:c r="B1549" t="str">
        <x:v>vekãpa</x:v>
      </x:c>
      <x:c r="C1549" t="str">
        <x:v>n</x:v>
      </x:c>
      <x:c r="D1549" t="str">
        <x:v>g3105cc25-244d-46b3-a6d8-8e90f20b98be</x:v>
      </x:c>
      <x:c r="E1549" t="str">
        <x:v>g70384072-fde8-40ad-9f8a-009615d35720</x:v>
      </x:c>
      <x:c r="F1549" t="str">
        <x:v>https://www.webonary.org/marubo/g70384072-fde8-40ad-9f8a-009615d35720/</x:v>
      </x:c>
      <x:c r="G1549" s="20" t="n">
        <x:v>46003.93492572917</x:v>
      </x:c>
    </x:row>
    <x:row r="1550">
      <x:c r="A1550" t="str">
        <x:v>nome masculino</x:v>
      </x:c>
      <x:c r="B1550" t="str">
        <x:v>vea</x:v>
      </x:c>
      <x:c r="C1550" t="str">
        <x:v>n</x:v>
      </x:c>
      <x:c r="D1550" t="str">
        <x:v>g3105cc25-244d-46b3-a6d8-8e90f20b98be</x:v>
      </x:c>
      <x:c r="E1550" t="str">
        <x:v>g1d8ba919-a77d-4dac-9588-ae495bd07301</x:v>
      </x:c>
      <x:c r="F1550" t="str">
        <x:v>https://www.webonary.org/marubo/g1d8ba919-a77d-4dac-9588-ae495bd07301/</x:v>
      </x:c>
      <x:c r="G1550" s="20" t="n">
        <x:v>46003.93492572917</x:v>
      </x:c>
    </x:row>
    <x:row r="1551">
      <x:c r="A1551" t="str">
        <x:v>nome masculino</x:v>
      </x:c>
      <x:c r="B1551" t="str">
        <x:v>2</x:v>
      </x:c>
      <x:c r="C1551" t="str">
        <x:v>n</x:v>
      </x:c>
      <x:c r="D1551" t="str">
        <x:v>g3105cc25-244d-46b3-a6d8-8e90f20b98be</x:v>
      </x:c>
      <x:c r="E1551" t="str">
        <x:v>g1d8ba919-a77d-4dac-9588-ae495bd07301</x:v>
      </x:c>
      <x:c r="F1551" t="str">
        <x:v>https://www.webonary.org/marubo/g1d8ba919-a77d-4dac-9588-ae495bd07301/</x:v>
      </x:c>
      <x:c r="G1551" s="20" t="n">
        <x:v>46003.93492572917</x:v>
      </x:c>
    </x:row>
    <x:row r="1552">
      <x:c r="A1552" t="str">
        <x:v>nome masculino</x:v>
      </x:c>
      <x:c r="B1552" t="str">
        <x:v>vatxinawa</x:v>
      </x:c>
      <x:c r="C1552" t="str">
        <x:v>n</x:v>
      </x:c>
      <x:c r="D1552" t="str">
        <x:v>g3105cc25-244d-46b3-a6d8-8e90f20b98be</x:v>
      </x:c>
      <x:c r="E1552" t="str">
        <x:v>gccd805d4-ecc2-4575-bd4a-d09ff1334cbb</x:v>
      </x:c>
      <x:c r="F1552" t="str">
        <x:v>https://www.webonary.org/marubo/gccd805d4-ecc2-4575-bd4a-d09ff1334cbb/</x:v>
      </x:c>
      <x:c r="G1552" s="20" t="n">
        <x:v>46003.93492572917</x:v>
      </x:c>
    </x:row>
    <x:row r="1553">
      <x:c r="A1553" t="str">
        <x:v>nome masculino</x:v>
      </x:c>
      <x:c r="B1553" t="str">
        <x:v>venãpa</x:v>
      </x:c>
      <x:c r="C1553" t="str">
        <x:v>n</x:v>
      </x:c>
      <x:c r="D1553" t="str">
        <x:v>g3105cc25-244d-46b3-a6d8-8e90f20b98be</x:v>
      </x:c>
      <x:c r="E1553" t="str">
        <x:v>g2b202f2a-7723-463e-bf9a-e6828c4790b8</x:v>
      </x:c>
      <x:c r="F1553" t="str">
        <x:v>https://www.webonary.org/marubo/g2b202f2a-7723-463e-bf9a-e6828c4790b8/</x:v>
      </x:c>
      <x:c r="G1553" s="20" t="n">
        <x:v>46003.93492572917</x:v>
      </x:c>
    </x:row>
    <x:row r="1554">
      <x:c r="A1554" t="str">
        <x:v>nome masculino</x:v>
      </x:c>
      <x:c r="B1554" t="str">
        <x:v>veo</x:v>
      </x:c>
      <x:c r="C1554" t="str">
        <x:v>n</x:v>
      </x:c>
      <x:c r="D1554" t="str">
        <x:v>g3105cc25-244d-46b3-a6d8-8e90f20b98be</x:v>
      </x:c>
      <x:c r="E1554" t="str">
        <x:v>g2fdfd52c-cf9b-499a-80ae-a1a7591fe010</x:v>
      </x:c>
      <x:c r="F1554" t="str">
        <x:v>https://www.webonary.org/marubo/g2fdfd52c-cf9b-499a-80ae-a1a7591fe010/</x:v>
      </x:c>
      <x:c r="G1554" s="20" t="n">
        <x:v>46003.93492572917</x:v>
      </x:c>
    </x:row>
    <x:row r="1555">
      <x:c r="A1555" t="str">
        <x:v>nome masculino</x:v>
      </x:c>
      <x:c r="B1555" t="str">
        <x:v>itsa</x:v>
      </x:c>
      <x:c r="C1555" t="str">
        <x:v>n</x:v>
      </x:c>
      <x:c r="D1555" t="str">
        <x:v>g3105cc25-244d-46b3-a6d8-8e90f20b98be</x:v>
      </x:c>
      <x:c r="E1555" t="str">
        <x:v>g7e0c4ab8-e7e7-4522-b4cd-a202164e70b3</x:v>
      </x:c>
      <x:c r="F1555" t="str">
        <x:v>https://www.webonary.org/marubo/g7e0c4ab8-e7e7-4522-b4cd-a202164e70b3/</x:v>
      </x:c>
      <x:c r="G1555" s="20" t="n">
        <x:v>46003.93492572917</x:v>
      </x:c>
    </x:row>
    <x:row r="1556">
      <x:c r="A1556" t="str">
        <x:v>nome masculino</x:v>
      </x:c>
      <x:c r="B1556" t="str">
        <x:v>1</x:v>
      </x:c>
      <x:c r="C1556" t="str">
        <x:v>n</x:v>
      </x:c>
      <x:c r="D1556" t="str">
        <x:v>g3105cc25-244d-46b3-a6d8-8e90f20b98be</x:v>
      </x:c>
      <x:c r="E1556" t="str">
        <x:v>g7e0c4ab8-e7e7-4522-b4cd-a202164e70b3</x:v>
      </x:c>
      <x:c r="F1556" t="str">
        <x:v>https://www.webonary.org/marubo/g7e0c4ab8-e7e7-4522-b4cd-a202164e70b3/</x:v>
      </x:c>
      <x:c r="G1556" s="20" t="n">
        <x:v>46003.93492572917</x:v>
      </x:c>
    </x:row>
    <x:row r="1557">
      <x:c r="A1557" t="str">
        <x:v>nome masculino</x:v>
      </x:c>
      <x:c r="B1557" t="str">
        <x:v>ema</x:v>
      </x:c>
      <x:c r="C1557" t="str">
        <x:v>n</x:v>
      </x:c>
      <x:c r="D1557" t="str">
        <x:v>g3105cc25-244d-46b3-a6d8-8e90f20b98be</x:v>
      </x:c>
      <x:c r="E1557" t="str">
        <x:v>g9b83f619-b5f2-47f3-afcf-70eea77794d6</x:v>
      </x:c>
      <x:c r="F1557" t="str">
        <x:v>https://www.webonary.org/marubo/g9b83f619-b5f2-47f3-afcf-70eea77794d6/</x:v>
      </x:c>
      <x:c r="G1557" s="20" t="n">
        <x:v>46003.93492572917</x:v>
      </x:c>
    </x:row>
    <x:row r="1558">
      <x:c r="A1558" t="str">
        <x:v>nome masculino</x:v>
      </x:c>
      <x:c r="B1558" t="str">
        <x:v>chorĩpa</x:v>
      </x:c>
      <x:c r="C1558" t="str">
        <x:v>n</x:v>
      </x:c>
      <x:c r="D1558" t="str">
        <x:v>g3105cc25-244d-46b3-a6d8-8e90f20b98be</x:v>
      </x:c>
      <x:c r="E1558" t="str">
        <x:v>ge1614bac-fc67-43ad-ab0f-66651f5ce718</x:v>
      </x:c>
      <x:c r="F1558" t="str">
        <x:v>https://www.webonary.org/marubo/ge1614bac-fc67-43ad-ab0f-66651f5ce718/</x:v>
      </x:c>
      <x:c r="G1558" s="20" t="n">
        <x:v>46003.93492572917</x:v>
      </x:c>
    </x:row>
    <x:row r="1559">
      <x:c r="A1559" t="str">
        <x:v>nome masculino</x:v>
      </x:c>
      <x:c r="B1559" t="str">
        <x:v>evo</x:v>
      </x:c>
      <x:c r="C1559" t="str">
        <x:v>n</x:v>
      </x:c>
      <x:c r="D1559" t="str">
        <x:v>g3105cc25-244d-46b3-a6d8-8e90f20b98be</x:v>
      </x:c>
      <x:c r="E1559" t="str">
        <x:v>g9b423829-82a4-4a7b-8206-81586adac7e1</x:v>
      </x:c>
      <x:c r="F1559" t="str">
        <x:v>https://www.webonary.org/marubo/g9b423829-82a4-4a7b-8206-81586adac7e1/</x:v>
      </x:c>
      <x:c r="G1559" s="20" t="n">
        <x:v>46003.93492572917</x:v>
      </x:c>
    </x:row>
    <x:row r="1560">
      <x:c r="A1560" t="str">
        <x:v>nome masculino</x:v>
      </x:c>
      <x:c r="B1560" t="str">
        <x:v>1</x:v>
      </x:c>
      <x:c r="C1560" t="str">
        <x:v>n</x:v>
      </x:c>
      <x:c r="D1560" t="str">
        <x:v>g3105cc25-244d-46b3-a6d8-8e90f20b98be</x:v>
      </x:c>
      <x:c r="E1560" t="str">
        <x:v>g9b423829-82a4-4a7b-8206-81586adac7e1</x:v>
      </x:c>
      <x:c r="F1560" t="str">
        <x:v>https://www.webonary.org/marubo/g9b423829-82a4-4a7b-8206-81586adac7e1/</x:v>
      </x:c>
      <x:c r="G1560" s="20" t="n">
        <x:v>46003.93492572917</x:v>
      </x:c>
    </x:row>
    <x:row r="1561">
      <x:c r="A1561" t="str">
        <x:v>nome masculino</x:v>
      </x:c>
      <x:c r="B1561" t="str">
        <x:v>chaĩnĩpa</x:v>
      </x:c>
      <x:c r="C1561" t="str">
        <x:v>n</x:v>
      </x:c>
      <x:c r="D1561" t="str">
        <x:v>g3105cc25-244d-46b3-a6d8-8e90f20b98be</x:v>
      </x:c>
      <x:c r="E1561" t="str">
        <x:v>ga339676c-068f-44a5-ae70-38e48e7cd24c</x:v>
      </x:c>
      <x:c r="F1561" t="str">
        <x:v>https://www.webonary.org/marubo/ga339676c-068f-44a5-ae70-38e48e7cd24c/</x:v>
      </x:c>
      <x:c r="G1561" s="20" t="n">
        <x:v>46003.93492572917</x:v>
      </x:c>
    </x:row>
    <x:row r="1562">
      <x:c r="A1562" t="str">
        <x:v>nome para macocal (sene) de estimação</x:v>
      </x:c>
      <x:c r="B1562" t="str">
        <x:v>chori</x:v>
      </x:c>
      <x:c r="C1562" t="str">
        <x:v>n</x:v>
      </x:c>
      <x:c r="D1562" t="str">
        <x:v>g8da98f87-cd9a-4078-8fae-25e76d438449</x:v>
      </x:c>
      <x:c r="E1562" t="str">
        <x:v>gdfb5da7d-73d8-45f8-ba72-1aad69d0bb95</x:v>
      </x:c>
      <x:c r="F1562" t="str">
        <x:v>https://www.webonary.org/marubo/gdfb5da7d-73d8-45f8-ba72-1aad69d0bb95/</x:v>
      </x:c>
      <x:c r="G1562" s="20" t="n">
        <x:v>46003.93492572917</x:v>
      </x:c>
    </x:row>
    <x:row r="1563">
      <x:c r="A1563" t="str">
        <x:v>nome para macocal (sene) de estimação</x:v>
      </x:c>
      <x:c r="B1563" t="str">
        <x:v>1</x:v>
      </x:c>
      <x:c r="C1563" t="str">
        <x:v>n</x:v>
      </x:c>
      <x:c r="D1563" t="str">
        <x:v>g8da98f87-cd9a-4078-8fae-25e76d438449</x:v>
      </x:c>
      <x:c r="E1563" t="str">
        <x:v>gdfb5da7d-73d8-45f8-ba72-1aad69d0bb95</x:v>
      </x:c>
      <x:c r="F1563" t="str">
        <x:v>https://www.webonary.org/marubo/gdfb5da7d-73d8-45f8-ba72-1aad69d0bb95/</x:v>
      </x:c>
      <x:c r="G1563" s="20" t="n">
        <x:v>46003.93492572917</x:v>
      </x:c>
    </x:row>
    <x:row r="1564">
      <x:c r="A1564" t="str">
        <x:v>nome para pessoa sem cabelo na testa</x:v>
      </x:c>
      <x:c r="B1564" t="str">
        <x:v>vẽchõti</x:v>
      </x:c>
      <x:c r="C1564" t="str">
        <x:v>n</x:v>
      </x:c>
      <x:c r="D1564" t="str">
        <x:v>gaa529c04-07fe-4fec-a621-677e131924eb</x:v>
      </x:c>
      <x:c r="E1564" t="str">
        <x:v>g30b13ed5-9854-4ecc-a603-de5d981e8002</x:v>
      </x:c>
      <x:c r="F1564" t="str">
        <x:v>https://www.webonary.org/marubo/g30b13ed5-9854-4ecc-a603-de5d981e8002/</x:v>
      </x:c>
      <x:c r="G1564" s="20" t="n">
        <x:v>46003.93492572917</x:v>
      </x:c>
    </x:row>
    <x:row r="1565">
      <x:c r="A1565" t="str">
        <x:v>nome para tabaco</x:v>
      </x:c>
      <x:c r="B1565" t="str">
        <x:v>chia poto</x:v>
      </x:c>
      <x:c r="C1565" t="str">
        <x:v>n</x:v>
      </x:c>
      <x:c r="D1565" t="str">
        <x:v>gb7b6d4c8-68d2-4e65-8cac-ad38eadedc39</x:v>
      </x:c>
      <x:c r="E1565" t="str">
        <x:v>g0d209f35-cc57-487b-abe9-c4e5db27f94e</x:v>
      </x:c>
      <x:c r="F1565" t="str">
        <x:v>https://www.webonary.org/marubo/g0d209f35-cc57-487b-abe9-c4e5db27f94e/</x:v>
      </x:c>
      <x:c r="G1565" s="20" t="n">
        <x:v>46003.93492572917</x:v>
      </x:c>
    </x:row>
    <x:row r="1566">
      <x:c r="A1566" t="str">
        <x:v>nome próprio masculino</x:v>
      </x:c>
      <x:c r="B1566" t="str">
        <x:v>txoki</x:v>
      </x:c>
      <x:c r="C1566" t="str">
        <x:v>n</x:v>
      </x:c>
      <x:c r="D1566" t="str">
        <x:v>g09bb4a51-d35e-4e9b-a0b4-f0f80e08ed0b</x:v>
      </x:c>
      <x:c r="E1566" t="str">
        <x:v>g5645e531-a722-4ac9-ac06-94e24148ac65</x:v>
      </x:c>
      <x:c r="F1566" t="str">
        <x:v>https://www.webonary.org/marubo/g5645e531-a722-4ac9-ac06-94e24148ac65/</x:v>
      </x:c>
      <x:c r="G1566" s="20" t="n">
        <x:v>46003.93492572917</x:v>
      </x:c>
    </x:row>
    <x:row r="1567">
      <x:c r="A1567" t="str">
        <x:v>nome próprio masculino ou feminino</x:v>
      </x:c>
      <x:c r="B1567" t="str">
        <x:v>txoko</x:v>
      </x:c>
      <x:c r="C1567" t="str">
        <x:v>n</x:v>
      </x:c>
      <x:c r="D1567" t="str">
        <x:v>ge591e7ed-a458-4710-9c0c-168385446e1c</x:v>
      </x:c>
      <x:c r="E1567" t="str">
        <x:v>g3e7795a5-540c-4c6d-b150-d074c0aa1169</x:v>
      </x:c>
      <x:c r="F1567" t="str">
        <x:v>https://www.webonary.org/marubo/g3e7795a5-540c-4c6d-b150-d074c0aa1169/</x:v>
      </x:c>
      <x:c r="G1567" s="20" t="n">
        <x:v>46003.93492572917</x:v>
      </x:c>
    </x:row>
    <x:row r="1568">
      <x:c r="A1568" t="str">
        <x:v>nome próprio masculino ou feminino</x:v>
      </x:c>
      <x:c r="B1568" t="str">
        <x:v>1</x:v>
      </x:c>
      <x:c r="C1568" t="str">
        <x:v>n</x:v>
      </x:c>
      <x:c r="D1568" t="str">
        <x:v>ge591e7ed-a458-4710-9c0c-168385446e1c</x:v>
      </x:c>
      <x:c r="E1568" t="str">
        <x:v>g3e7795a5-540c-4c6d-b150-d074c0aa1169</x:v>
      </x:c>
      <x:c r="F1568" t="str">
        <x:v>https://www.webonary.org/marubo/g3e7795a5-540c-4c6d-b150-d074c0aa1169/</x:v>
      </x:c>
      <x:c r="G1568" s="20" t="n">
        <x:v>46003.93492572917</x:v>
      </x:c>
    </x:row>
    <x:row r="1569">
      <x:c r="A1569" t="str">
        <x:v>nome quando animais chaqualam nas arvores</x:v>
      </x:c>
      <x:c r="B1569" t="str">
        <x:v>võõ ikasai (ikí)</x:v>
      </x:c>
      <x:c r="C1569" t="str">
        <x:v>n</x:v>
      </x:c>
      <x:c r="D1569" t="str">
        <x:v>gd2c728cc-7763-4a82-b58d-8b017a6d2de4</x:v>
      </x:c>
      <x:c r="E1569" t="str">
        <x:v>g218341fa-cf78-4537-b170-26040e92334c</x:v>
      </x:c>
      <x:c r="F1569" t="str">
        <x:v>https://www.webonary.org/marubo/g218341fa-cf78-4537-b170-26040e92334c/</x:v>
      </x:c>
      <x:c r="G1569" s="20" t="n">
        <x:v>46003.93492572917</x:v>
      </x:c>
    </x:row>
    <x:row r="1570">
      <x:c r="A1570" t="str">
        <x:v>nome vocativo de macaco preto de estimação</x:v>
      </x:c>
      <x:c r="B1570" t="str">
        <x:v>vetxo</x:v>
      </x:c>
      <x:c r="C1570" t="str">
        <x:v>n</x:v>
      </x:c>
      <x:c r="D1570" t="str">
        <x:v>g6bc847a1-163e-4a3a-89cd-3535ac768701</x:v>
      </x:c>
      <x:c r="E1570" t="str">
        <x:v>g41ab6700-c099-4247-b405-46d21c4a474a</x:v>
      </x:c>
      <x:c r="F1570" t="str">
        <x:v>https://www.webonary.org/marubo/g41ab6700-c099-4247-b405-46d21c4a474a/</x:v>
      </x:c>
      <x:c r="G1570" s="20" t="n">
        <x:v>46003.93492572917</x:v>
      </x:c>
    </x:row>
    <x:row r="1571">
      <x:c r="A1571" t="str">
        <x:v>nome vocativo de macaco preto de estimação</x:v>
      </x:c>
      <x:c r="B1571" t="str">
        <x:v>1</x:v>
      </x:c>
      <x:c r="C1571" t="str">
        <x:v>n</x:v>
      </x:c>
      <x:c r="D1571" t="str">
        <x:v>g6bc847a1-163e-4a3a-89cd-3535ac768701</x:v>
      </x:c>
      <x:c r="E1571" t="str">
        <x:v>g41ab6700-c099-4247-b405-46d21c4a474a</x:v>
      </x:c>
      <x:c r="F1571" t="str">
        <x:v>https://www.webonary.org/marubo/g41ab6700-c099-4247-b405-46d21c4a474a/</x:v>
      </x:c>
      <x:c r="G1571" s="20" t="n">
        <x:v>46003.93492572917</x:v>
      </x:c>
    </x:row>
    <x:row r="1572">
      <x:c r="A1572" t="str">
        <x:v>nome vocativo para barrigudo</x:v>
      </x:c>
      <x:c r="B1572" t="str">
        <x:v>posto</x:v>
      </x:c>
      <x:c r="C1572" t="str">
        <x:v>n</x:v>
      </x:c>
      <x:c r="D1572" t="str">
        <x:v>g51a5da64-7f0a-4fcf-86d3-bea48455f046</x:v>
      </x:c>
      <x:c r="E1572" t="str">
        <x:v>g2c7da69f-314b-49d8-802d-862de4f05d01</x:v>
      </x:c>
      <x:c r="F1572" t="str">
        <x:v>https://www.webonary.org/marubo/g2c7da69f-314b-49d8-802d-862de4f05d01/</x:v>
      </x:c>
      <x:c r="G1572" s="20" t="n">
        <x:v>46003.93492572917</x:v>
      </x:c>
    </x:row>
    <x:row r="1573">
      <x:c r="A1573" t="str">
        <x:v>nome vocativo para cachorro</x:v>
      </x:c>
      <x:c r="B1573" t="str">
        <x:v>txove</x:v>
      </x:c>
      <x:c r="C1573" t="str">
        <x:v>n</x:v>
      </x:c>
      <x:c r="D1573" t="str">
        <x:v>geb6bba50-25ae-446c-85bd-3d4522958db2</x:v>
      </x:c>
      <x:c r="E1573" t="str">
        <x:v>g24e80dd8-1f94-4104-b7a3-b96f68bfe422</x:v>
      </x:c>
      <x:c r="F1573" t="str">
        <x:v>https://www.webonary.org/marubo/g24e80dd8-1f94-4104-b7a3-b96f68bfe422/</x:v>
      </x:c>
      <x:c r="G1573" s="20" t="n">
        <x:v>46003.93492572917</x:v>
      </x:c>
    </x:row>
    <x:row r="1574">
      <x:c r="A1574" t="str">
        <x:v>nome vocativo para catitu</x:v>
      </x:c>
      <x:c r="B1574" t="str">
        <x:v>oshto</x:v>
      </x:c>
      <x:c r="C1574" t="str">
        <x:v>n</x:v>
      </x:c>
      <x:c r="D1574" t="str">
        <x:v>ge6b436fa-2432-484f-ae54-e0d207d785d5</x:v>
      </x:c>
      <x:c r="E1574" t="str">
        <x:v>gee0b1b4e-0fe9-4d6f-a8cc-5c93b778ae9a</x:v>
      </x:c>
      <x:c r="F1574" t="str">
        <x:v>https://www.webonary.org/marubo/gee0b1b4e-0fe9-4d6f-a8cc-5c93b778ae9a/</x:v>
      </x:c>
      <x:c r="G1574" s="20" t="n">
        <x:v>46003.93492572917</x:v>
      </x:c>
    </x:row>
    <x:row r="1575">
      <x:c r="A1575" t="str">
        <x:v>nome vocativo para queixada</x:v>
      </x:c>
      <x:c r="B1575" t="str">
        <x:v>pãtxo</x:v>
      </x:c>
      <x:c r="C1575" t="str">
        <x:v>n</x:v>
      </x:c>
      <x:c r="D1575" t="str">
        <x:v>gac68d3cc-44f5-4e66-9dde-16cf24327c65</x:v>
      </x:c>
      <x:c r="E1575" t="str">
        <x:v>g90cccfe8-3990-41c5-9003-deca10647e89</x:v>
      </x:c>
      <x:c r="F1575" t="str">
        <x:v>https://www.webonary.org/marubo/g90cccfe8-3990-41c5-9003-deca10647e89/</x:v>
      </x:c>
      <x:c r="G1575" s="20" t="n">
        <x:v>46003.93492572917</x:v>
      </x:c>
    </x:row>
    <x:row r="1576">
      <x:c r="A1576" t="str">
        <x:v>nome vocativo para queixada</x:v>
      </x:c>
      <x:c r="B1576" t="str">
        <x:v>2</x:v>
      </x:c>
      <x:c r="C1576" t="str">
        <x:v>n</x:v>
      </x:c>
      <x:c r="D1576" t="str">
        <x:v>gac68d3cc-44f5-4e66-9dde-16cf24327c65</x:v>
      </x:c>
      <x:c r="E1576" t="str">
        <x:v>g90cccfe8-3990-41c5-9003-deca10647e89</x:v>
      </x:c>
      <x:c r="F1576" t="str">
        <x:v>https://www.webonary.org/marubo/g90cccfe8-3990-41c5-9003-deca10647e89/</x:v>
      </x:c>
      <x:c r="G1576" s="20" t="n">
        <x:v>46003.93492572917</x:v>
      </x:c>
    </x:row>
    <x:row r="1577">
      <x:c r="A1577" t="str">
        <x:v>nomear</x:v>
      </x:c>
      <x:c r="B1577" t="str">
        <x:v>anea</x:v>
      </x:c>
      <x:c r="C1577" t="str">
        <x:v>n</x:v>
      </x:c>
      <x:c r="D1577" t="str">
        <x:v>g0c64398f-2672-4c3f-9df0-54d818237944</x:v>
      </x:c>
      <x:c r="E1577" t="str">
        <x:v>g88bfd50a-87bd-4fd0-955d-f8b5fd82a201</x:v>
      </x:c>
      <x:c r="F1577" t="str">
        <x:v>https://www.webonary.org/marubo/g88bfd50a-87bd-4fd0-955d-f8b5fd82a201/</x:v>
      </x:c>
      <x:c r="G1577" s="20" t="n">
        <x:v>46003.93492572917</x:v>
      </x:c>
    </x:row>
    <x:row r="1578">
      <x:c r="A1578" t="str">
        <x:v>nosso povo</x:v>
      </x:c>
      <x:c r="B1578" t="str">
        <x:v>nokepa yora</x:v>
      </x:c>
      <x:c r="C1578" t="str">
        <x:v>n</x:v>
      </x:c>
      <x:c r="D1578" t="str">
        <x:v>g9e8bf33d-b7af-45d9-aa00-a777e91cd0a1</x:v>
      </x:c>
      <x:c r="E1578" t="str">
        <x:v>g42fa45eb-4664-4723-accd-cd2fa877bcb7</x:v>
      </x:c>
      <x:c r="F1578" t="str">
        <x:v>https://www.webonary.org/marubo/g42fa45eb-4664-4723-accd-cd2fa877bcb7/</x:v>
      </x:c>
      <x:c r="G1578" s="20" t="n">
        <x:v>46003.93492572917</x:v>
      </x:c>
    </x:row>
    <x:row r="1579">
      <x:c r="A1579" t="str">
        <x:v>notícias</x:v>
      </x:c>
      <x:c r="B1579" t="str">
        <x:v>kaká</x:v>
      </x:c>
      <x:c r="C1579" t="str">
        <x:v>n</x:v>
      </x:c>
      <x:c r="D1579" t="str">
        <x:v>g38d62d06-53f6-4022-8757-ea077e6efa5b</x:v>
      </x:c>
      <x:c r="E1579" t="str">
        <x:v>g3dc4491d-43c7-4c05-a6f0-7e820fcd2006</x:v>
      </x:c>
      <x:c r="F1579" t="str">
        <x:v>https://www.webonary.org/marubo/g3dc4491d-43c7-4c05-a6f0-7e820fcd2006/</x:v>
      </x:c>
      <x:c r="G1579" s="20" t="n">
        <x:v>46003.93492572917</x:v>
      </x:c>
    </x:row>
    <x:row r="1580">
      <x:c r="A1580" t="str">
        <x:v>novo</x:v>
      </x:c>
      <x:c r="B1580" t="str">
        <x:v>vená</x:v>
      </x:c>
      <x:c r="C1580" t="str">
        <x:v>n</x:v>
      </x:c>
      <x:c r="D1580" t="str">
        <x:v>g8697a724-33a7-4e9e-8abe-447a43840b8c</x:v>
      </x:c>
      <x:c r="E1580" t="str">
        <x:v>g301d7de1-f1c4-413e-8156-96739c1b12e0</x:v>
      </x:c>
      <x:c r="F1580" t="str">
        <x:v>https://www.webonary.org/marubo/g301d7de1-f1c4-413e-8156-96739c1b12e0/</x:v>
      </x:c>
      <x:c r="G1580" s="20" t="n">
        <x:v>46003.93492572917</x:v>
      </x:c>
    </x:row>
    <x:row r="1581">
      <x:c r="A1581" t="str">
        <x:v>nublado</x:v>
      </x:c>
      <x:c r="B1581" t="str">
        <x:v>veika</x:v>
      </x:c>
      <x:c r="C1581" t="str">
        <x:v>n</x:v>
      </x:c>
      <x:c r="D1581" t="str">
        <x:v>g96393ac9-97c8-493a-ac4c-a8919d07916a</x:v>
      </x:c>
      <x:c r="E1581" t="str">
        <x:v>g0e337ab6-1aa6-4906-9127-3c6b35e121c7</x:v>
      </x:c>
      <x:c r="F1581" t="str">
        <x:v>https://www.webonary.org/marubo/g0e337ab6-1aa6-4906-9127-3c6b35e121c7/</x:v>
      </x:c>
      <x:c r="G1581" s="20" t="n">
        <x:v>46003.93492572917</x:v>
      </x:c>
    </x:row>
    <x:row r="1582">
      <x:c r="A1582" t="str">
        <x:v>núcleo macio</x:v>
      </x:c>
      <x:c r="B1582" t="str">
        <x:v>shãko</x:v>
      </x:c>
      <x:c r="C1582" t="str">
        <x:v>n</x:v>
      </x:c>
      <x:c r="D1582" t="str">
        <x:v>g3e390a24-15a8-4edd-8150-887e5d164798</x:v>
      </x:c>
      <x:c r="E1582" t="str">
        <x:v>g109b3b37-2455-45dc-9d42-d619a147c122</x:v>
      </x:c>
      <x:c r="F1582" t="str">
        <x:v>https://www.webonary.org/marubo/g109b3b37-2455-45dc-9d42-d619a147c122/</x:v>
      </x:c>
      <x:c r="G1582" s="20" t="n">
        <x:v>46003.93492572917</x:v>
      </x:c>
    </x:row>
    <x:row r="1583">
      <x:c r="A1583" t="str">
        <x:v>NUM</x:v>
      </x:c>
      <x:c r="B1583" t="str">
        <x:v>-tí</x:v>
      </x:c>
      <x:c r="C1583" t="str">
        <x:v>n</x:v>
      </x:c>
      <x:c r="D1583" t="str">
        <x:v>g189b667c-b2c7-4d3e-b4fa-72b5d2646a07</x:v>
      </x:c>
      <x:c r="E1583" t="str">
        <x:v>g8294f249-e303-4135-a255-cb9b3391f84d</x:v>
      </x:c>
      <x:c r="F1583" t="str">
        <x:v>https://www.webonary.org/marubo/g8294f249-e303-4135-a255-cb9b3391f84d/</x:v>
      </x:c>
      <x:c r="G1583" s="20" t="n">
        <x:v>46003.93492572917</x:v>
      </x:c>
    </x:row>
    <x:row r="1584">
      <x:c r="A1584" t="str">
        <x:v>nuvem</x:v>
      </x:c>
      <x:c r="B1584" t="str">
        <x:v>nai osho</x:v>
      </x:c>
      <x:c r="C1584" t="str">
        <x:v>n</x:v>
      </x:c>
      <x:c r="D1584" t="str">
        <x:v>g7a0a5013-f460-405c-b6d4-143c8c0de295</x:v>
      </x:c>
      <x:c r="E1584" t="str">
        <x:v>g6a5c8bbc-cf74-4996-b94a-bcdbe34f4c08</x:v>
      </x:c>
      <x:c r="F1584" t="str">
        <x:v>https://www.webonary.org/marubo/g6a5c8bbc-cf74-4996-b94a-bcdbe34f4c08/</x:v>
      </x:c>
      <x:c r="G1584" s="20" t="n">
        <x:v>46003.93492572917</x:v>
      </x:c>
    </x:row>
    <x:row r="1585">
      <x:c r="A1585" t="str">
        <x:v>o cipó usado para amarrar o trocano</x:v>
      </x:c>
      <x:c r="B1585" t="str">
        <x:v>minóshe</x:v>
      </x:c>
      <x:c r="C1585" t="str">
        <x:v>o</x:v>
      </x:c>
      <x:c r="D1585" t="str">
        <x:v>ge5caf69c-bd14-4296-b8fa-671393de4f02</x:v>
      </x:c>
      <x:c r="E1585" t="str">
        <x:v>g79e6013e-a4d1-4bd2-b23b-f748e6d52d26</x:v>
      </x:c>
      <x:c r="F1585" t="str">
        <x:v>https://www.webonary.org/marubo/g79e6013e-a4d1-4bd2-b23b-f748e6d52d26/</x:v>
      </x:c>
      <x:c r="G1585" s="20" t="n">
        <x:v>46003.93492572917</x:v>
      </x:c>
    </x:row>
    <x:row r="1586">
      <x:c r="A1586" t="str">
        <x:v>o começo do ferver</x:v>
      </x:c>
      <x:c r="B1586" t="str">
        <x:v>chaa iináa</x:v>
      </x:c>
      <x:c r="C1586" t="str">
        <x:v>o</x:v>
      </x:c>
      <x:c r="D1586" t="str">
        <x:v>g457df537-faaf-4ea6-8f48-e72516bd18f0</x:v>
      </x:c>
      <x:c r="E1586" t="str">
        <x:v>g1d8f9b2c-477e-492e-beed-9175614e7ee6</x:v>
      </x:c>
      <x:c r="F1586" t="str">
        <x:v>https://www.webonary.org/marubo/g1d8f9b2c-477e-492e-beed-9175614e7ee6/</x:v>
      </x:c>
      <x:c r="G1586" s="20" t="n">
        <x:v>46003.93492572917</x:v>
      </x:c>
    </x:row>
    <x:row r="1587">
      <x:c r="A1587" t="str">
        <x:v>o outro lado</x:v>
      </x:c>
      <x:c r="B1587" t="str">
        <x:v>amari</x:v>
      </x:c>
      <x:c r="C1587" t="str">
        <x:v>o</x:v>
      </x:c>
      <x:c r="D1587" t="str">
        <x:v>geafd6107-c780-4fa5-ba83-c8b856c4e4cb</x:v>
      </x:c>
      <x:c r="E1587" t="str">
        <x:v>gbddeb26e-2397-4737-862d-e4a5f8bf600e</x:v>
      </x:c>
      <x:c r="F1587" t="str">
        <x:v>https://www.webonary.org/marubo/gbddeb26e-2397-4737-862d-e4a5f8bf600e/</x:v>
      </x:c>
      <x:c r="G1587" s="20" t="n">
        <x:v>46003.93492572917</x:v>
      </x:c>
    </x:row>
    <x:row r="1588">
      <x:c r="A1588" t="str">
        <x:v>o que</x:v>
      </x:c>
      <x:c r="B1588" t="str">
        <x:v>awesa</x:v>
      </x:c>
      <x:c r="C1588" t="str">
        <x:v>o</x:v>
      </x:c>
      <x:c r="D1588" t="str">
        <x:v>ge7e60530-dbc0-47f1-9ea7-29f6f79551df</x:v>
      </x:c>
      <x:c r="E1588" t="str">
        <x:v>g9987541c-7c8b-4d84-8110-ad0d872b718c</x:v>
      </x:c>
      <x:c r="F1588" t="str">
        <x:v>https://www.webonary.org/marubo/g9987541c-7c8b-4d84-8110-ad0d872b718c/</x:v>
      </x:c>
      <x:c r="G1588" s="20" t="n">
        <x:v>46003.93492572917</x:v>
      </x:c>
    </x:row>
    <x:row r="1589">
      <x:c r="A1589" t="str">
        <x:v>o que</x:v>
      </x:c>
      <x:c r="B1589" t="str">
        <x:v>awe</x:v>
      </x:c>
      <x:c r="C1589" t="str">
        <x:v>o</x:v>
      </x:c>
      <x:c r="D1589" t="str">
        <x:v>ge7e60530-dbc0-47f1-9ea7-29f6f79551df</x:v>
      </x:c>
      <x:c r="E1589" t="str">
        <x:v>g0f5c35f6-0ade-4c20-8e4a-2244a455368f</x:v>
      </x:c>
      <x:c r="F1589" t="str">
        <x:v>https://www.webonary.org/marubo/g0f5c35f6-0ade-4c20-8e4a-2244a455368f/</x:v>
      </x:c>
      <x:c r="G1589" s="20" t="n">
        <x:v>46003.93492572917</x:v>
      </x:c>
    </x:row>
    <x:row r="1590">
      <x:c r="A1590" t="str">
        <x:v>o que</x:v>
      </x:c>
      <x:c r="B1590" t="str">
        <x:v>1</x:v>
      </x:c>
      <x:c r="C1590" t="str">
        <x:v>o</x:v>
      </x:c>
      <x:c r="D1590" t="str">
        <x:v>ge7e60530-dbc0-47f1-9ea7-29f6f79551df</x:v>
      </x:c>
      <x:c r="E1590" t="str">
        <x:v>g0f5c35f6-0ade-4c20-8e4a-2244a455368f</x:v>
      </x:c>
      <x:c r="F1590" t="str">
        <x:v>https://www.webonary.org/marubo/g0f5c35f6-0ade-4c20-8e4a-2244a455368f/</x:v>
      </x:c>
      <x:c r="G1590" s="20" t="n">
        <x:v>46003.93492572917</x:v>
      </x:c>
    </x:row>
    <x:row r="1591">
      <x:c r="A1591" t="str">
        <x:v>o sentido de um carrapato ferroando</x:v>
      </x:c>
      <x:c r="B1591" t="str">
        <x:v>tsisĩa</x:v>
      </x:c>
      <x:c r="C1591" t="str">
        <x:v>o</x:v>
      </x:c>
      <x:c r="D1591" t="str">
        <x:v>g56286719-fcd6-4864-bba1-1a1809659a0e</x:v>
      </x:c>
      <x:c r="E1591" t="str">
        <x:v>gb99e926c-4518-4555-824a-eb23e11b57d0</x:v>
      </x:c>
      <x:c r="F1591" t="str">
        <x:v>https://www.webonary.org/marubo/gb99e926c-4518-4555-824a-eb23e11b57d0/</x:v>
      </x:c>
      <x:c r="G1591" s="20" t="n">
        <x:v>46003.93492572917</x:v>
      </x:c>
    </x:row>
    <x:row r="1592">
      <x:c r="A1592" t="str">
        <x:v>objeto</x:v>
      </x:c>
      <x:c r="B1592" t="str">
        <x:v>awe</x:v>
      </x:c>
      <x:c r="C1592" t="str">
        <x:v>o</x:v>
      </x:c>
      <x:c r="D1592" t="str">
        <x:v>g91b35177-3d35-4ee1-81ce-7ca7b6501735</x:v>
      </x:c>
      <x:c r="E1592" t="str">
        <x:v>g8846aba5-4064-4171-a462-aa55025edd3e</x:v>
      </x:c>
      <x:c r="F1592" t="str">
        <x:v>https://www.webonary.org/marubo/g8846aba5-4064-4171-a462-aa55025edd3e/</x:v>
      </x:c>
      <x:c r="G1592" s="20" t="n">
        <x:v>46003.93492572917</x:v>
      </x:c>
    </x:row>
    <x:row r="1593">
      <x:c r="A1593" t="str">
        <x:v>objeto</x:v>
      </x:c>
      <x:c r="B1593" t="str">
        <x:v>2</x:v>
      </x:c>
      <x:c r="C1593" t="str">
        <x:v>o</x:v>
      </x:c>
      <x:c r="D1593" t="str">
        <x:v>g91b35177-3d35-4ee1-81ce-7ca7b6501735</x:v>
      </x:c>
      <x:c r="E1593" t="str">
        <x:v>g8846aba5-4064-4171-a462-aa55025edd3e</x:v>
      </x:c>
      <x:c r="F1593" t="str">
        <x:v>https://www.webonary.org/marubo/g8846aba5-4064-4171-a462-aa55025edd3e/</x:v>
      </x:c>
      <x:c r="G1593" s="20" t="n">
        <x:v>46003.93492572917</x:v>
      </x:c>
    </x:row>
    <x:row r="1594">
      <x:c r="A1594" t="str">
        <x:v>objeto qudrado fino</x:v>
      </x:c>
      <x:c r="B1594" t="str">
        <x:v>tsãpaka</x:v>
      </x:c>
      <x:c r="C1594" t="str">
        <x:v>o</x:v>
      </x:c>
      <x:c r="D1594" t="str">
        <x:v>gdf3bcee1-c49c-466f-93ec-0d18ffe9c270</x:v>
      </x:c>
      <x:c r="E1594" t="str">
        <x:v>g61ccaa1f-9015-4196-bbed-3b01bf225eed</x:v>
      </x:c>
      <x:c r="F1594" t="str">
        <x:v>https://www.webonary.org/marubo/g61ccaa1f-9015-4196-bbed-3b01bf225eed/</x:v>
      </x:c>
      <x:c r="G1594" s="20" t="n">
        <x:v>46003.93492572917</x:v>
      </x:c>
    </x:row>
    <x:row r="1595">
      <x:c r="A1595" t="str">
        <x:v>objeto qudrado fino</x:v>
      </x:c>
      <x:c r="B1595" t="str">
        <x:v>1</x:v>
      </x:c>
      <x:c r="C1595" t="str">
        <x:v>o</x:v>
      </x:c>
      <x:c r="D1595" t="str">
        <x:v>gdf3bcee1-c49c-466f-93ec-0d18ffe9c270</x:v>
      </x:c>
      <x:c r="E1595" t="str">
        <x:v>g61ccaa1f-9015-4196-bbed-3b01bf225eed</x:v>
      </x:c>
      <x:c r="F1595" t="str">
        <x:v>https://www.webonary.org/marubo/g61ccaa1f-9015-4196-bbed-3b01bf225eed/</x:v>
      </x:c>
      <x:c r="G1595" s="20" t="n">
        <x:v>46003.93492572917</x:v>
      </x:c>
    </x:row>
    <x:row r="1596">
      <x:c r="A1596" t="str">
        <x:v>óculos</x:v>
      </x:c>
      <x:c r="B1596" t="str">
        <x:v>verok veisti</x:v>
      </x:c>
      <x:c r="C1596" t="str">
        <x:v>o</x:v>
      </x:c>
      <x:c r="D1596" t="str">
        <x:v>ge99b9e79-558b-4d95-b44a-69b77b81190d</x:v>
      </x:c>
      <x:c r="E1596" t="str">
        <x:v>g63a85a18-e54d-42f7-afab-dc02723bacde</x:v>
      </x:c>
      <x:c r="F1596" t="str">
        <x:v>https://www.webonary.org/marubo/g63a85a18-e54d-42f7-afab-dc02723bacde/</x:v>
      </x:c>
      <x:c r="G1596" s="20" t="n">
        <x:v>46003.93492572917</x:v>
      </x:c>
    </x:row>
    <x:row r="1597">
      <x:c r="A1597" t="str">
        <x:v>ocultar</x:v>
      </x:c>
      <x:c r="B1597" t="str">
        <x:v>pacha</x:v>
      </x:c>
      <x:c r="C1597" t="str">
        <x:v>o</x:v>
      </x:c>
      <x:c r="D1597" t="str">
        <x:v>gf08484c0-357e-455e-9ba4-f51fed802ad6</x:v>
      </x:c>
      <x:c r="E1597" t="str">
        <x:v>g7f2d15f5-a4b7-4320-873a-7a7ec8ad381e</x:v>
      </x:c>
      <x:c r="F1597" t="str">
        <x:v>https://www.webonary.org/marubo/g7f2d15f5-a4b7-4320-873a-7a7ec8ad381e/</x:v>
      </x:c>
      <x:c r="G1597" s="20" t="n">
        <x:v>46003.93492572917</x:v>
      </x:c>
    </x:row>
    <x:row r="1598">
      <x:c r="A1598" t="str">
        <x:v>ocultar</x:v>
      </x:c>
      <x:c r="B1598" t="str">
        <x:v>2</x:v>
      </x:c>
      <x:c r="C1598" t="str">
        <x:v>o</x:v>
      </x:c>
      <x:c r="D1598" t="str">
        <x:v>gf08484c0-357e-455e-9ba4-f51fed802ad6</x:v>
      </x:c>
      <x:c r="E1598" t="str">
        <x:v>g7f2d15f5-a4b7-4320-873a-7a7ec8ad381e</x:v>
      </x:c>
      <x:c r="F1598" t="str">
        <x:v>https://www.webonary.org/marubo/g7f2d15f5-a4b7-4320-873a-7a7ec8ad381e/</x:v>
      </x:c>
      <x:c r="G1598" s="20" t="n">
        <x:v>46003.93492572917</x:v>
      </x:c>
    </x:row>
    <x:row r="1599">
      <x:c r="A1599" t="str">
        <x:v>odiar</x:v>
      </x:c>
      <x:c r="B1599" t="str">
        <x:v>ichná aká</x:v>
      </x:c>
      <x:c r="C1599" t="str">
        <x:v>o</x:v>
      </x:c>
      <x:c r="D1599" t="str">
        <x:v>g67d5096d-bad0-41f4-875e-a7c9afd88b93</x:v>
      </x:c>
      <x:c r="E1599" t="str">
        <x:v>gc609f51d-0725-4412-8fad-88df386f7419</x:v>
      </x:c>
      <x:c r="F1599" t="str">
        <x:v>https://www.webonary.org/marubo/gc609f51d-0725-4412-8fad-88df386f7419/</x:v>
      </x:c>
      <x:c r="G1599" s="20" t="n">
        <x:v>46003.93492572917</x:v>
      </x:c>
    </x:row>
    <x:row r="1600">
      <x:c r="A1600" t="str">
        <x:v>olhando para baixo</x:v>
      </x:c>
      <x:c r="B1600" t="str">
        <x:v>vetĩa</x:v>
      </x:c>
      <x:c r="C1600" t="str">
        <x:v>o</x:v>
      </x:c>
      <x:c r="D1600" t="str">
        <x:v>g1b1a31a9-eb41-4bd1-9b53-70790ecbcc76</x:v>
      </x:c>
      <x:c r="E1600" t="str">
        <x:v>g106c2b82-0d21-433c-b65b-253c7ba0ffc1</x:v>
      </x:c>
      <x:c r="F1600" t="str">
        <x:v>https://www.webonary.org/marubo/g106c2b82-0d21-433c-b65b-253c7ba0ffc1/</x:v>
      </x:c>
      <x:c r="G1600" s="20" t="n">
        <x:v>46003.93492572917</x:v>
      </x:c>
    </x:row>
    <x:row r="1601">
      <x:c r="A1601" t="str">
        <x:v>olho</x:v>
      </x:c>
      <x:c r="B1601" t="str">
        <x:v>vero</x:v>
      </x:c>
      <x:c r="C1601" t="str">
        <x:v>o</x:v>
      </x:c>
      <x:c r="D1601" t="str">
        <x:v>g5040eafb-d99d-4bff-b8bc-8a09787d693b</x:v>
      </x:c>
      <x:c r="E1601" t="str">
        <x:v>g36e755bc-8efb-4295-9bd8-674b3d09c341</x:v>
      </x:c>
      <x:c r="F1601" t="str">
        <x:v>https://www.webonary.org/marubo/g36e755bc-8efb-4295-9bd8-674b3d09c341/</x:v>
      </x:c>
      <x:c r="G1601" s="20" t="n">
        <x:v>46003.93492572917</x:v>
      </x:c>
    </x:row>
    <x:row r="1602">
      <x:c r="A1602" t="str">
        <x:v>olho (de banana)</x:v>
      </x:c>
      <x:c r="B1602" t="str">
        <x:v>pako</x:v>
      </x:c>
      <x:c r="C1602" t="str">
        <x:v>o</x:v>
      </x:c>
      <x:c r="D1602" t="str">
        <x:v>g30eea5af-7f1b-4fac-a2b5-0f8d1199c8cb</x:v>
      </x:c>
      <x:c r="E1602" t="str">
        <x:v>g6b50f789-b2b6-48d6-9f97-5e8adaab9e9f</x:v>
      </x:c>
      <x:c r="F1602" t="str">
        <x:v>https://www.webonary.org/marubo/g6b50f789-b2b6-48d6-9f97-5e8adaab9e9f/</x:v>
      </x:c>
      <x:c r="G1602" s="20" t="n">
        <x:v>46003.93492572917</x:v>
      </x:c>
    </x:row>
    <x:row r="1603">
      <x:c r="A1603" t="str">
        <x:v>olho de babaçu</x:v>
      </x:c>
      <x:c r="B1603" t="str">
        <x:v>pichĩ</x:v>
      </x:c>
      <x:c r="C1603" t="str">
        <x:v>o</x:v>
      </x:c>
      <x:c r="D1603" t="str">
        <x:v>g770146e3-3c84-41d2-8502-4d8558c8cf6e</x:v>
      </x:c>
      <x:c r="E1603" t="str">
        <x:v>g36fc45b2-9ea1-4ada-898e-4efbd538c48c</x:v>
      </x:c>
      <x:c r="F1603" t="str">
        <x:v>https://www.webonary.org/marubo/g36fc45b2-9ea1-4ada-898e-4efbd538c48c/</x:v>
      </x:c>
      <x:c r="G1603" s="20" t="n">
        <x:v>46003.93492572917</x:v>
      </x:c>
    </x:row>
    <x:row r="1604">
      <x:c r="A1604" t="str">
        <x:v>ombro</x:v>
      </x:c>
      <x:c r="B1604" t="str">
        <x:v>pesho</x:v>
      </x:c>
      <x:c r="C1604" t="str">
        <x:v>o</x:v>
      </x:c>
      <x:c r="D1604" t="str">
        <x:v>g4d42a1ca-4194-41cf-a524-7421ff1a1ee8</x:v>
      </x:c>
      <x:c r="E1604" t="str">
        <x:v>g05a224cb-f9bc-4513-8924-a5c924c13e26</x:v>
      </x:c>
      <x:c r="F1604" t="str">
        <x:v>https://www.webonary.org/marubo/g05a224cb-f9bc-4513-8924-a5c924c13e26/</x:v>
      </x:c>
      <x:c r="G1604" s="20" t="n">
        <x:v>46003.93492572917</x:v>
      </x:c>
    </x:row>
    <x:row r="1605">
      <x:c r="A1605" t="str">
        <x:v>onça parda</x:v>
      </x:c>
      <x:c r="B1605" t="str">
        <x:v>kamã õchĩ</x:v>
      </x:c>
      <x:c r="C1605" t="str">
        <x:v>o</x:v>
      </x:c>
      <x:c r="D1605" t="str">
        <x:v>g051b3d3c-f02b-4309-a85f-88e5497143aa</x:v>
      </x:c>
      <x:c r="E1605" t="str">
        <x:v>g4fbd62c8-1ae2-4d36-9a4a-6756155805b9</x:v>
      </x:c>
      <x:c r="F1605" t="str">
        <x:v>https://www.webonary.org/marubo/g4fbd62c8-1ae2-4d36-9a4a-6756155805b9/</x:v>
      </x:c>
      <x:c r="G1605" s="20" t="n">
        <x:v>46003.93492572917</x:v>
      </x:c>
    </x:row>
    <x:row r="1606">
      <x:c r="A1606" t="str">
        <x:v>onça pintada</x:v>
      </x:c>
      <x:c r="B1606" t="str">
        <x:v>kamã</x:v>
      </x:c>
      <x:c r="C1606" t="str">
        <x:v>o</x:v>
      </x:c>
      <x:c r="D1606" t="str">
        <x:v>g2d171a11-39c5-403f-a4e7-bac597935da7</x:v>
      </x:c>
      <x:c r="E1606" t="str">
        <x:v>gbae47635-cba5-49ce-951d-85b5da5af114</x:v>
      </x:c>
      <x:c r="F1606" t="str">
        <x:v>https://www.webonary.org/marubo/gbae47635-cba5-49ce-951d-85b5da5af114/</x:v>
      </x:c>
      <x:c r="G1606" s="20" t="n">
        <x:v>46003.93492572917</x:v>
      </x:c>
    </x:row>
    <x:row r="1607">
      <x:c r="A1607" t="str">
        <x:v>onça pintada</x:v>
      </x:c>
      <x:c r="B1607" t="str">
        <x:v>1</x:v>
      </x:c>
      <x:c r="C1607" t="str">
        <x:v>o</x:v>
      </x:c>
      <x:c r="D1607" t="str">
        <x:v>g2d171a11-39c5-403f-a4e7-bac597935da7</x:v>
      </x:c>
      <x:c r="E1607" t="str">
        <x:v>gbae47635-cba5-49ce-951d-85b5da5af114</x:v>
      </x:c>
      <x:c r="F1607" t="str">
        <x:v>https://www.webonary.org/marubo/gbae47635-cba5-49ce-951d-85b5da5af114/</x:v>
      </x:c>
      <x:c r="G1607" s="20" t="n">
        <x:v>46003.93492572917</x:v>
      </x:c>
    </x:row>
    <x:row r="1608">
      <x:c r="A1608" t="str">
        <x:v>onça preta</x:v>
      </x:c>
      <x:c r="B1608" t="str">
        <x:v>kamã txeshe</x:v>
      </x:c>
      <x:c r="C1608" t="str">
        <x:v>o</x:v>
      </x:c>
      <x:c r="D1608" t="str">
        <x:v>g3519891f-dbe6-45d5-a385-6ad0564a89e7</x:v>
      </x:c>
      <x:c r="E1608" t="str">
        <x:v>ged490ffa-af0a-46bc-8865-6cbdaeea9c2d</x:v>
      </x:c>
      <x:c r="F1608" t="str">
        <x:v>https://www.webonary.org/marubo/ged490ffa-af0a-46bc-8865-6cbdaeea9c2d/</x:v>
      </x:c>
      <x:c r="G1608" s="20" t="n">
        <x:v>46003.93493297454</x:v>
      </x:c>
    </x:row>
    <x:row r="1609">
      <x:c r="A1609" t="str">
        <x:v>onde</x:v>
      </x:c>
      <x:c r="B1609" t="str">
        <x:v>ato</x:v>
      </x:c>
      <x:c r="C1609" t="str">
        <x:v>o</x:v>
      </x:c>
      <x:c r="D1609" t="str">
        <x:v>gdcbcc433-815a-4956-8b4f-a80faa1245c8</x:v>
      </x:c>
      <x:c r="E1609" t="str">
        <x:v>g590e6a46-0209-4deb-8949-07676b5e8476</x:v>
      </x:c>
      <x:c r="F1609" t="str">
        <x:v>https://www.webonary.org/marubo/g590e6a46-0209-4deb-8949-07676b5e8476/</x:v>
      </x:c>
      <x:c r="G1609" s="20" t="n">
        <x:v>46003.93493297454</x:v>
      </x:c>
    </x:row>
    <x:row r="1610">
      <x:c r="A1610" t="str">
        <x:v>onde</x:v>
      </x:c>
      <x:c r="B1610" t="str">
        <x:v>1</x:v>
      </x:c>
      <x:c r="C1610" t="str">
        <x:v>o</x:v>
      </x:c>
      <x:c r="D1610" t="str">
        <x:v>gdcbcc433-815a-4956-8b4f-a80faa1245c8</x:v>
      </x:c>
      <x:c r="E1610" t="str">
        <x:v>g590e6a46-0209-4deb-8949-07676b5e8476</x:v>
      </x:c>
      <x:c r="F1610" t="str">
        <x:v>https://www.webonary.org/marubo/g590e6a46-0209-4deb-8949-07676b5e8476/</x:v>
      </x:c>
      <x:c r="G1610" s="20" t="n">
        <x:v>46003.93493297454</x:v>
      </x:c>
    </x:row>
    <x:row r="1611">
      <x:c r="A1611" t="str">
        <x:v>onde</x:v>
      </x:c>
      <x:c r="B1611" t="str">
        <x:v>awetó</x:v>
      </x:c>
      <x:c r="C1611" t="str">
        <x:v>o</x:v>
      </x:c>
      <x:c r="D1611" t="str">
        <x:v>gdcbcc433-815a-4956-8b4f-a80faa1245c8</x:v>
      </x:c>
      <x:c r="E1611" t="str">
        <x:v>gd3c2e12a-d7c7-405f-a961-552819b10bc8</x:v>
      </x:c>
      <x:c r="F1611" t="str">
        <x:v>https://www.webonary.org/marubo/gd3c2e12a-d7c7-405f-a961-552819b10bc8/</x:v>
      </x:c>
      <x:c r="G1611" s="20" t="n">
        <x:v>46003.93493297454</x:v>
      </x:c>
    </x:row>
    <x:row r="1612">
      <x:c r="A1612" t="str">
        <x:v>ondulado</x:v>
      </x:c>
      <x:c r="B1612" t="str">
        <x:v>reshkéka</x:v>
      </x:c>
      <x:c r="C1612" t="str">
        <x:v>o</x:v>
      </x:c>
      <x:c r="D1612" t="str">
        <x:v>g90a58df5-7c82-4b4d-868b-ccf4e64a07dc</x:v>
      </x:c>
      <x:c r="E1612" t="str">
        <x:v>g2452d908-ac51-4b8a-a827-124b4e41f52b</x:v>
      </x:c>
      <x:c r="F1612" t="str">
        <x:v>https://www.webonary.org/marubo/g2452d908-ac51-4b8a-a827-124b4e41f52b/</x:v>
      </x:c>
      <x:c r="G1612" s="20" t="n">
        <x:v>46003.93493297454</x:v>
      </x:c>
    </x:row>
    <x:row r="1613">
      <x:c r="A1613" t="str">
        <x:v>ontem</x:v>
      </x:c>
      <x:c r="B1613" t="str">
        <x:v>shaváma</x:v>
      </x:c>
      <x:c r="C1613" t="str">
        <x:v>o</x:v>
      </x:c>
      <x:c r="D1613" t="str">
        <x:v>gb1d06230-58c4-47f1-ba71-ecb60648e250</x:v>
      </x:c>
      <x:c r="E1613" t="str">
        <x:v>g515bdc5a-4305-4d19-8aed-3883f447be58</x:v>
      </x:c>
      <x:c r="F1613" t="str">
        <x:v>https://www.webonary.org/marubo/g515bdc5a-4305-4d19-8aed-3883f447be58/</x:v>
      </x:c>
      <x:c r="G1613" s="20" t="n">
        <x:v>46003.93493297454</x:v>
      </x:c>
    </x:row>
    <x:row r="1614">
      <x:c r="A1614" t="str">
        <x:v>orelha</x:v>
      </x:c>
      <x:c r="B1614" t="str">
        <x:v>pãtxo</x:v>
      </x:c>
      <x:c r="C1614" t="str">
        <x:v>o</x:v>
      </x:c>
      <x:c r="D1614" t="str">
        <x:v>g46687f7c-a6af-4154-ae90-df705bdb76d2</x:v>
      </x:c>
      <x:c r="E1614" t="str">
        <x:v>gfc6fe5e1-6fe8-418b-ba23-7a3453a06d22</x:v>
      </x:c>
      <x:c r="F1614" t="str">
        <x:v>https://www.webonary.org/marubo/gfc6fe5e1-6fe8-418b-ba23-7a3453a06d22/</x:v>
      </x:c>
      <x:c r="G1614" s="20" t="n">
        <x:v>46003.93493297454</x:v>
      </x:c>
    </x:row>
    <x:row r="1615">
      <x:c r="A1615" t="str">
        <x:v>orelha</x:v>
      </x:c>
      <x:c r="B1615" t="str">
        <x:v>1</x:v>
      </x:c>
      <x:c r="C1615" t="str">
        <x:v>o</x:v>
      </x:c>
      <x:c r="D1615" t="str">
        <x:v>g46687f7c-a6af-4154-ae90-df705bdb76d2</x:v>
      </x:c>
      <x:c r="E1615" t="str">
        <x:v>gfc6fe5e1-6fe8-418b-ba23-7a3453a06d22</x:v>
      </x:c>
      <x:c r="F1615" t="str">
        <x:v>https://www.webonary.org/marubo/gfc6fe5e1-6fe8-418b-ba23-7a3453a06d22/</x:v>
      </x:c>
      <x:c r="G1615" s="20" t="n">
        <x:v>46003.93493297454</x:v>
      </x:c>
    </x:row>
    <x:row r="1616">
      <x:c r="A1616" t="str">
        <x:v>orelha superior</x:v>
      </x:c>
      <x:c r="B1616" t="str">
        <x:v>pãtxo sheki</x:v>
      </x:c>
      <x:c r="C1616" t="str">
        <x:v>o</x:v>
      </x:c>
      <x:c r="D1616" t="str">
        <x:v>gf4d48759-98ee-4a70-b917-3b23ee674092</x:v>
      </x:c>
      <x:c r="E1616" t="str">
        <x:v>g557ff69a-75f8-45b4-bf43-21d29fb30802</x:v>
      </x:c>
      <x:c r="F1616" t="str">
        <x:v>https://www.webonary.org/marubo/g557ff69a-75f8-45b4-bf43-21d29fb30802/</x:v>
      </x:c>
      <x:c r="G1616" s="20" t="n">
        <x:v>46003.93493297454</x:v>
      </x:c>
    </x:row>
    <x:row r="1617">
      <x:c r="A1617" t="str">
        <x:v>orvalho</x:v>
      </x:c>
      <x:c r="B1617" t="str">
        <x:v>niví</x:v>
      </x:c>
      <x:c r="C1617" t="str">
        <x:v>o</x:v>
      </x:c>
      <x:c r="D1617" t="str">
        <x:v>ga209f2ae-1fd3-4d82-b22e-1cde28890bc1</x:v>
      </x:c>
      <x:c r="E1617" t="str">
        <x:v>gef97309d-95fa-4dc8-b908-b4b913c6b966</x:v>
      </x:c>
      <x:c r="F1617" t="str">
        <x:v>https://www.webonary.org/marubo/gef97309d-95fa-4dc8-b908-b4b913c6b966/</x:v>
      </x:c>
      <x:c r="G1617" s="20" t="n">
        <x:v>46003.93493297454</x:v>
      </x:c>
    </x:row>
    <x:row r="1618">
      <x:c r="A1618" t="str">
        <x:v>osso</x:v>
      </x:c>
      <x:c r="B1618" t="str">
        <x:v>shao</x:v>
      </x:c>
      <x:c r="C1618" t="str">
        <x:v>o</x:v>
      </x:c>
      <x:c r="D1618" t="str">
        <x:v>g93753a15-306e-4a63-90c6-7b4ddb726ff7</x:v>
      </x:c>
      <x:c r="E1618" t="str">
        <x:v>g9c1d0e00-964c-4b88-9376-eca2ed50d4a1</x:v>
      </x:c>
      <x:c r="F1618" t="str">
        <x:v>https://www.webonary.org/marubo/g9c1d0e00-964c-4b88-9376-eca2ed50d4a1/</x:v>
      </x:c>
      <x:c r="G1618" s="20" t="n">
        <x:v>46003.93493297454</x:v>
      </x:c>
    </x:row>
    <x:row r="1619">
      <x:c r="A1619" t="str">
        <x:v>osso curto da traseira</x:v>
      </x:c>
      <x:c r="B1619" t="str">
        <x:v>txiriviti</x:v>
      </x:c>
      <x:c r="C1619" t="str">
        <x:v>o</x:v>
      </x:c>
      <x:c r="D1619" t="str">
        <x:v>gde9b37f7-9293-4dca-8a35-5dd318c45817</x:v>
      </x:c>
      <x:c r="E1619" t="str">
        <x:v>g08fea955-c885-4146-9c24-2c7cf4503700</x:v>
      </x:c>
      <x:c r="F1619" t="str">
        <x:v>https://www.webonary.org/marubo/g08fea955-c885-4146-9c24-2c7cf4503700/</x:v>
      </x:c>
      <x:c r="G1619" s="20" t="n">
        <x:v>46003.93493297454</x:v>
      </x:c>
    </x:row>
    <x:row r="1620">
      <x:c r="A1620" t="str">
        <x:v>osso da bacia</x:v>
      </x:c>
      <x:c r="B1620" t="str">
        <x:v>txĩká payeshti</x:v>
      </x:c>
      <x:c r="C1620" t="str">
        <x:v>o</x:v>
      </x:c>
      <x:c r="D1620" t="str">
        <x:v>g39910a8f-1a69-48fc-ae88-0223be6d6abd</x:v>
      </x:c>
      <x:c r="E1620" t="str">
        <x:v>g089b8366-fcf8-4161-9fa4-d086ae17d83b</x:v>
      </x:c>
      <x:c r="F1620" t="str">
        <x:v>https://www.webonary.org/marubo/g089b8366-fcf8-4161-9fa4-d086ae17d83b/</x:v>
      </x:c>
      <x:c r="G1620" s="20" t="n">
        <x:v>46003.93493297454</x:v>
      </x:c>
    </x:row>
    <x:row r="1621">
      <x:c r="A1621" t="str">
        <x:v>osso do nariz</x:v>
      </x:c>
      <x:c r="B1621" t="str">
        <x:v>rekĩkãwĩ</x:v>
      </x:c>
      <x:c r="C1621" t="str">
        <x:v>o</x:v>
      </x:c>
      <x:c r="D1621" t="str">
        <x:v>g7c554cc2-321b-497b-a744-d476e8394ce4</x:v>
      </x:c>
      <x:c r="E1621" t="str">
        <x:v>g32a78706-9045-4f7d-ac4f-0dece31e3b86</x:v>
      </x:c>
      <x:c r="F1621" t="str">
        <x:v>https://www.webonary.org/marubo/g32a78706-9045-4f7d-ac4f-0dece31e3b86/</x:v>
      </x:c>
      <x:c r="G1621" s="20" t="n">
        <x:v>46003.93493297454</x:v>
      </x:c>
    </x:row>
    <x:row r="1622">
      <x:c r="A1622" t="str">
        <x:v>osso do tornozelo</x:v>
      </x:c>
      <x:c r="B1622" t="str">
        <x:v>notxo</x:v>
      </x:c>
      <x:c r="C1622" t="str">
        <x:v>o</x:v>
      </x:c>
      <x:c r="D1622" t="str">
        <x:v>g171228be-74a8-4938-bb3b-86f5c9479388</x:v>
      </x:c>
      <x:c r="E1622" t="str">
        <x:v>gbe7f469d-0eba-40ea-a58c-472c9d99e4c6</x:v>
      </x:c>
      <x:c r="F1622" t="str">
        <x:v>https://www.webonary.org/marubo/gbe7f469d-0eba-40ea-a58c-472c9d99e4c6/</x:v>
      </x:c>
      <x:c r="G1622" s="20" t="n">
        <x:v>46003.93493297454</x:v>
      </x:c>
    </x:row>
    <x:row r="1623">
      <x:c r="A1623" t="str">
        <x:v>ou palha de qualquer planta</x:v>
      </x:c>
      <x:c r="B1623" t="str">
        <x:v>petséa</x:v>
      </x:c>
      <x:c r="C1623" t="str">
        <x:v>o</x:v>
      </x:c>
      <x:c r="D1623" t="str">
        <x:v>gb95c21a6-aec6-4437-afca-0a2dc7b5447e</x:v>
      </x:c>
      <x:c r="E1623" t="str">
        <x:v>g67154b4b-a1c3-4fcf-a13a-ca5a83a85e2e</x:v>
      </x:c>
      <x:c r="F1623" t="str">
        <x:v>https://www.webonary.org/marubo/g67154b4b-a1c3-4fcf-a13a-ca5a83a85e2e/</x:v>
      </x:c>
      <x:c r="G1623" s="20" t="n">
        <x:v>46003.93493297454</x:v>
      </x:c>
    </x:row>
    <x:row r="1624">
      <x:c r="A1624" t="str">
        <x:v>ou primos cruzado</x:v>
      </x:c>
      <x:c r="B1624" t="str">
        <x:v>vava</x:v>
      </x:c>
      <x:c r="C1624" t="str">
        <x:v>o</x:v>
      </x:c>
      <x:c r="D1624" t="str">
        <x:v>g5559b9f0-e506-4d9d-a172-abc816598821</x:v>
      </x:c>
      <x:c r="E1624" t="str">
        <x:v>gdf835bce-012a-4440-a3a9-c6ae798c5a18</x:v>
      </x:c>
      <x:c r="F1624" t="str">
        <x:v>https://www.webonary.org/marubo/gdf835bce-012a-4440-a3a9-c6ae798c5a18/</x:v>
      </x:c>
      <x:c r="G1624" s="20" t="n">
        <x:v>46003.93493297454</x:v>
      </x:c>
    </x:row>
    <x:row r="1625">
      <x:c r="A1625" t="str">
        <x:v>ouco</x:v>
      </x:c>
      <x:c r="B1625" t="str">
        <x:v>shakĩya</x:v>
      </x:c>
      <x:c r="C1625" t="str">
        <x:v>o</x:v>
      </x:c>
      <x:c r="D1625" t="str">
        <x:v>gdd7db29a-c821-4202-917f-19d7d541be2b</x:v>
      </x:c>
      <x:c r="E1625" t="str">
        <x:v>g66ae9799-8e07-4022-b09c-6fcfba52895e</x:v>
      </x:c>
      <x:c r="F1625" t="str">
        <x:v>https://www.webonary.org/marubo/g66ae9799-8e07-4022-b09c-6fcfba52895e/</x:v>
      </x:c>
      <x:c r="G1625" s="20" t="n">
        <x:v>46003.93493297454</x:v>
      </x:c>
    </x:row>
    <x:row r="1626">
      <x:c r="A1626" t="str">
        <x:v>outro</x:v>
      </x:c>
      <x:c r="B1626" t="str">
        <x:v>wetsa</x:v>
      </x:c>
      <x:c r="C1626" t="str">
        <x:v>o</x:v>
      </x:c>
      <x:c r="D1626" t="str">
        <x:v>g792a306b-ffa3-4db7-a553-1733f891246b</x:v>
      </x:c>
      <x:c r="E1626" t="str">
        <x:v>g1b73e85f-1bf8-4afd-93d5-30364a832cdb</x:v>
      </x:c>
      <x:c r="F1626" t="str">
        <x:v>https://www.webonary.org/marubo/g1b73e85f-1bf8-4afd-93d5-30364a832cdb/</x:v>
      </x:c>
      <x:c r="G1626" s="20" t="n">
        <x:v>46003.93493297454</x:v>
      </x:c>
    </x:row>
    <x:row r="1627">
      <x:c r="A1627" t="str">
        <x:v>outro dia</x:v>
      </x:c>
      <x:c r="B1627" t="str">
        <x:v>samã</x:v>
      </x:c>
      <x:c r="C1627" t="str">
        <x:v>o</x:v>
      </x:c>
      <x:c r="D1627" t="str">
        <x:v>g731d4fed-c86e-4e89-9d2c-52246f5a205d</x:v>
      </x:c>
      <x:c r="E1627" t="str">
        <x:v>gdbedb3a5-7428-44ac-9254-4973c117c8c0</x:v>
      </x:c>
      <x:c r="F1627" t="str">
        <x:v>https://www.webonary.org/marubo/gdbedb3a5-7428-44ac-9254-4973c117c8c0/</x:v>
      </x:c>
      <x:c r="G1627" s="20" t="n">
        <x:v>46003.93493297454</x:v>
      </x:c>
    </x:row>
    <x:row r="1628">
      <x:c r="A1628" t="str">
        <x:v>outro lado</x:v>
      </x:c>
      <x:c r="B1628" t="str">
        <x:v>okiri</x:v>
      </x:c>
      <x:c r="C1628" t="str">
        <x:v>o</x:v>
      </x:c>
      <x:c r="D1628" t="str">
        <x:v>g7501af98-e177-48e8-be8b-df3f9bb03792</x:v>
      </x:c>
      <x:c r="E1628" t="str">
        <x:v>gc154bc9c-8422-4dbe-85ea-9ed1a06f8b87</x:v>
      </x:c>
      <x:c r="F1628" t="str">
        <x:v>https://www.webonary.org/marubo/gc154bc9c-8422-4dbe-85ea-9ed1a06f8b87/</x:v>
      </x:c>
      <x:c r="G1628" s="20" t="n">
        <x:v>46003.93493297454</x:v>
      </x:c>
    </x:row>
    <x:row r="1629">
      <x:c r="A1629" t="str">
        <x:v>outro tipo de banana</x:v>
      </x:c>
      <x:c r="B1629" t="str">
        <x:v>shawe mani</x:v>
      </x:c>
      <x:c r="C1629" t="str">
        <x:v>o</x:v>
      </x:c>
      <x:c r="D1629" t="str">
        <x:v>ga2907a9b-afb8-44e3-ba98-2b1b71fa308c</x:v>
      </x:c>
      <x:c r="E1629" t="str">
        <x:v>ga73304c6-e957-405b-8082-81d08154258c</x:v>
      </x:c>
      <x:c r="F1629" t="str">
        <x:v>https://www.webonary.org/marubo/ga73304c6-e957-405b-8082-81d08154258c/</x:v>
      </x:c>
      <x:c r="G1629" s="20" t="n">
        <x:v>46003.93493297454</x:v>
      </x:c>
    </x:row>
    <x:row r="1630">
      <x:c r="A1630" t="str">
        <x:v>outros</x:v>
      </x:c>
      <x:c r="B1630" t="str">
        <x:v>teréa</x:v>
      </x:c>
      <x:c r="C1630" t="str">
        <x:v>o</x:v>
      </x:c>
      <x:c r="D1630" t="str">
        <x:v>gb5e55851-fd13-4c06-9289-57eea13a36f7</x:v>
      </x:c>
      <x:c r="E1630" t="str">
        <x:v>g3f91a5eb-b94d-4558-b214-3026e882697b</x:v>
      </x:c>
      <x:c r="F1630" t="str">
        <x:v>https://www.webonary.org/marubo/g3f91a5eb-b94d-4558-b214-3026e882697b/</x:v>
      </x:c>
      <x:c r="G1630" s="20" t="n">
        <x:v>46003.93493297454</x:v>
      </x:c>
    </x:row>
    <x:row r="1631">
      <x:c r="A1631" t="str">
        <x:v>ouvido</x:v>
      </x:c>
      <x:c r="B1631" t="str">
        <x:v>pashekiti</x:v>
      </x:c>
      <x:c r="C1631" t="str">
        <x:v>o</x:v>
      </x:c>
      <x:c r="D1631" t="str">
        <x:v>g19c45f50-56fc-4b30-8f91-6414183dd131</x:v>
      </x:c>
      <x:c r="E1631" t="str">
        <x:v>gba82d461-1c51-4e44-9d4c-d1fd40951491</x:v>
      </x:c>
      <x:c r="F1631" t="str">
        <x:v>https://www.webonary.org/marubo/gba82d461-1c51-4e44-9d4c-d1fd40951491/</x:v>
      </x:c>
      <x:c r="G1631" s="20" t="n">
        <x:v>46003.93493297454</x:v>
      </x:c>
    </x:row>
    <x:row r="1632">
      <x:c r="A1632" t="str">
        <x:v>oval</x:v>
      </x:c>
      <x:c r="B1632" t="str">
        <x:v>tsanoyãwa</x:v>
      </x:c>
      <x:c r="C1632" t="str">
        <x:v>o</x:v>
      </x:c>
      <x:c r="D1632" t="str">
        <x:v>gc2d70c78-1ff3-434e-a987-b91d72ae7694</x:v>
      </x:c>
      <x:c r="E1632" t="str">
        <x:v>g1fab82f8-1e96-45ff-8da6-930cde1efe05</x:v>
      </x:c>
      <x:c r="F1632" t="str">
        <x:v>https://www.webonary.org/marubo/g1fab82f8-1e96-45ff-8da6-930cde1efe05/</x:v>
      </x:c>
      <x:c r="G1632" s="20" t="n">
        <x:v>46003.93493297454</x:v>
      </x:c>
    </x:row>
    <x:row r="1633">
      <x:c r="A1633" t="str">
        <x:v>oval</x:v>
      </x:c>
      <x:c r="B1633" t="str">
        <x:v>nõtika</x:v>
      </x:c>
      <x:c r="C1633" t="str">
        <x:v>o</x:v>
      </x:c>
      <x:c r="D1633" t="str">
        <x:v>gc2d70c78-1ff3-434e-a987-b91d72ae7694</x:v>
      </x:c>
      <x:c r="E1633" t="str">
        <x:v>g89b30611-ad29-4ffb-a662-7df913b2c49d</x:v>
      </x:c>
      <x:c r="F1633" t="str">
        <x:v>https://www.webonary.org/marubo/g89b30611-ad29-4ffb-a662-7df913b2c49d/</x:v>
      </x:c>
      <x:c r="G1633" s="20" t="n">
        <x:v>46003.93493297454</x:v>
      </x:c>
    </x:row>
    <x:row r="1634">
      <x:c r="A1634" t="str">
        <x:v>ovo</x:v>
      </x:c>
      <x:c r="B1634" t="str">
        <x:v>vatxi</x:v>
      </x:c>
      <x:c r="C1634" t="str">
        <x:v>o</x:v>
      </x:c>
      <x:c r="D1634" t="str">
        <x:v>gb403ad28-b0df-42ba-9c5d-11a34cacc004</x:v>
      </x:c>
      <x:c r="E1634" t="str">
        <x:v>g4b20876b-f0e0-4758-929b-6398fd05f067</x:v>
      </x:c>
      <x:c r="F1634" t="str">
        <x:v>https://www.webonary.org/marubo/g4b20876b-f0e0-4758-929b-6398fd05f067/</x:v>
      </x:c>
      <x:c r="G1634" s="20" t="n">
        <x:v>46003.93493297454</x:v>
      </x:c>
    </x:row>
    <x:row r="1635">
      <x:c r="A1635" t="str">
        <x:v>pá</x:v>
      </x:c>
      <x:c r="B1635" t="str">
        <x:v>poi soati</x:v>
      </x:c>
      <x:c r="C1635" t="str">
        <x:v>p</x:v>
      </x:c>
      <x:c r="D1635" t="str">
        <x:v>g2cf03c1e-5961-44b1-9ef8-d9453b02f4f4</x:v>
      </x:c>
      <x:c r="E1635" t="str">
        <x:v>g51a8cd38-a82e-4c99-b129-e7fbd4a2377e</x:v>
      </x:c>
      <x:c r="F1635" t="str">
        <x:v>https://www.webonary.org/marubo/g51a8cd38-a82e-4c99-b129-e7fbd4a2377e/</x:v>
      </x:c>
      <x:c r="G1635" s="20" t="n">
        <x:v>46003.93493297454</x:v>
      </x:c>
    </x:row>
    <x:row r="1636">
      <x:c r="A1636" t="str">
        <x:v>paca</x:v>
      </x:c>
      <x:c r="B1636" t="str">
        <x:v>ano</x:v>
      </x:c>
      <x:c r="C1636" t="str">
        <x:v>p</x:v>
      </x:c>
      <x:c r="D1636" t="str">
        <x:v>gd35f29bb-7444-48d2-9a99-ec7f2ace947e</x:v>
      </x:c>
      <x:c r="E1636" t="str">
        <x:v>g89d00105-9100-4b62-bf0c-b12966f7ef1b</x:v>
      </x:c>
      <x:c r="F1636" t="str">
        <x:v>https://www.webonary.org/marubo/g89d00105-9100-4b62-bf0c-b12966f7ef1b/</x:v>
      </x:c>
      <x:c r="G1636" s="20" t="n">
        <x:v>46003.93493297454</x:v>
      </x:c>
    </x:row>
    <x:row r="1637">
      <x:c r="A1637" t="str">
        <x:v>paca</x:v>
      </x:c>
      <x:c r="B1637" t="str">
        <x:v>1</x:v>
      </x:c>
      <x:c r="C1637" t="str">
        <x:v>p</x:v>
      </x:c>
      <x:c r="D1637" t="str">
        <x:v>gd35f29bb-7444-48d2-9a99-ec7f2ace947e</x:v>
      </x:c>
      <x:c r="E1637" t="str">
        <x:v>g89d00105-9100-4b62-bf0c-b12966f7ef1b</x:v>
      </x:c>
      <x:c r="F1637" t="str">
        <x:v>https://www.webonary.org/marubo/g89d00105-9100-4b62-bf0c-b12966f7ef1b/</x:v>
      </x:c>
      <x:c r="G1637" s="20" t="n">
        <x:v>46003.93493297454</x:v>
      </x:c>
    </x:row>
    <x:row r="1638">
      <x:c r="A1638" t="str">
        <x:v>pacote</x:v>
      </x:c>
      <x:c r="B1638" t="str">
        <x:v>kawa</x:v>
      </x:c>
      <x:c r="C1638" t="str">
        <x:v>p</x:v>
      </x:c>
      <x:c r="D1638" t="str">
        <x:v>ga29768f1-8af9-4c21-bc03-d938da0af6e0</x:v>
      </x:c>
      <x:c r="E1638" t="str">
        <x:v>gc9c05ec0-701e-4790-b89a-3c0eec01ea83</x:v>
      </x:c>
      <x:c r="F1638" t="str">
        <x:v>https://www.webonary.org/marubo/gc9c05ec0-701e-4790-b89a-3c0eec01ea83/</x:v>
      </x:c>
      <x:c r="G1638" s="20" t="n">
        <x:v>46003.93493297454</x:v>
      </x:c>
    </x:row>
    <x:row r="1639">
      <x:c r="A1639" t="str">
        <x:v>pacu</x:v>
      </x:c>
      <x:c r="B1639" t="str">
        <x:v>shawã make</x:v>
      </x:c>
      <x:c r="C1639" t="str">
        <x:v>p</x:v>
      </x:c>
      <x:c r="D1639" t="str">
        <x:v>g43cb33f6-37b8-4a0e-8d81-47305102ffd3</x:v>
      </x:c>
      <x:c r="E1639" t="str">
        <x:v>g9cb9810c-068c-47cb-836d-2d156218a66a</x:v>
      </x:c>
      <x:c r="F1639" t="str">
        <x:v>https://www.webonary.org/marubo/g9cb9810c-068c-47cb-836d-2d156218a66a/</x:v>
      </x:c>
      <x:c r="G1639" s="20" t="n">
        <x:v>46003.93493297454</x:v>
      </x:c>
    </x:row>
    <x:row r="1640">
      <x:c r="A1640" t="str">
        <x:v>pagar</x:v>
      </x:c>
      <x:c r="B1640" t="str">
        <x:v>kopímá</x:v>
      </x:c>
      <x:c r="C1640" t="str">
        <x:v>p</x:v>
      </x:c>
      <x:c r="D1640" t="str">
        <x:v>gf88a79d9-9f85-477c-9555-81e69362cd80</x:v>
      </x:c>
      <x:c r="E1640" t="str">
        <x:v>g88bd5524-6610-4d85-8761-5589fe623fe2</x:v>
      </x:c>
      <x:c r="F1640" t="str">
        <x:v>https://www.webonary.org/marubo/g88bd5524-6610-4d85-8761-5589fe623fe2/</x:v>
      </x:c>
      <x:c r="G1640" s="20" t="n">
        <x:v>46003.93493297454</x:v>
      </x:c>
    </x:row>
    <x:row r="1641">
      <x:c r="A1641" t="str">
        <x:v>pai</x:v>
      </x:c>
      <x:c r="B1641" t="str">
        <x:v>papa</x:v>
      </x:c>
      <x:c r="C1641" t="str">
        <x:v>p</x:v>
      </x:c>
      <x:c r="D1641" t="str">
        <x:v>g4b306d95-5ea7-4adb-95b2-a4fcfd636f42</x:v>
      </x:c>
      <x:c r="E1641" t="str">
        <x:v>g1245359f-51a1-4c1b-9653-9cee908f5b29</x:v>
      </x:c>
      <x:c r="F1641" t="str">
        <x:v>https://www.webonary.org/marubo/g1245359f-51a1-4c1b-9653-9cee908f5b29/</x:v>
      </x:c>
      <x:c r="G1641" s="20" t="n">
        <x:v>46003.93493297454</x:v>
      </x:c>
    </x:row>
    <x:row r="1642">
      <x:c r="A1642" t="str">
        <x:v>pajé</x:v>
      </x:c>
      <x:c r="B1642" t="str">
        <x:v>romeya</x:v>
      </x:c>
      <x:c r="C1642" t="str">
        <x:v>p</x:v>
      </x:c>
      <x:c r="D1642" t="str">
        <x:v>g4edd8c96-2040-42f1-b7f3-61d83f8c2904</x:v>
      </x:c>
      <x:c r="E1642" t="str">
        <x:v>gaf6391b7-fb99-4eb4-8f6f-390ee2f29dfe</x:v>
      </x:c>
      <x:c r="F1642" t="str">
        <x:v>https://www.webonary.org/marubo/gaf6391b7-fb99-4eb4-8f6f-390ee2f29dfe/</x:v>
      </x:c>
      <x:c r="G1642" s="20" t="n">
        <x:v>46003.93493297454</x:v>
      </x:c>
    </x:row>
    <x:row r="1643">
      <x:c r="A1643" t="str">
        <x:v>palmito</x:v>
      </x:c>
      <x:c r="B1643" t="str">
        <x:v>nato</x:v>
      </x:c>
      <x:c r="C1643" t="str">
        <x:v>p</x:v>
      </x:c>
      <x:c r="D1643" t="str">
        <x:v>gc1b86856-fed9-4aaf-b277-17405857ced7</x:v>
      </x:c>
      <x:c r="E1643" t="str">
        <x:v>g26ca3edc-e523-4e3d-b0fd-24f1b94a4271</x:v>
      </x:c>
      <x:c r="F1643" t="str">
        <x:v>https://www.webonary.org/marubo/g26ca3edc-e523-4e3d-b0fd-24f1b94a4271/</x:v>
      </x:c>
      <x:c r="G1643" s="20" t="n">
        <x:v>46003.93493297454</x:v>
      </x:c>
    </x:row>
    <x:row r="1644">
      <x:c r="A1644" t="str">
        <x:v>paneiro</x:v>
      </x:c>
      <x:c r="B1644" t="str">
        <x:v>koróti</x:v>
      </x:c>
      <x:c r="C1644" t="str">
        <x:v>p</x:v>
      </x:c>
      <x:c r="D1644" t="str">
        <x:v>g2c93ff50-cf5f-4d4f-ad09-0bf255737c08</x:v>
      </x:c>
      <x:c r="E1644" t="str">
        <x:v>g69141961-8815-49e7-890b-e1c5f8af3037</x:v>
      </x:c>
      <x:c r="F1644" t="str">
        <x:v>https://www.webonary.org/marubo/g69141961-8815-49e7-890b-e1c5f8af3037/</x:v>
      </x:c>
      <x:c r="G1644" s="20" t="n">
        <x:v>46003.93493297454</x:v>
      </x:c>
    </x:row>
    <x:row r="1645">
      <x:c r="A1645" t="str">
        <x:v>panela</x:v>
      </x:c>
      <x:c r="B1645" t="str">
        <x:v>maneyoa</x:v>
      </x:c>
      <x:c r="C1645" t="str">
        <x:v>p</x:v>
      </x:c>
      <x:c r="D1645" t="str">
        <x:v>g04254e88-7962-4935-bef5-1cf477c1c513</x:v>
      </x:c>
      <x:c r="E1645" t="str">
        <x:v>gd974dbf3-ec17-4d9c-8b6c-74355509d0b0</x:v>
      </x:c>
      <x:c r="F1645" t="str">
        <x:v>https://www.webonary.org/marubo/gd974dbf3-ec17-4d9c-8b6c-74355509d0b0/</x:v>
      </x:c>
      <x:c r="G1645" s="20" t="n">
        <x:v>46003.93493297454</x:v>
      </x:c>
    </x:row>
    <x:row r="1646">
      <x:c r="A1646" t="str">
        <x:v>panela)</x:v>
      </x:c>
      <x:c r="B1646" t="str">
        <x:v>nashkia</x:v>
      </x:c>
      <x:c r="C1646" t="str">
        <x:v>p</x:v>
      </x:c>
      <x:c r="D1646" t="str">
        <x:v>g5b299e3c-f5d5-4842-80e9-856106bc67e1</x:v>
      </x:c>
      <x:c r="E1646" t="str">
        <x:v>g9a554692-278a-4d5e-a8f4-a1f3f4bdf28f</x:v>
      </x:c>
      <x:c r="F1646" t="str">
        <x:v>https://www.webonary.org/marubo/g9a554692-278a-4d5e-a8f4-a1f3f4bdf28f/</x:v>
      </x:c>
      <x:c r="G1646" s="20" t="n">
        <x:v>46003.93493297454</x:v>
      </x:c>
    </x:row>
    <x:row r="1647">
      <x:c r="A1647" t="str">
        <x:v>pani otoka</x:v>
      </x:c>
      <x:c r="B1647" t="str">
        <x:v>otóka</x:v>
      </x:c>
      <x:c r="C1647" t="str">
        <x:v>p</x:v>
      </x:c>
      <x:c r="D1647" t="str">
        <x:v>g2b8344eb-7024-4e4a-8c0f-db00ae3925a1</x:v>
      </x:c>
      <x:c r="E1647" t="str">
        <x:v>gf247ee18-d38f-4632-8221-968ce95510c7</x:v>
      </x:c>
      <x:c r="F1647" t="str">
        <x:v>https://www.webonary.org/marubo/gf247ee18-d38f-4632-8221-968ce95510c7/</x:v>
      </x:c>
      <x:c r="G1647" s="20" t="n">
        <x:v>46003.93493297454</x:v>
      </x:c>
    </x:row>
    <x:row r="1648">
      <x:c r="A1648" t="str">
        <x:v>papagaio</x:v>
      </x:c>
      <x:c r="B1648" t="str">
        <x:v>vawa</x:v>
      </x:c>
      <x:c r="C1648" t="str">
        <x:v>p</x:v>
      </x:c>
      <x:c r="D1648" t="str">
        <x:v>gc4eb359e-b262-43b1-962c-4695921a2ada</x:v>
      </x:c>
      <x:c r="E1648" t="str">
        <x:v>g35e7847a-ce29-4456-9a1a-a66661f4eaf0</x:v>
      </x:c>
      <x:c r="F1648" t="str">
        <x:v>https://www.webonary.org/marubo/g35e7847a-ce29-4456-9a1a-a66661f4eaf0/</x:v>
      </x:c>
      <x:c r="G1648" s="20" t="n">
        <x:v>46003.93493297454</x:v>
      </x:c>
    </x:row>
    <x:row r="1649">
      <x:c r="A1649" t="str">
        <x:v>papagaio</x:v>
      </x:c>
      <x:c r="B1649" t="str">
        <x:v>1</x:v>
      </x:c>
      <x:c r="C1649" t="str">
        <x:v>p</x:v>
      </x:c>
      <x:c r="D1649" t="str">
        <x:v>gc4eb359e-b262-43b1-962c-4695921a2ada</x:v>
      </x:c>
      <x:c r="E1649" t="str">
        <x:v>g35e7847a-ce29-4456-9a1a-a66661f4eaf0</x:v>
      </x:c>
      <x:c r="F1649" t="str">
        <x:v>https://www.webonary.org/marubo/g35e7847a-ce29-4456-9a1a-a66661f4eaf0/</x:v>
      </x:c>
      <x:c r="G1649" s="20" t="n">
        <x:v>46003.93493297454</x:v>
      </x:c>
    </x:row>
    <x:row r="1650">
      <x:c r="A1650" t="str">
        <x:v>papagaio azul grande</x:v>
      </x:c>
      <x:c r="B1650" t="str">
        <x:v>kana</x:v>
      </x:c>
      <x:c r="C1650" t="str">
        <x:v>p</x:v>
      </x:c>
      <x:c r="D1650" t="str">
        <x:v>g96152882-0282-4c70-a092-45adf2c833a2</x:v>
      </x:c>
      <x:c r="E1650" t="str">
        <x:v>g2063d86a-6be6-4dc1-bbef-00d69d9f3fba</x:v>
      </x:c>
      <x:c r="F1650" t="str">
        <x:v>https://www.webonary.org/marubo/g2063d86a-6be6-4dc1-bbef-00d69d9f3fba/</x:v>
      </x:c>
      <x:c r="G1650" s="20" t="n">
        <x:v>46003.93493297454</x:v>
      </x:c>
    </x:row>
    <x:row r="1651">
      <x:c r="A1651" t="str">
        <x:v>papel</x:v>
      </x:c>
      <x:c r="B1651" t="str">
        <x:v>papíri</x:v>
      </x:c>
      <x:c r="C1651" t="str">
        <x:v>p</x:v>
      </x:c>
      <x:c r="D1651" t="str">
        <x:v>g7fb7986d-0244-4c5e-b038-12863cc692df</x:v>
      </x:c>
      <x:c r="E1651" t="str">
        <x:v>g317df89f-e124-4c31-a2d7-59a2108e511b</x:v>
      </x:c>
      <x:c r="F1651" t="str">
        <x:v>https://www.webonary.org/marubo/g317df89f-e124-4c31-a2d7-59a2108e511b/</x:v>
      </x:c>
      <x:c r="G1651" s="20" t="n">
        <x:v>46003.93493297454</x:v>
      </x:c>
    </x:row>
    <x:row r="1652">
      <x:c r="A1652" t="str">
        <x:v>papel (rolled up)</x:v>
      </x:c>
      <x:c r="B1652" t="str">
        <x:v>chõko aká</x:v>
      </x:c>
      <x:c r="C1652" t="str">
        <x:v>p</x:v>
      </x:c>
      <x:c r="D1652" t="str">
        <x:v>g03643843-92c4-468b-889f-bc3818a76071</x:v>
      </x:c>
      <x:c r="E1652" t="str">
        <x:v>g22af92f8-36b9-4160-b995-8cbcf90bc951</x:v>
      </x:c>
      <x:c r="F1652" t="str">
        <x:v>https://www.webonary.org/marubo/g22af92f8-36b9-4160-b995-8cbcf90bc951/</x:v>
      </x:c>
      <x:c r="G1652" s="20" t="n">
        <x:v>46003.93493297454</x:v>
      </x:c>
    </x:row>
    <x:row r="1653">
      <x:c r="A1653" t="str">
        <x:v>para cá</x:v>
      </x:c>
      <x:c r="B1653" t="str">
        <x:v>neri</x:v>
      </x:c>
      <x:c r="C1653" t="str">
        <x:v>p</x:v>
      </x:c>
      <x:c r="D1653" t="str">
        <x:v>gaf80fcd7-374d-4786-b2ce-b1cfe4d26ec7</x:v>
      </x:c>
      <x:c r="E1653" t="str">
        <x:v>g2cd3b8b7-1f30-4fc8-8faf-32695229dca2</x:v>
      </x:c>
      <x:c r="F1653" t="str">
        <x:v>https://www.webonary.org/marubo/g2cd3b8b7-1f30-4fc8-8faf-32695229dca2/</x:v>
      </x:c>
      <x:c r="G1653" s="20" t="n">
        <x:v>46003.93493297454</x:v>
      </x:c>
    </x:row>
    <x:row r="1654">
      <x:c r="A1654" t="str">
        <x:v>para num lugar</x:v>
      </x:c>
      <x:c r="B1654" t="str">
        <x:v>kesõa</x:v>
      </x:c>
      <x:c r="C1654" t="str">
        <x:v>p</x:v>
      </x:c>
      <x:c r="D1654" t="str">
        <x:v>gc3709f1a-3e05-44e7-bb88-06833d3e095d</x:v>
      </x:c>
      <x:c r="E1654" t="str">
        <x:v>g94495ff3-4938-477a-9027-368e771c7d4c</x:v>
      </x:c>
      <x:c r="F1654" t="str">
        <x:v>https://www.webonary.org/marubo/g94495ff3-4938-477a-9027-368e771c7d4c/</x:v>
      </x:c>
      <x:c r="G1654" s="20" t="n">
        <x:v>46003.93493297454</x:v>
      </x:c>
    </x:row>
    <x:row r="1655">
      <x:c r="A1655" t="str">
        <x:v>para que</x:v>
      </x:c>
      <x:c r="B1655" t="str">
        <x:v>iinã</x:v>
      </x:c>
      <x:c r="C1655" t="str">
        <x:v>p</x:v>
      </x:c>
      <x:c r="D1655" t="str">
        <x:v>g6ef6f48f-4e07-4caf-9937-41c0c0d2d1ac</x:v>
      </x:c>
      <x:c r="E1655" t="str">
        <x:v>ga90e27a4-cc21-4171-a600-ff10d386f9ee</x:v>
      </x:c>
      <x:c r="F1655" t="str">
        <x:v>https://www.webonary.org/marubo/ga90e27a4-cc21-4171-a600-ff10d386f9ee/</x:v>
      </x:c>
      <x:c r="G1655" s="20" t="n">
        <x:v>46003.93493297454</x:v>
      </x:c>
    </x:row>
    <x:row r="1656">
      <x:c r="A1656" t="str">
        <x:v>parar</x:v>
      </x:c>
      <x:c r="B1656" t="str">
        <x:v>kesoa</x:v>
      </x:c>
      <x:c r="C1656" t="str">
        <x:v>p</x:v>
      </x:c>
      <x:c r="D1656" t="str">
        <x:v>ga5029f36-10e2-4791-9514-91949ecfe833</x:v>
      </x:c>
      <x:c r="E1656" t="str">
        <x:v>g5fb06c14-cb72-4601-b9b7-c1a9acdd93c2</x:v>
      </x:c>
      <x:c r="F1656" t="str">
        <x:v>https://www.webonary.org/marubo/g5fb06c14-cb72-4601-b9b7-c1a9acdd93c2/</x:v>
      </x:c>
      <x:c r="G1656" s="20" t="n">
        <x:v>46003.93493297454</x:v>
      </x:c>
    </x:row>
    <x:row r="1657">
      <x:c r="A1657" t="str">
        <x:v>parar</x:v>
      </x:c>
      <x:c r="B1657" t="str">
        <x:v>nesea</x:v>
      </x:c>
      <x:c r="C1657" t="str">
        <x:v>p</x:v>
      </x:c>
      <x:c r="D1657" t="str">
        <x:v>ga5029f36-10e2-4791-9514-91949ecfe833</x:v>
      </x:c>
      <x:c r="E1657" t="str">
        <x:v>gae0e4b8b-9a7a-4018-95ba-3da04e5a43f4</x:v>
      </x:c>
      <x:c r="F1657" t="str">
        <x:v>https://www.webonary.org/marubo/gae0e4b8b-9a7a-4018-95ba-3da04e5a43f4/</x:v>
      </x:c>
      <x:c r="G1657" s="20" t="n">
        <x:v>46003.93493297454</x:v>
      </x:c>
    </x:row>
    <x:row r="1658">
      <x:c r="A1658" t="str">
        <x:v>parar num lugar no rio</x:v>
      </x:c>
      <x:c r="B1658" t="str">
        <x:v>neshéa</x:v>
      </x:c>
      <x:c r="C1658" t="str">
        <x:v>p</x:v>
      </x:c>
      <x:c r="D1658" t="str">
        <x:v>ge80244bc-61f4-4f0a-9213-d85abec7a5a6</x:v>
      </x:c>
      <x:c r="E1658" t="str">
        <x:v>gc741b3a8-9f22-419e-b4d5-40c195f86661</x:v>
      </x:c>
      <x:c r="F1658" t="str">
        <x:v>https://www.webonary.org/marubo/gc741b3a8-9f22-419e-b4d5-40c195f86661/</x:v>
      </x:c>
      <x:c r="G1658" s="20" t="n">
        <x:v>46003.93493297454</x:v>
      </x:c>
    </x:row>
    <x:row r="1659">
      <x:c r="A1659" t="str">
        <x:v>parecido</x:v>
      </x:c>
      <x:c r="B1659" t="str">
        <x:v>keská</x:v>
      </x:c>
      <x:c r="C1659" t="str">
        <x:v>p</x:v>
      </x:c>
      <x:c r="D1659" t="str">
        <x:v>g2fab2d1b-5a17-4f73-9a45-c38402b5f345</x:v>
      </x:c>
      <x:c r="E1659" t="str">
        <x:v>gdad193db-4974-40ab-94be-211147e06626</x:v>
      </x:c>
      <x:c r="F1659" t="str">
        <x:v>https://www.webonary.org/marubo/gdad193db-4974-40ab-94be-211147e06626/</x:v>
      </x:c>
      <x:c r="G1659" s="20" t="n">
        <x:v>46003.93493297454</x:v>
      </x:c>
    </x:row>
    <x:row r="1660">
      <x:c r="A1660" t="str">
        <x:v>parecido como cana</x:v>
      </x:c>
      <x:c r="B1660" t="str">
        <x:v>txepe</x:v>
      </x:c>
      <x:c r="C1660" t="str">
        <x:v>p</x:v>
      </x:c>
      <x:c r="D1660" t="str">
        <x:v>g2fb0c509-4a3a-4e3f-9fdb-f5ce74956aa8</x:v>
      </x:c>
      <x:c r="E1660" t="str">
        <x:v>g610fdb51-d30d-41ed-8b37-b83d0c47eb8a</x:v>
      </x:c>
      <x:c r="F1660" t="str">
        <x:v>https://www.webonary.org/marubo/g610fdb51-d30d-41ed-8b37-b83d0c47eb8a/</x:v>
      </x:c>
      <x:c r="G1660" s="20" t="n">
        <x:v>46003.93493297454</x:v>
      </x:c>
    </x:row>
    <x:row r="1661">
      <x:c r="A1661" t="str">
        <x:v>parede</x:v>
      </x:c>
      <x:c r="B1661" t="str">
        <x:v>kene</x:v>
      </x:c>
      <x:c r="C1661" t="str">
        <x:v>p</x:v>
      </x:c>
      <x:c r="D1661" t="str">
        <x:v>g4d0fc4ac-7c96-4ead-b3fa-c94739cf4cf1</x:v>
      </x:c>
      <x:c r="E1661" t="str">
        <x:v>g32974d52-a3e4-4779-a61d-2f7fbb3a0be8</x:v>
      </x:c>
      <x:c r="F1661" t="str">
        <x:v>https://www.webonary.org/marubo/g32974d52-a3e4-4779-a61d-2f7fbb3a0be8/</x:v>
      </x:c>
      <x:c r="G1661" s="20" t="n">
        <x:v>46003.93493297454</x:v>
      </x:c>
    </x:row>
    <x:row r="1662">
      <x:c r="A1662" t="str">
        <x:v>parente</x:v>
      </x:c>
      <x:c r="B1662" t="str">
        <x:v>wetsama</x:v>
      </x:c>
      <x:c r="C1662" t="str">
        <x:v>p</x:v>
      </x:c>
      <x:c r="D1662" t="str">
        <x:v>g23ecfa6a-c892-4a1e-bfc6-0a1e5c4afd4d</x:v>
      </x:c>
      <x:c r="E1662" t="str">
        <x:v>g1f4d04b2-c18c-448b-b71f-3a3bf5731efa</x:v>
      </x:c>
      <x:c r="F1662" t="str">
        <x:v>https://www.webonary.org/marubo/g1f4d04b2-c18c-448b-b71f-3a3bf5731efa/</x:v>
      </x:c>
      <x:c r="G1662" s="20" t="n">
        <x:v>46003.93493297454</x:v>
      </x:c>
    </x:row>
    <x:row r="1663">
      <x:c r="A1663" t="str">
        <x:v>parentes femininos</x:v>
      </x:c>
      <x:c r="B1663" t="str">
        <x:v>aweshavo</x:v>
      </x:c>
      <x:c r="C1663" t="str">
        <x:v>p</x:v>
      </x:c>
      <x:c r="D1663" t="str">
        <x:v>g737d221a-c8fb-46e4-929a-16d022c6cc56</x:v>
      </x:c>
      <x:c r="E1663" t="str">
        <x:v>ge699a6dd-88e8-40fb-8448-fd946a5b4119</x:v>
      </x:c>
      <x:c r="F1663" t="str">
        <x:v>https://www.webonary.org/marubo/ge699a6dd-88e8-40fb-8448-fd946a5b4119/</x:v>
      </x:c>
      <x:c r="G1663" s="20" t="n">
        <x:v>46003.93493297454</x:v>
      </x:c>
    </x:row>
    <x:row r="1664">
      <x:c r="A1664" t="str">
        <x:v>parte central do olho</x:v>
      </x:c>
      <x:c r="B1664" t="str">
        <x:v>vero naki</x:v>
      </x:c>
      <x:c r="C1664" t="str">
        <x:v>p</x:v>
      </x:c>
      <x:c r="D1664" t="str">
        <x:v>g44aa8d95-538a-44f7-bbd7-60732bee0211</x:v>
      </x:c>
      <x:c r="E1664" t="str">
        <x:v>gb2bfbbd5-1f16-425e-b7e8-ae673ba01411</x:v>
      </x:c>
      <x:c r="F1664" t="str">
        <x:v>https://www.webonary.org/marubo/gb2bfbbd5-1f16-425e-b7e8-ae673ba01411/</x:v>
      </x:c>
      <x:c r="G1664" s="20" t="n">
        <x:v>46003.93493979167</x:v>
      </x:c>
    </x:row>
    <x:row r="1665">
      <x:c r="A1665" t="str">
        <x:v>parte central do olho</x:v>
      </x:c>
      <x:c r="B1665" t="str">
        <x:v>vero eshe</x:v>
      </x:c>
      <x:c r="C1665" t="str">
        <x:v>p</x:v>
      </x:c>
      <x:c r="D1665" t="str">
        <x:v>g44aa8d95-538a-44f7-bbd7-60732bee0211</x:v>
      </x:c>
      <x:c r="E1665" t="str">
        <x:v>g5e1224f2-8f31-4380-96f7-444db5b73adf</x:v>
      </x:c>
      <x:c r="F1665" t="str">
        <x:v>https://www.webonary.org/marubo/g5e1224f2-8f31-4380-96f7-444db5b73adf/</x:v>
      </x:c>
      <x:c r="G1665" s="20" t="n">
        <x:v>46003.93493979167</x:v>
      </x:c>
    </x:row>
    <x:row r="1666">
      <x:c r="A1666" t="str">
        <x:v>parte de milho</x:v>
      </x:c>
      <x:c r="B1666" t="str">
        <x:v>voshká</x:v>
      </x:c>
      <x:c r="C1666" t="str">
        <x:v>p</x:v>
      </x:c>
      <x:c r="D1666" t="str">
        <x:v>g0a494aaf-746a-4e28-9101-73cfe0a98510</x:v>
      </x:c>
      <x:c r="E1666" t="str">
        <x:v>gb8b21270-e4c5-448a-9d4e-6d3f3453c70a</x:v>
      </x:c>
      <x:c r="F1666" t="str">
        <x:v>https://www.webonary.org/marubo/gb8b21270-e4c5-448a-9d4e-6d3f3453c70a/</x:v>
      </x:c>
      <x:c r="G1666" s="20" t="n">
        <x:v>46003.93493979167</x:v>
      </x:c>
    </x:row>
    <x:row r="1667">
      <x:c r="A1667" t="str">
        <x:v>parte debaixo do kenã</x:v>
      </x:c>
      <x:c r="B1667" t="str">
        <x:v>vosekiti</x:v>
      </x:c>
      <x:c r="C1667" t="str">
        <x:v>p</x:v>
      </x:c>
      <x:c r="D1667" t="str">
        <x:v>g7fa4715a-55f4-4661-b9c5-405464ac4152</x:v>
      </x:c>
      <x:c r="E1667" t="str">
        <x:v>g029c2a38-057b-4a10-a1aa-4839a3d682ed</x:v>
      </x:c>
      <x:c r="F1667" t="str">
        <x:v>https://www.webonary.org/marubo/g029c2a38-057b-4a10-a1aa-4839a3d682ed/</x:v>
      </x:c>
      <x:c r="G1667" s="20" t="n">
        <x:v>46003.93493979167</x:v>
      </x:c>
    </x:row>
    <x:row r="1668">
      <x:c r="A1668" t="str">
        <x:v>parte do interior abdominal</x:v>
      </x:c>
      <x:c r="B1668" t="str">
        <x:v>tsipose</x:v>
      </x:c>
      <x:c r="C1668" t="str">
        <x:v>p</x:v>
      </x:c>
      <x:c r="D1668" t="str">
        <x:v>g6e6504bd-bbed-43a7-a84a-fb1fdf99c986</x:v>
      </x:c>
      <x:c r="E1668" t="str">
        <x:v>g05f05bec-c63c-4c00-bf3a-fdd45a7ec0cb</x:v>
      </x:c>
      <x:c r="F1668" t="str">
        <x:v>https://www.webonary.org/marubo/g05f05bec-c63c-4c00-bf3a-fdd45a7ec0cb/</x:v>
      </x:c>
      <x:c r="G1668" s="20" t="n">
        <x:v>46003.93493979167</x:v>
      </x:c>
    </x:row>
    <x:row r="1669">
      <x:c r="A1669" t="str">
        <x:v>parte do pé de animal</x:v>
      </x:c>
      <x:c r="B1669" t="str">
        <x:v>merĩki</x:v>
      </x:c>
      <x:c r="C1669" t="str">
        <x:v>p</x:v>
      </x:c>
      <x:c r="D1669" t="str">
        <x:v>gbe965869-dfaf-46c1-b7a1-a4e4bb86c87a</x:v>
      </x:c>
      <x:c r="E1669" t="str">
        <x:v>gf97b7ff9-910e-4c31-8fca-0661f32895ed</x:v>
      </x:c>
      <x:c r="F1669" t="str">
        <x:v>https://www.webonary.org/marubo/gf97b7ff9-910e-4c31-8fca-0661f32895ed/</x:v>
      </x:c>
      <x:c r="G1669" s="20" t="n">
        <x:v>46003.93493979167</x:v>
      </x:c>
    </x:row>
    <x:row r="1670">
      <x:c r="A1670" t="str">
        <x:v>parte horizontal do cesto</x:v>
      </x:c>
      <x:c r="B1670" t="str">
        <x:v>yaketi</x:v>
      </x:c>
      <x:c r="C1670" t="str">
        <x:v>p</x:v>
      </x:c>
      <x:c r="D1670" t="str">
        <x:v>gc82fda1e-bc09-46ed-bcb9-9869f1cbc163</x:v>
      </x:c>
      <x:c r="E1670" t="str">
        <x:v>g0ef5b3b2-7d57-44b2-b172-f2a95ae2a917</x:v>
      </x:c>
      <x:c r="F1670" t="str">
        <x:v>https://www.webonary.org/marubo/g0ef5b3b2-7d57-44b2-b172-f2a95ae2a917/</x:v>
      </x:c>
      <x:c r="G1670" s="20" t="n">
        <x:v>46003.93493979167</x:v>
      </x:c>
    </x:row>
    <x:row r="1671">
      <x:c r="A1671" t="str">
        <x:v>parte inférior da perna</x:v>
      </x:c>
      <x:c r="B1671" t="str">
        <x:v>itáshe</x:v>
      </x:c>
      <x:c r="C1671" t="str">
        <x:v>p</x:v>
      </x:c>
      <x:c r="D1671" t="str">
        <x:v>gcdf9961f-ad40-4624-9e59-517165ba3ad1</x:v>
      </x:c>
      <x:c r="E1671" t="str">
        <x:v>gc6e2e5ac-d69a-4573-ad56-92967e7893cc</x:v>
      </x:c>
      <x:c r="F1671" t="str">
        <x:v>https://www.webonary.org/marubo/gc6e2e5ac-d69a-4573-ad56-92967e7893cc/</x:v>
      </x:c>
      <x:c r="G1671" s="20" t="n">
        <x:v>46003.93493979167</x:v>
      </x:c>
    </x:row>
    <x:row r="1672">
      <x:c r="A1672" t="str">
        <x:v>parte interior de abdômeno</x:v>
      </x:c>
      <x:c r="B1672" t="str">
        <x:v>txĩshã́</x:v>
      </x:c>
      <x:c r="C1672" t="str">
        <x:v>p</x:v>
      </x:c>
      <x:c r="D1672" t="str">
        <x:v>gae291606-6fa0-4516-ac88-eed8bd5b7007</x:v>
      </x:c>
      <x:c r="E1672" t="str">
        <x:v>gc53d94de-caf9-4189-98dd-1a2865636edf</x:v>
      </x:c>
      <x:c r="F1672" t="str">
        <x:v>https://www.webonary.org/marubo/gc53d94de-caf9-4189-98dd-1a2865636edf/</x:v>
      </x:c>
      <x:c r="G1672" s="20" t="n">
        <x:v>46003.93493979167</x:v>
      </x:c>
    </x:row>
    <x:row r="1673">
      <x:c r="A1673" t="str">
        <x:v>parte interior do peito</x:v>
      </x:c>
      <x:c r="B1673" t="str">
        <x:v>põshã</x:v>
      </x:c>
      <x:c r="C1673" t="str">
        <x:v>p</x:v>
      </x:c>
      <x:c r="D1673" t="str">
        <x:v>gba4580e4-6195-4a6d-954f-1de09f179fa6</x:v>
      </x:c>
      <x:c r="E1673" t="str">
        <x:v>g2d872c69-c20a-4895-85a7-c9248caec832</x:v>
      </x:c>
      <x:c r="F1673" t="str">
        <x:v>https://www.webonary.org/marubo/g2d872c69-c20a-4895-85a7-c9248caec832/</x:v>
      </x:c>
      <x:c r="G1673" s="20" t="n">
        <x:v>46003.93493979167</x:v>
      </x:c>
    </x:row>
    <x:row r="1674">
      <x:c r="A1674" t="str">
        <x:v>parte interior do pescoço</x:v>
      </x:c>
      <x:c r="B1674" t="str">
        <x:v>tẽshaviti</x:v>
      </x:c>
      <x:c r="C1674" t="str">
        <x:v>p</x:v>
      </x:c>
      <x:c r="D1674" t="str">
        <x:v>g0d0dd476-2f74-4e79-ad7d-e7bb05ecd255</x:v>
      </x:c>
      <x:c r="E1674" t="str">
        <x:v>g43e3c6f1-ec7a-4f41-afc7-4a862b5a91f7</x:v>
      </x:c>
      <x:c r="F1674" t="str">
        <x:v>https://www.webonary.org/marubo/g43e3c6f1-ec7a-4f41-afc7-4a862b5a91f7/</x:v>
      </x:c>
      <x:c r="G1674" s="20" t="n">
        <x:v>46003.93493979167</x:v>
      </x:c>
    </x:row>
    <x:row r="1675">
      <x:c r="A1675" t="str">
        <x:v>parte interno de animal</x:v>
      </x:c>
      <x:c r="B1675" t="str">
        <x:v>ĩtã</x:v>
      </x:c>
      <x:c r="C1675" t="str">
        <x:v>p</x:v>
      </x:c>
      <x:c r="D1675" t="str">
        <x:v>g09a1f79c-e525-4e46-b615-fa1bcc84f7db</x:v>
      </x:c>
      <x:c r="E1675" t="str">
        <x:v>gaa30c69f-3fe3-4f2c-b5f9-96115250d50d</x:v>
      </x:c>
      <x:c r="F1675" t="str">
        <x:v>https://www.webonary.org/marubo/gaa30c69f-3fe3-4f2c-b5f9-96115250d50d/</x:v>
      </x:c>
      <x:c r="G1675" s="20" t="n">
        <x:v>46003.93493979167</x:v>
      </x:c>
    </x:row>
    <x:row r="1676">
      <x:c r="A1676" t="str">
        <x:v>parte lateral da maloca</x:v>
      </x:c>
      <x:c r="B1676" t="str">
        <x:v>txipã</x:v>
      </x:c>
      <x:c r="C1676" t="str">
        <x:v>p</x:v>
      </x:c>
      <x:c r="D1676" t="str">
        <x:v>g381b1710-68da-4561-8696-328161bb0d8d</x:v>
      </x:c>
      <x:c r="E1676" t="str">
        <x:v>g3c526ae4-2ccf-4559-928a-098e1b1d5540</x:v>
      </x:c>
      <x:c r="F1676" t="str">
        <x:v>https://www.webonary.org/marubo/g3c526ae4-2ccf-4559-928a-098e1b1d5540/</x:v>
      </x:c>
      <x:c r="G1676" s="20" t="n">
        <x:v>46003.93493979167</x:v>
      </x:c>
    </x:row>
    <x:row r="1677">
      <x:c r="A1677" t="str">
        <x:v>parte lateral da maloca</x:v>
      </x:c>
      <x:c r="B1677" t="str">
        <x:v>2</x:v>
      </x:c>
      <x:c r="C1677" t="str">
        <x:v>p</x:v>
      </x:c>
      <x:c r="D1677" t="str">
        <x:v>g381b1710-68da-4561-8696-328161bb0d8d</x:v>
      </x:c>
      <x:c r="E1677" t="str">
        <x:v>g3c526ae4-2ccf-4559-928a-098e1b1d5540</x:v>
      </x:c>
      <x:c r="F1677" t="str">
        <x:v>https://www.webonary.org/marubo/g3c526ae4-2ccf-4559-928a-098e1b1d5540/</x:v>
      </x:c>
      <x:c r="G1677" s="20" t="n">
        <x:v>46003.93493979167</x:v>
      </x:c>
    </x:row>
    <x:row r="1678">
      <x:c r="A1678" t="str">
        <x:v>parte mais alto da árvore</x:v>
      </x:c>
      <x:c r="B1678" t="str">
        <x:v>võshõri</x:v>
      </x:c>
      <x:c r="C1678" t="str">
        <x:v>p</x:v>
      </x:c>
      <x:c r="D1678" t="str">
        <x:v>g53cc4d65-62bd-4dd1-a6c2-eb41f6a5d654</x:v>
      </x:c>
      <x:c r="E1678" t="str">
        <x:v>g51001845-8b06-49f5-bd87-39605d5f4ebc</x:v>
      </x:c>
      <x:c r="F1678" t="str">
        <x:v>https://www.webonary.org/marubo/g51001845-8b06-49f5-bd87-39605d5f4ebc/</x:v>
      </x:c>
      <x:c r="G1678" s="20" t="n">
        <x:v>46003.93493979167</x:v>
      </x:c>
    </x:row>
    <x:row r="1679">
      <x:c r="A1679" t="str">
        <x:v>parte média da costa</x:v>
      </x:c>
      <x:c r="B1679" t="str">
        <x:v>pẽtsĩvakĩ</x:v>
      </x:c>
      <x:c r="C1679" t="str">
        <x:v>p</x:v>
      </x:c>
      <x:c r="D1679" t="str">
        <x:v>gfbcaa158-5562-48f8-9da8-b43c2be2c484</x:v>
      </x:c>
      <x:c r="E1679" t="str">
        <x:v>g881533d5-6d45-46cd-8b0b-08292f81e845</x:v>
      </x:c>
      <x:c r="F1679" t="str">
        <x:v>https://www.webonary.org/marubo/g881533d5-6d45-46cd-8b0b-08292f81e845/</x:v>
      </x:c>
      <x:c r="G1679" s="20" t="n">
        <x:v>46003.93493979167</x:v>
      </x:c>
    </x:row>
    <x:row r="1680">
      <x:c r="A1680" t="str">
        <x:v>parte superior da testa</x:v>
      </x:c>
      <x:c r="B1680" t="str">
        <x:v>vẽchõti</x:v>
      </x:c>
      <x:c r="C1680" t="str">
        <x:v>p</x:v>
      </x:c>
      <x:c r="D1680" t="str">
        <x:v>gd452ce72-a886-4cbd-8600-32bb1e066786</x:v>
      </x:c>
      <x:c r="E1680" t="str">
        <x:v>g30b13ed5-9854-4ecc-a603-de5d981e8002</x:v>
      </x:c>
      <x:c r="F1680" t="str">
        <x:v>https://www.webonary.org/marubo/g30b13ed5-9854-4ecc-a603-de5d981e8002/</x:v>
      </x:c>
      <x:c r="G1680" s="20" t="n">
        <x:v>46003.93493979167</x:v>
      </x:c>
    </x:row>
    <x:row r="1681">
      <x:c r="A1681" t="str">
        <x:v>parte superior das costas</x:v>
      </x:c>
      <x:c r="B1681" t="str">
        <x:v>tõpi</x:v>
      </x:c>
      <x:c r="C1681" t="str">
        <x:v>p</x:v>
      </x:c>
      <x:c r="D1681" t="str">
        <x:v>ge6bb123f-6556-4358-a9be-9ea8f3bd7eb0</x:v>
      </x:c>
      <x:c r="E1681" t="str">
        <x:v>gb7153d6b-5a10-493b-836c-d5dff10b7cbc</x:v>
      </x:c>
      <x:c r="F1681" t="str">
        <x:v>https://www.webonary.org/marubo/gb7153d6b-5a10-493b-836c-d5dff10b7cbc/</x:v>
      </x:c>
      <x:c r="G1681" s="20" t="n">
        <x:v>46003.93493979167</x:v>
      </x:c>
    </x:row>
    <x:row r="1682">
      <x:c r="A1682" t="str">
        <x:v>parte superior das costas</x:v>
      </x:c>
      <x:c r="B1682" t="str">
        <x:v>pemane</x:v>
      </x:c>
      <x:c r="C1682" t="str">
        <x:v>p</x:v>
      </x:c>
      <x:c r="D1682" t="str">
        <x:v>ge6bb123f-6556-4358-a9be-9ea8f3bd7eb0</x:v>
      </x:c>
      <x:c r="E1682" t="str">
        <x:v>g47d8ecaf-9b24-4bd3-95a1-e54e55884ddb</x:v>
      </x:c>
      <x:c r="F1682" t="str">
        <x:v>https://www.webonary.org/marubo/g47d8ecaf-9b24-4bd3-95a1-e54e55884ddb/</x:v>
      </x:c>
      <x:c r="G1682" s="20" t="n">
        <x:v>46003.93493979167</x:v>
      </x:c>
    </x:row>
    <x:row r="1683">
      <x:c r="A1683" t="str">
        <x:v>parte traseira da cabeça</x:v>
      </x:c>
      <x:c r="B1683" t="str">
        <x:v>mapo txitõti</x:v>
      </x:c>
      <x:c r="C1683" t="str">
        <x:v>p</x:v>
      </x:c>
      <x:c r="D1683" t="str">
        <x:v>g59737506-ea7f-4800-86ac-0e2fb0d74ad3</x:v>
      </x:c>
      <x:c r="E1683" t="str">
        <x:v>g7ac0dab7-6d73-47ea-9367-8b554d19df94</x:v>
      </x:c>
      <x:c r="F1683" t="str">
        <x:v>https://www.webonary.org/marubo/g7ac0dab7-6d73-47ea-9367-8b554d19df94/</x:v>
      </x:c>
      <x:c r="G1683" s="20" t="n">
        <x:v>46003.93493979167</x:v>
      </x:c>
    </x:row>
    <x:row r="1684">
      <x:c r="A1684" t="str">
        <x:v>PAS2</x:v>
      </x:c>
      <x:c r="B1684" t="str">
        <x:v>-vai</x:v>
      </x:c>
      <x:c r="C1684" t="str">
        <x:v>p</x:v>
      </x:c>
      <x:c r="D1684" t="str">
        <x:v>g5fd5770c-b79a-48da-8808-b78aefb7226f</x:v>
      </x:c>
      <x:c r="E1684" t="str">
        <x:v>gf3daca8f-22d0-4994-a3e3-2f6d62f124f9</x:v>
      </x:c>
      <x:c r="F1684" t="str">
        <x:v>https://www.webonary.org/marubo/gf3daca8f-22d0-4994-a3e3-2f6d62f124f9/</x:v>
      </x:c>
      <x:c r="G1684" s="20" t="n">
        <x:v>46003.93493979167</x:v>
      </x:c>
    </x:row>
    <x:row r="1685">
      <x:c r="A1685" t="str">
        <x:v>PAS2</x:v>
      </x:c>
      <x:c r="B1685" t="str">
        <x:v>1</x:v>
      </x:c>
      <x:c r="C1685" t="str">
        <x:v>p</x:v>
      </x:c>
      <x:c r="D1685" t="str">
        <x:v>g5fd5770c-b79a-48da-8808-b78aefb7226f</x:v>
      </x:c>
      <x:c r="E1685" t="str">
        <x:v>gf3daca8f-22d0-4994-a3e3-2f6d62f124f9</x:v>
      </x:c>
      <x:c r="F1685" t="str">
        <x:v>https://www.webonary.org/marubo/gf3daca8f-22d0-4994-a3e3-2f6d62f124f9/</x:v>
      </x:c>
      <x:c r="G1685" s="20" t="n">
        <x:v>46003.93493979167</x:v>
      </x:c>
    </x:row>
    <x:row r="1686">
      <x:c r="A1686" t="str">
        <x:v>PAS3</x:v>
      </x:c>
      <x:c r="B1686" t="str">
        <x:v>-chĩa</x:v>
      </x:c>
      <x:c r="C1686" t="str">
        <x:v>p</x:v>
      </x:c>
      <x:c r="D1686" t="str">
        <x:v>g2ef5b334-30ca-4fac-bb25-be8c3d986e48</x:v>
      </x:c>
      <x:c r="E1686" t="str">
        <x:v>g5c36bd2b-1163-47f6-828b-3cc8e291b144</x:v>
      </x:c>
      <x:c r="F1686" t="str">
        <x:v>https://www.webonary.org/marubo/g5c36bd2b-1163-47f6-828b-3cc8e291b144/</x:v>
      </x:c>
      <x:c r="G1686" s="20" t="n">
        <x:v>46003.93493979167</x:v>
      </x:c>
    </x:row>
    <x:row r="1687">
      <x:c r="A1687" t="str">
        <x:v>PAS3</x:v>
      </x:c>
      <x:c r="B1687" t="str">
        <x:v>-chná</x:v>
      </x:c>
      <x:c r="C1687" t="str">
        <x:v>p</x:v>
      </x:c>
      <x:c r="D1687" t="str">
        <x:v>g2ef5b334-30ca-4fac-bb25-be8c3d986e48</x:v>
      </x:c>
      <x:c r="E1687" t="str">
        <x:v>g0ae8ffc2-0e78-46ce-862e-f0fd6cf77527</x:v>
      </x:c>
      <x:c r="F1687" t="str">
        <x:v>https://www.webonary.org/marubo/g0ae8ffc2-0e78-46ce-862e-f0fd6cf77527/</x:v>
      </x:c>
      <x:c r="G1687" s="20" t="n">
        <x:v>46003.93493979167</x:v>
      </x:c>
    </x:row>
    <x:row r="1688">
      <x:c r="A1688" t="str">
        <x:v>PAS3.INT</x:v>
      </x:c>
      <x:c r="B1688" t="str">
        <x:v>-chní</x:v>
      </x:c>
      <x:c r="C1688" t="str">
        <x:v>p</x:v>
      </x:c>
      <x:c r="D1688" t="str">
        <x:v>g96b6a9c1-48f1-4cd2-8908-fef5f8818b46</x:v>
      </x:c>
      <x:c r="E1688" t="str">
        <x:v>gd5b37090-b5e9-4234-b7bf-67b6ea6965f7</x:v>
      </x:c>
      <x:c r="F1688" t="str">
        <x:v>https://www.webonary.org/marubo/gd5b37090-b5e9-4234-b7bf-67b6ea6965f7/</x:v>
      </x:c>
      <x:c r="G1688" s="20" t="n">
        <x:v>46003.93493979167</x:v>
      </x:c>
    </x:row>
    <x:row r="1689">
      <x:c r="A1689" t="str">
        <x:v>PAS4</x:v>
      </x:c>
      <x:c r="B1689" t="str">
        <x:v>-yãtá</x:v>
      </x:c>
      <x:c r="C1689" t="str">
        <x:v>p</x:v>
      </x:c>
      <x:c r="D1689" t="str">
        <x:v>g92d6b28c-878c-4995-a994-c3ceab5d3f21</x:v>
      </x:c>
      <x:c r="E1689" t="str">
        <x:v>ge5519e12-7c56-46ae-8568-8b19cca7fc34</x:v>
      </x:c>
      <x:c r="F1689" t="str">
        <x:v>https://www.webonary.org/marubo/ge5519e12-7c56-46ae-8568-8b19cca7fc34/</x:v>
      </x:c>
      <x:c r="G1689" s="20" t="n">
        <x:v>46003.93493979167</x:v>
      </x:c>
    </x:row>
    <x:row r="1690">
      <x:c r="A1690" t="str">
        <x:v>PAS4</x:v>
      </x:c>
      <x:c r="B1690" t="str">
        <x:v>-mtá</x:v>
      </x:c>
      <x:c r="C1690" t="str">
        <x:v>p</x:v>
      </x:c>
      <x:c r="D1690" t="str">
        <x:v>g92d6b28c-878c-4995-a994-c3ceab5d3f21</x:v>
      </x:c>
      <x:c r="E1690" t="str">
        <x:v>g10c8acad-dbca-4e06-a5ad-4056a72580a1</x:v>
      </x:c>
      <x:c r="F1690" t="str">
        <x:v>https://www.webonary.org/marubo/g10c8acad-dbca-4e06-a5ad-4056a72580a1/</x:v>
      </x:c>
      <x:c r="G1690" s="20" t="n">
        <x:v>46003.93493979167</x:v>
      </x:c>
    </x:row>
    <x:row r="1691">
      <x:c r="A1691" t="str">
        <x:v>PAS5</x:v>
      </x:c>
      <x:c r="B1691" t="str">
        <x:v>-ti</x:v>
      </x:c>
      <x:c r="C1691" t="str">
        <x:v>p</x:v>
      </x:c>
      <x:c r="D1691" t="str">
        <x:v>gac901ae3-8abb-4ffb-ad9d-720b455684bb</x:v>
      </x:c>
      <x:c r="E1691" t="str">
        <x:v>g827b4d46-84ae-4028-b817-6d051c9226be</x:v>
      </x:c>
      <x:c r="F1691" t="str">
        <x:v>https://www.webonary.org/marubo/g827b4d46-84ae-4028-b817-6d051c9226be/</x:v>
      </x:c>
      <x:c r="G1691" s="20" t="n">
        <x:v>46003.93493979167</x:v>
      </x:c>
    </x:row>
    <x:row r="1692">
      <x:c r="A1692" t="str">
        <x:v>PAS5</x:v>
      </x:c>
      <x:c r="B1692" t="str">
        <x:v>2</x:v>
      </x:c>
      <x:c r="C1692" t="str">
        <x:v>p</x:v>
      </x:c>
      <x:c r="D1692" t="str">
        <x:v>gac901ae3-8abb-4ffb-ad9d-720b455684bb</x:v>
      </x:c>
      <x:c r="E1692" t="str">
        <x:v>g827b4d46-84ae-4028-b817-6d051c9226be</x:v>
      </x:c>
      <x:c r="F1692" t="str">
        <x:v>https://www.webonary.org/marubo/g827b4d46-84ae-4028-b817-6d051c9226be/</x:v>
      </x:c>
      <x:c r="G1692" s="20" t="n">
        <x:v>46003.93493979167</x:v>
      </x:c>
    </x:row>
    <x:row r="1693">
      <x:c r="A1693" t="str">
        <x:v>passar</x:v>
      </x:c>
      <x:c r="B1693" t="str">
        <x:v>tavá</x:v>
      </x:c>
      <x:c r="C1693" t="str">
        <x:v>p</x:v>
      </x:c>
      <x:c r="D1693" t="str">
        <x:v>gc67c6427-f108-46d2-b0f8-7dde20ccc5b4</x:v>
      </x:c>
      <x:c r="E1693" t="str">
        <x:v>g7f470e19-f620-490d-b8c2-1ab83c77fd7a</x:v>
      </x:c>
      <x:c r="F1693" t="str">
        <x:v>https://www.webonary.org/marubo/g7f470e19-f620-490d-b8c2-1ab83c77fd7a/</x:v>
      </x:c>
      <x:c r="G1693" s="20" t="n">
        <x:v>46003.93493979167</x:v>
      </x:c>
    </x:row>
    <x:row r="1694">
      <x:c r="A1694" t="str">
        <x:v>passar</x:v>
      </x:c>
      <x:c r="B1694" t="str">
        <x:v>2</x:v>
      </x:c>
      <x:c r="C1694" t="str">
        <x:v>p</x:v>
      </x:c>
      <x:c r="D1694" t="str">
        <x:v>gc67c6427-f108-46d2-b0f8-7dde20ccc5b4</x:v>
      </x:c>
      <x:c r="E1694" t="str">
        <x:v>g7f470e19-f620-490d-b8c2-1ab83c77fd7a</x:v>
      </x:c>
      <x:c r="F1694" t="str">
        <x:v>https://www.webonary.org/marubo/g7f470e19-f620-490d-b8c2-1ab83c77fd7a/</x:v>
      </x:c>
      <x:c r="G1694" s="20" t="n">
        <x:v>46003.93493979167</x:v>
      </x:c>
    </x:row>
    <x:row r="1695">
      <x:c r="A1695" t="str">
        <x:v>passar</x:v>
      </x:c>
      <x:c r="B1695" t="str">
        <x:v>veva</x:v>
      </x:c>
      <x:c r="C1695" t="str">
        <x:v>p</x:v>
      </x:c>
      <x:c r="D1695" t="str">
        <x:v>gc67c6427-f108-46d2-b0f8-7dde20ccc5b4</x:v>
      </x:c>
      <x:c r="E1695" t="str">
        <x:v>g962ff63b-9dc7-4b61-bcad-ef653bc88625</x:v>
      </x:c>
      <x:c r="F1695" t="str">
        <x:v>https://www.webonary.org/marubo/g962ff63b-9dc7-4b61-bcad-ef653bc88625/</x:v>
      </x:c>
      <x:c r="G1695" s="20" t="n">
        <x:v>46003.93493979167</x:v>
      </x:c>
    </x:row>
    <x:row r="1696">
      <x:c r="A1696" t="str">
        <x:v>passar</x:v>
      </x:c>
      <x:c r="B1696" t="str">
        <x:v>kawã</x:v>
      </x:c>
      <x:c r="C1696" t="str">
        <x:v>p</x:v>
      </x:c>
      <x:c r="D1696" t="str">
        <x:v>gc67c6427-f108-46d2-b0f8-7dde20ccc5b4</x:v>
      </x:c>
      <x:c r="E1696" t="str">
        <x:v>g53bfa61a-5aae-4cd1-a115-2d6a4a3b9821</x:v>
      </x:c>
      <x:c r="F1696" t="str">
        <x:v>https://www.webonary.org/marubo/g53bfa61a-5aae-4cd1-a115-2d6a4a3b9821/</x:v>
      </x:c>
      <x:c r="G1696" s="20" t="n">
        <x:v>46003.93493979167</x:v>
      </x:c>
    </x:row>
    <x:row r="1697">
      <x:c r="A1697" t="str">
        <x:v>passar</x:v>
      </x:c>
      <x:c r="B1697" t="str">
        <x:v>paia</x:v>
      </x:c>
      <x:c r="C1697" t="str">
        <x:v>p</x:v>
      </x:c>
      <x:c r="D1697" t="str">
        <x:v>gc67c6427-f108-46d2-b0f8-7dde20ccc5b4</x:v>
      </x:c>
      <x:c r="E1697" t="str">
        <x:v>gd580397c-3d21-4972-a164-11b8a76a4349</x:v>
      </x:c>
      <x:c r="F1697" t="str">
        <x:v>https://www.webonary.org/marubo/gd580397c-3d21-4972-a164-11b8a76a4349/</x:v>
      </x:c>
      <x:c r="G1697" s="20" t="n">
        <x:v>46003.93493979167</x:v>
      </x:c>
    </x:row>
    <x:row r="1698">
      <x:c r="A1698" t="str">
        <x:v>passaro</x:v>
      </x:c>
      <x:c r="B1698" t="str">
        <x:v>netxáshe</x:v>
      </x:c>
      <x:c r="C1698" t="str">
        <x:v>p</x:v>
      </x:c>
      <x:c r="D1698" t="str">
        <x:v>g0c8e158f-9ff9-404f-81a7-dd8a51a7c2a8</x:v>
      </x:c>
      <x:c r="E1698" t="str">
        <x:v>g2f7e8d57-f4e6-4e63-ad44-2ac068b37ce6</x:v>
      </x:c>
      <x:c r="F1698" t="str">
        <x:v>https://www.webonary.org/marubo/g2f7e8d57-f4e6-4e63-ad44-2ac068b37ce6/</x:v>
      </x:c>
      <x:c r="G1698" s="20" t="n">
        <x:v>46003.93493979167</x:v>
      </x:c>
    </x:row>
    <x:row r="1699">
      <x:c r="A1699" t="str">
        <x:v>pássaro</x:v>
      </x:c>
      <x:c r="B1699" t="str">
        <x:v>chai</x:v>
      </x:c>
      <x:c r="C1699" t="str">
        <x:v>p</x:v>
      </x:c>
      <x:c r="D1699" t="str">
        <x:v>g2dcaf17d-8aeb-4804-967e-f222deb1e2cd</x:v>
      </x:c>
      <x:c r="E1699" t="str">
        <x:v>g56300197-cc20-4934-b883-2a320bdd578e</x:v>
      </x:c>
      <x:c r="F1699" t="str">
        <x:v>https://www.webonary.org/marubo/g56300197-cc20-4934-b883-2a320bdd578e/</x:v>
      </x:c>
      <x:c r="G1699" s="20" t="n">
        <x:v>46003.93493979167</x:v>
      </x:c>
    </x:row>
    <x:row r="1700">
      <x:c r="A1700" t="str">
        <x:v>pássaro bem-te-vi</x:v>
      </x:c>
      <x:c r="B1700" t="str">
        <x:v>varĩ mismĩ</x:v>
      </x:c>
      <x:c r="C1700" t="str">
        <x:v>p</x:v>
      </x:c>
      <x:c r="D1700" t="str">
        <x:v>g0e81983c-556a-49a9-bf0e-bd5357f9e6fe</x:v>
      </x:c>
      <x:c r="E1700" t="str">
        <x:v>g35093be0-8134-4a64-904f-f5f07a47a1f7</x:v>
      </x:c>
      <x:c r="F1700" t="str">
        <x:v>https://www.webonary.org/marubo/g35093be0-8134-4a64-904f-f5f07a47a1f7/</x:v>
      </x:c>
      <x:c r="G1700" s="20" t="n">
        <x:v>46003.93493979167</x:v>
      </x:c>
    </x:row>
    <x:row r="1701">
      <x:c r="A1701" t="str">
        <x:v>passaro chico preto</x:v>
      </x:c>
      <x:c r="B1701" t="str">
        <x:v>oka</x:v>
      </x:c>
      <x:c r="C1701" t="str">
        <x:v>p</x:v>
      </x:c>
      <x:c r="D1701" t="str">
        <x:v>g6f119826-2620-42bb-9244-6a1a5b112d78</x:v>
      </x:c>
      <x:c r="E1701" t="str">
        <x:v>gaafe2761-6123-4920-b32b-77c2a9849584</x:v>
      </x:c>
      <x:c r="F1701" t="str">
        <x:v>https://www.webonary.org/marubo/gaafe2761-6123-4920-b32b-77c2a9849584/</x:v>
      </x:c>
      <x:c r="G1701" s="20" t="n">
        <x:v>46003.93493979167</x:v>
      </x:c>
    </x:row>
    <x:row r="1702">
      <x:c r="A1702" t="str">
        <x:v>passaro chico preto</x:v>
      </x:c>
      <x:c r="B1702" t="str">
        <x:v>1</x:v>
      </x:c>
      <x:c r="C1702" t="str">
        <x:v>p</x:v>
      </x:c>
      <x:c r="D1702" t="str">
        <x:v>g6f119826-2620-42bb-9244-6a1a5b112d78</x:v>
      </x:c>
      <x:c r="E1702" t="str">
        <x:v>gaafe2761-6123-4920-b32b-77c2a9849584</x:v>
      </x:c>
      <x:c r="F1702" t="str">
        <x:v>https://www.webonary.org/marubo/gaafe2761-6123-4920-b32b-77c2a9849584/</x:v>
      </x:c>
      <x:c r="G1702" s="20" t="n">
        <x:v>46003.93493979167</x:v>
      </x:c>
    </x:row>
    <x:row r="1703">
      <x:c r="A1703" t="str">
        <x:v>pássaro dorminhoco</x:v>
      </x:c>
      <x:c r="B1703" t="str">
        <x:v>pẽpí</x:v>
      </x:c>
      <x:c r="C1703" t="str">
        <x:v>p</x:v>
      </x:c>
      <x:c r="D1703" t="str">
        <x:v>g68335619-4de5-4290-8e60-895913cbac3f</x:v>
      </x:c>
      <x:c r="E1703" t="str">
        <x:v>g28c76c74-3276-4099-ba38-f5be8cfbe272</x:v>
      </x:c>
      <x:c r="F1703" t="str">
        <x:v>https://www.webonary.org/marubo/g28c76c74-3276-4099-ba38-f5be8cfbe272/</x:v>
      </x:c>
      <x:c r="G1703" s="20" t="n">
        <x:v>46003.93493979167</x:v>
      </x:c>
    </x:row>
    <x:row r="1704">
      <x:c r="A1704" t="str">
        <x:v>pássaro dorminhoco</x:v>
      </x:c>
      <x:c r="B1704" t="str">
        <x:v>1</x:v>
      </x:c>
      <x:c r="C1704" t="str">
        <x:v>p</x:v>
      </x:c>
      <x:c r="D1704" t="str">
        <x:v>g68335619-4de5-4290-8e60-895913cbac3f</x:v>
      </x:c>
      <x:c r="E1704" t="str">
        <x:v>g28c76c74-3276-4099-ba38-f5be8cfbe272</x:v>
      </x:c>
      <x:c r="F1704" t="str">
        <x:v>https://www.webonary.org/marubo/g28c76c74-3276-4099-ba38-f5be8cfbe272/</x:v>
      </x:c>
      <x:c r="G1704" s="20" t="n">
        <x:v>46003.93493979167</x:v>
      </x:c>
    </x:row>
    <x:row r="1705">
      <x:c r="A1705" t="str">
        <x:v>pássaro maracanã</x:v>
      </x:c>
      <x:c r="B1705" t="str">
        <x:v>txere</x:v>
      </x:c>
      <x:c r="C1705" t="str">
        <x:v>p</x:v>
      </x:c>
      <x:c r="D1705" t="str">
        <x:v>g8195f96c-887a-47c4-af6c-96a363b379b3</x:v>
      </x:c>
      <x:c r="E1705" t="str">
        <x:v>g21c8d3df-a739-4c02-a430-24c55be13ebc</x:v>
      </x:c>
      <x:c r="F1705" t="str">
        <x:v>https://www.webonary.org/marubo/g21c8d3df-a739-4c02-a430-24c55be13ebc/</x:v>
      </x:c>
      <x:c r="G1705" s="20" t="n">
        <x:v>46003.93493979167</x:v>
      </x:c>
    </x:row>
    <x:row r="1706">
      <x:c r="A1706" t="str">
        <x:v>passaro pica pau pequeno</x:v>
      </x:c>
      <x:c r="B1706" t="str">
        <x:v>txiika</x:v>
      </x:c>
      <x:c r="C1706" t="str">
        <x:v>p</x:v>
      </x:c>
      <x:c r="D1706" t="str">
        <x:v>g0888ab03-b1dc-4cc3-98e1-e4921da38194</x:v>
      </x:c>
      <x:c r="E1706" t="str">
        <x:v>g50f63f79-e6b8-46ed-b956-02f72261529e</x:v>
      </x:c>
      <x:c r="F1706" t="str">
        <x:v>https://www.webonary.org/marubo/g50f63f79-e6b8-46ed-b956-02f72261529e/</x:v>
      </x:c>
      <x:c r="G1706" s="20" t="n">
        <x:v>46003.93493979167</x:v>
      </x:c>
    </x:row>
    <x:row r="1707">
      <x:c r="A1707" t="str">
        <x:v>pássaro que come pessoas mortas</x:v>
      </x:c>
      <x:c r="B1707" t="str">
        <x:v>yameshe</x:v>
      </x:c>
      <x:c r="C1707" t="str">
        <x:v>p</x:v>
      </x:c>
      <x:c r="D1707" t="str">
        <x:v>g01e76f86-4136-4090-ace5-472a630fed00</x:v>
      </x:c>
      <x:c r="E1707" t="str">
        <x:v>gac739e4d-5e78-45aa-b4b1-2dfcc7f579b1</x:v>
      </x:c>
      <x:c r="F1707" t="str">
        <x:v>https://www.webonary.org/marubo/gac739e4d-5e78-45aa-b4b1-2dfcc7f579b1/</x:v>
      </x:c>
      <x:c r="G1707" s="20" t="n">
        <x:v>46003.93493979167</x:v>
      </x:c>
    </x:row>
    <x:row r="1708">
      <x:c r="A1708" t="str">
        <x:v>passo em fazer rede</x:v>
      </x:c>
      <x:c r="B1708" t="str">
        <x:v>kakea</x:v>
      </x:c>
      <x:c r="C1708" t="str">
        <x:v>p</x:v>
      </x:c>
      <x:c r="D1708" t="str">
        <x:v>g1b1a5cad-a30c-48ad-ae37-342b580628f6</x:v>
      </x:c>
      <x:c r="E1708" t="str">
        <x:v>g5a19cdd5-823a-4fc5-bf4d-22524dac9202</x:v>
      </x:c>
      <x:c r="F1708" t="str">
        <x:v>https://www.webonary.org/marubo/g5a19cdd5-823a-4fc5-bf4d-22524dac9202/</x:v>
      </x:c>
      <x:c r="G1708" s="20" t="n">
        <x:v>46003.93493979167</x:v>
      </x:c>
    </x:row>
    <x:row r="1709">
      <x:c r="A1709" t="str">
        <x:v>pasta de dente</x:v>
      </x:c>
      <x:c r="B1709" t="str">
        <x:v>pashta</x:v>
      </x:c>
      <x:c r="C1709" t="str">
        <x:v>p</x:v>
      </x:c>
      <x:c r="D1709" t="str">
        <x:v>ga4f515b6-e8ec-46b0-bd43-0c2c14a1dee4</x:v>
      </x:c>
      <x:c r="E1709" t="str">
        <x:v>gfeb9f3eb-fc1a-4702-b5b0-69cf86816d2c</x:v>
      </x:c>
      <x:c r="F1709" t="str">
        <x:v>https://www.webonary.org/marubo/gfeb9f3eb-fc1a-4702-b5b0-69cf86816d2c/</x:v>
      </x:c>
      <x:c r="G1709" s="20" t="n">
        <x:v>46003.93493979167</x:v>
      </x:c>
    </x:row>
    <x:row r="1710">
      <x:c r="A1710" t="str">
        <x:v>patauá</x:v>
      </x:c>
      <x:c r="B1710" t="str">
        <x:v>isã</x:v>
      </x:c>
      <x:c r="C1710" t="str">
        <x:v>p</x:v>
      </x:c>
      <x:c r="D1710" t="str">
        <x:v>g8f1b1ebd-587f-4037-a7b8-dfdaaf51a035</x:v>
      </x:c>
      <x:c r="E1710" t="str">
        <x:v>g27c25f2a-49fe-47ce-85b1-0f7edd49e0b5</x:v>
      </x:c>
      <x:c r="F1710" t="str">
        <x:v>https://www.webonary.org/marubo/g27c25f2a-49fe-47ce-85b1-0f7edd49e0b5/</x:v>
      </x:c>
      <x:c r="G1710" s="20" t="n">
        <x:v>46003.93493979167</x:v>
      </x:c>
    </x:row>
    <x:row r="1711">
      <x:c r="A1711" t="str">
        <x:v>patela</x:v>
      </x:c>
      <x:c r="B1711" t="str">
        <x:v>rome vetashti</x:v>
      </x:c>
      <x:c r="C1711" t="str">
        <x:v>p</x:v>
      </x:c>
      <x:c r="D1711" t="str">
        <x:v>g0f7a3bc4-35e8-4798-8849-642a497976d6</x:v>
      </x:c>
      <x:c r="E1711" t="str">
        <x:v>gfef479ce-5f38-428c-96d4-90715f5c3d2c</x:v>
      </x:c>
      <x:c r="F1711" t="str">
        <x:v>https://www.webonary.org/marubo/gfef479ce-5f38-428c-96d4-90715f5c3d2c/</x:v>
      </x:c>
      <x:c r="G1711" s="20" t="n">
        <x:v>46003.93493979167</x:v>
      </x:c>
    </x:row>
    <x:row r="1712">
      <x:c r="A1712" t="str">
        <x:v>patilhas</x:v>
      </x:c>
      <x:c r="B1712" t="str">
        <x:v>vechpi rani</x:v>
      </x:c>
      <x:c r="C1712" t="str">
        <x:v>p</x:v>
      </x:c>
      <x:c r="D1712" t="str">
        <x:v>g166edc97-e96f-4931-8388-635347a08212</x:v>
      </x:c>
      <x:c r="E1712" t="str">
        <x:v>gd7ad6676-973d-43cf-8b26-a4a19fb0133a</x:v>
      </x:c>
      <x:c r="F1712" t="str">
        <x:v>https://www.webonary.org/marubo/gd7ad6676-973d-43cf-8b26-a4a19fb0133a/</x:v>
      </x:c>
      <x:c r="G1712" s="20" t="n">
        <x:v>46003.93493979167</x:v>
      </x:c>
    </x:row>
    <x:row r="1713">
      <x:c r="A1713" t="str">
        <x:v>pátio central da maloca</x:v>
      </x:c>
      <x:c r="B1713" t="str">
        <x:v>kaya</x:v>
      </x:c>
      <x:c r="C1713" t="str">
        <x:v>p</x:v>
      </x:c>
      <x:c r="D1713" t="str">
        <x:v>ga033a910-f17d-4822-bae5-0e1c7e190345</x:v>
      </x:c>
      <x:c r="E1713" t="str">
        <x:v>ga27346be-b8b3-46e0-87e1-d17aae4c88b3</x:v>
      </x:c>
      <x:c r="F1713" t="str">
        <x:v>https://www.webonary.org/marubo/ga27346be-b8b3-46e0-87e1-d17aae4c88b3/</x:v>
      </x:c>
      <x:c r="G1713" s="20" t="n">
        <x:v>46003.93493979167</x:v>
      </x:c>
    </x:row>
    <x:row r="1714">
      <x:c r="A1714" t="str">
        <x:v>patrão</x:v>
      </x:c>
      <x:c r="B1714" t="str">
        <x:v>kakáya</x:v>
      </x:c>
      <x:c r="C1714" t="str">
        <x:v>p</x:v>
      </x:c>
      <x:c r="D1714" t="str">
        <x:v>g026ad981-c4a1-4406-8001-e50bed65a4c8</x:v>
      </x:c>
      <x:c r="E1714" t="str">
        <x:v>g6d224a23-a109-465d-aa7e-4a85b88b0d81</x:v>
      </x:c>
      <x:c r="F1714" t="str">
        <x:v>https://www.webonary.org/marubo/g6d224a23-a109-465d-aa7e-4a85b88b0d81/</x:v>
      </x:c>
      <x:c r="G1714" s="20" t="n">
        <x:v>46003.93493979167</x:v>
      </x:c>
    </x:row>
    <x:row r="1715">
      <x:c r="A1715" t="str">
        <x:v>paturrilha</x:v>
      </x:c>
      <x:c r="B1715" t="str">
        <x:v>itáshe posto</x:v>
      </x:c>
      <x:c r="C1715" t="str">
        <x:v>p</x:v>
      </x:c>
      <x:c r="D1715" t="str">
        <x:v>gca6f8897-0ec8-49e2-9e60-249ff89b4846</x:v>
      </x:c>
      <x:c r="E1715" t="str">
        <x:v>ge5454f93-ff86-4f33-a9bb-81c734893e88</x:v>
      </x:c>
      <x:c r="F1715" t="str">
        <x:v>https://www.webonary.org/marubo/ge5454f93-ff86-4f33-a9bb-81c734893e88/</x:v>
      </x:c>
      <x:c r="G1715" s="20" t="n">
        <x:v>46003.93493979167</x:v>
      </x:c>
    </x:row>
    <x:row r="1716">
      <x:c r="A1716" t="str">
        <x:v>pau</x:v>
      </x:c>
      <x:c r="B1716" t="str">
        <x:v>voo aká</x:v>
      </x:c>
      <x:c r="C1716" t="str">
        <x:v>p</x:v>
      </x:c>
      <x:c r="D1716" t="str">
        <x:v>g3c2e5487-bcdc-4b44-9719-73954f85200c</x:v>
      </x:c>
      <x:c r="E1716" t="str">
        <x:v>g88bbacc3-791c-497b-8434-e336fb260786</x:v>
      </x:c>
      <x:c r="F1716" t="str">
        <x:v>https://www.webonary.org/marubo/g88bbacc3-791c-497b-8434-e336fb260786/</x:v>
      </x:c>
      <x:c r="G1716" s="20" t="n">
        <x:v>46003.93493979167</x:v>
      </x:c>
    </x:row>
    <x:row r="1717">
      <x:c r="A1717" t="str">
        <x:v>pau brasil</x:v>
      </x:c>
      <x:c r="B1717" t="str">
        <x:v>vekó</x:v>
      </x:c>
      <x:c r="C1717" t="str">
        <x:v>p</x:v>
      </x:c>
      <x:c r="D1717" t="str">
        <x:v>gf6e4ad8b-b5e2-427b-9b7c-08fe3366cfb2</x:v>
      </x:c>
      <x:c r="E1717" t="str">
        <x:v>g19d01a73-428d-4124-b50a-187364f2ac87</x:v>
      </x:c>
      <x:c r="F1717" t="str">
        <x:v>https://www.webonary.org/marubo/g19d01a73-428d-4124-b50a-187364f2ac87/</x:v>
      </x:c>
      <x:c r="G1717" s="20" t="n">
        <x:v>46003.93493979167</x:v>
      </x:c>
    </x:row>
    <x:row r="1718">
      <x:c r="A1718" t="str">
        <x:v>pau de âmago</x:v>
      </x:c>
      <x:c r="B1718" t="str">
        <x:v>voĩti</x:v>
      </x:c>
      <x:c r="C1718" t="str">
        <x:v>p</x:v>
      </x:c>
      <x:c r="D1718" t="str">
        <x:v>g59c2a8b3-1d57-4e35-9029-d9f446576c9b</x:v>
      </x:c>
      <x:c r="E1718" t="str">
        <x:v>ga6f33bc8-087e-427b-8b81-ab32f2469fe8</x:v>
      </x:c>
      <x:c r="F1718" t="str">
        <x:v>https://www.webonary.org/marubo/ga6f33bc8-087e-427b-8b81-ab32f2469fe8/</x:v>
      </x:c>
      <x:c r="G1718" s="20" t="n">
        <x:v>46003.93493979167</x:v>
      </x:c>
    </x:row>
    <x:row r="1719">
      <x:c r="A1719" t="str">
        <x:v>pau de âmago</x:v>
      </x:c>
      <x:c r="B1719" t="str">
        <x:v>keovi</x:v>
      </x:c>
      <x:c r="C1719" t="str">
        <x:v>p</x:v>
      </x:c>
      <x:c r="D1719" t="str">
        <x:v>g59c2a8b3-1d57-4e35-9029-d9f446576c9b</x:v>
      </x:c>
      <x:c r="E1719" t="str">
        <x:v>g49dd7561-5d90-44e1-82aa-99dca67ec3c3</x:v>
      </x:c>
      <x:c r="F1719" t="str">
        <x:v>https://www.webonary.org/marubo/g49dd7561-5d90-44e1-82aa-99dca67ec3c3/</x:v>
      </x:c>
      <x:c r="G1719" s="20" t="n">
        <x:v>46003.93493979167</x:v>
      </x:c>
    </x:row>
    <x:row r="1720">
      <x:c r="A1720" t="str">
        <x:v>pau para mexer</x:v>
      </x:c>
      <x:c r="B1720" t="str">
        <x:v>wĩti</x:v>
      </x:c>
      <x:c r="C1720" t="str">
        <x:v>p</x:v>
      </x:c>
      <x:c r="D1720" t="str">
        <x:v>g4ba71210-172e-4423-926a-802f61ea3a95</x:v>
      </x:c>
      <x:c r="E1720" t="str">
        <x:v>g66cfeb5b-f665-4605-a869-aae7c03c7536</x:v>
      </x:c>
      <x:c r="F1720" t="str">
        <x:v>https://www.webonary.org/marubo/g66cfeb5b-f665-4605-a869-aae7c03c7536/</x:v>
      </x:c>
      <x:c r="G1720" s="20" t="n">
        <x:v>46003.93493979167</x:v>
      </x:c>
    </x:row>
    <x:row r="1721">
      <x:c r="A1721" t="str">
        <x:v>pausa</x:v>
      </x:c>
      <x:c r="B1721" t="str">
        <x:v>wa</x:v>
      </x:c>
      <x:c r="C1721" t="str">
        <x:v>p</x:v>
      </x:c>
      <x:c r="D1721" t="str">
        <x:v>g463921c0-05c0-431c-8831-04bfd5ab28ca</x:v>
      </x:c>
      <x:c r="E1721" t="str">
        <x:v>g601be0bb-ebef-4608-9401-c7de5caf1056</x:v>
      </x:c>
      <x:c r="F1721" t="str">
        <x:v>https://www.webonary.org/marubo/g601be0bb-ebef-4608-9401-c7de5caf1056/</x:v>
      </x:c>
      <x:c r="G1721" s="20" t="n">
        <x:v>46003.93493979167</x:v>
      </x:c>
    </x:row>
    <x:row r="1722">
      <x:c r="A1722" t="str">
        <x:v>pé</x:v>
      </x:c>
      <x:c r="B1722" t="str">
        <x:v>tae</x:v>
      </x:c>
      <x:c r="C1722" t="str">
        <x:v>p</x:v>
      </x:c>
      <x:c r="D1722" t="str">
        <x:v>g008a403a-2099-47d5-9d3c-4ca305d569f8</x:v>
      </x:c>
      <x:c r="E1722" t="str">
        <x:v>g9d9b66a2-9417-4636-b347-c7122ac6ea13</x:v>
      </x:c>
      <x:c r="F1722" t="str">
        <x:v>https://www.webonary.org/marubo/g9d9b66a2-9417-4636-b347-c7122ac6ea13/</x:v>
      </x:c>
      <x:c r="G1722" s="20" t="n">
        <x:v>46003.93493979167</x:v>
      </x:c>
    </x:row>
    <x:row r="1723">
      <x:c r="A1723" t="str">
        <x:v>pé da orelha</x:v>
      </x:c>
      <x:c r="B1723" t="str">
        <x:v>pãtxo tae</x:v>
      </x:c>
      <x:c r="C1723" t="str">
        <x:v>p</x:v>
      </x:c>
      <x:c r="D1723" t="str">
        <x:v>gbe8924fd-4889-433f-bc68-6c46a596d9da</x:v>
      </x:c>
      <x:c r="E1723" t="str">
        <x:v>g8ba73332-171a-4765-ac78-5be6eae5bb65</x:v>
      </x:c>
      <x:c r="F1723" t="str">
        <x:v>https://www.webonary.org/marubo/g8ba73332-171a-4765-ac78-5be6eae5bb65/</x:v>
      </x:c>
      <x:c r="G1723" s="20" t="n">
        <x:v>46003.93493979167</x:v>
      </x:c>
    </x:row>
    <x:row r="1724">
      <x:c r="A1724" t="str">
        <x:v>peça da carne de ave em cima do ânus</x:v>
      </x:c>
      <x:c r="B1724" t="str">
        <x:v>txikoĩ</x:v>
      </x:c>
      <x:c r="C1724" t="str">
        <x:v>p</x:v>
      </x:c>
      <x:c r="D1724" t="str">
        <x:v>gb2a96c06-87d4-4f1a-93da-7bc5c7274c77</x:v>
      </x:c>
      <x:c r="E1724" t="str">
        <x:v>ge2912e2b-53cf-43ed-91c7-17a5a658eca8</x:v>
      </x:c>
      <x:c r="F1724" t="str">
        <x:v>https://www.webonary.org/marubo/ge2912e2b-53cf-43ed-91c7-17a5a658eca8/</x:v>
      </x:c>
      <x:c r="G1724" s="20" t="n">
        <x:v>46003.93493979167</x:v>
      </x:c>
    </x:row>
    <x:row r="1725">
      <x:c r="A1725" t="str">
        <x:v>pecar</x:v>
      </x:c>
      <x:c r="B1725" t="str">
        <x:v>kanéa</x:v>
      </x:c>
      <x:c r="C1725" t="str">
        <x:v>p</x:v>
      </x:c>
      <x:c r="D1725" t="str">
        <x:v>ge005b470-8be1-4992-9b14-090e467709d4</x:v>
      </x:c>
      <x:c r="E1725" t="str">
        <x:v>ga5ad1ca1-308b-4635-9db3-d19f83c57761</x:v>
      </x:c>
      <x:c r="F1725" t="str">
        <x:v>https://www.webonary.org/marubo/ga5ad1ca1-308b-4635-9db3-d19f83c57761/</x:v>
      </x:c>
      <x:c r="G1725" s="20" t="n">
        <x:v>46003.93493979167</x:v>
      </x:c>
    </x:row>
    <x:row r="1726">
      <x:c r="A1726" t="str">
        <x:v>peconha</x:v>
      </x:c>
      <x:c r="B1726" t="str">
        <x:v>neshti</x:v>
      </x:c>
      <x:c r="C1726" t="str">
        <x:v>p</x:v>
      </x:c>
      <x:c r="D1726" t="str">
        <x:v>gd0a2e3fd-9cbc-4339-acb1-c1daeff4ec80</x:v>
      </x:c>
      <x:c r="E1726" t="str">
        <x:v>gd95c4aea-ba97-47e5-847c-73d34e449abd</x:v>
      </x:c>
      <x:c r="F1726" t="str">
        <x:v>https://www.webonary.org/marubo/gd95c4aea-ba97-47e5-847c-73d34e449abd/</x:v>
      </x:c>
      <x:c r="G1726" s="20" t="n">
        <x:v>46003.93493979167</x:v>
      </x:c>
    </x:row>
    <x:row r="1727">
      <x:c r="A1727" t="str">
        <x:v>pedaço de carne moqueado</x:v>
      </x:c>
      <x:c r="B1727" t="str">
        <x:v>txochi</x:v>
      </x:c>
      <x:c r="C1727" t="str">
        <x:v>p</x:v>
      </x:c>
      <x:c r="D1727" t="str">
        <x:v>g29c8c02d-e407-465e-8825-6fd0eb63189b</x:v>
      </x:c>
      <x:c r="E1727" t="str">
        <x:v>gace8980b-383e-47c8-bc0f-db155affb01a</x:v>
      </x:c>
      <x:c r="F1727" t="str">
        <x:v>https://www.webonary.org/marubo/gace8980b-383e-47c8-bc0f-db155affb01a/</x:v>
      </x:c>
      <x:c r="G1727" s="20" t="n">
        <x:v>46003.93493979167</x:v>
      </x:c>
    </x:row>
    <x:row r="1728">
      <x:c r="A1728" t="str">
        <x:v>pedir</x:v>
      </x:c>
      <x:c r="B1728" t="str">
        <x:v>yoká</x:v>
      </x:c>
      <x:c r="C1728" t="str">
        <x:v>p</x:v>
      </x:c>
      <x:c r="D1728" t="str">
        <x:v>g7b8156a3-096d-453e-b411-fed49a2149e4</x:v>
      </x:c>
      <x:c r="E1728" t="str">
        <x:v>gc7d347f9-a2f8-42da-aaef-f934e7d55451</x:v>
      </x:c>
      <x:c r="F1728" t="str">
        <x:v>https://www.webonary.org/marubo/gc7d347f9-a2f8-42da-aaef-f934e7d55451/</x:v>
      </x:c>
      <x:c r="G1728" s="20" t="n">
        <x:v>46003.93494626157</x:v>
      </x:c>
    </x:row>
    <x:row r="1729">
      <x:c r="A1729" t="str">
        <x:v>pedra afiadora</x:v>
      </x:c>
      <x:c r="B1729" t="str">
        <x:v>michkí</x:v>
      </x:c>
      <x:c r="C1729" t="str">
        <x:v>p</x:v>
      </x:c>
      <x:c r="D1729" t="str">
        <x:v>g68eb4c0c-1002-4b1b-94ca-934b7804405c</x:v>
      </x:c>
      <x:c r="E1729" t="str">
        <x:v>gb1f47c1e-2f19-4026-b68b-86f61a05bf09</x:v>
      </x:c>
      <x:c r="F1729" t="str">
        <x:v>https://www.webonary.org/marubo/gb1f47c1e-2f19-4026-b68b-86f61a05bf09/</x:v>
      </x:c>
      <x:c r="G1729" s="20" t="n">
        <x:v>46003.93494626157</x:v>
      </x:c>
    </x:row>
    <x:row r="1730">
      <x:c r="A1730" t="str">
        <x:v>pedras da praia</x:v>
      </x:c>
      <x:c r="B1730" t="str">
        <x:v>machi siro</x:v>
      </x:c>
      <x:c r="C1730" t="str">
        <x:v>p</x:v>
      </x:c>
      <x:c r="D1730" t="str">
        <x:v>g790c5bcf-ea06-442a-a27f-44579a00c6ea</x:v>
      </x:c>
      <x:c r="E1730" t="str">
        <x:v>gaf219bce-574a-43cb-a00f-1cab327121dc</x:v>
      </x:c>
      <x:c r="F1730" t="str">
        <x:v>https://www.webonary.org/marubo/gaf219bce-574a-43cb-a00f-1cab327121dc/</x:v>
      </x:c>
      <x:c r="G1730" s="20" t="n">
        <x:v>46003.93494626157</x:v>
      </x:c>
    </x:row>
    <x:row r="1731">
      <x:c r="A1731" t="str">
        <x:v>pedrinhas</x:v>
      </x:c>
      <x:c r="B1731" t="str">
        <x:v>shasho misko</x:v>
      </x:c>
      <x:c r="C1731" t="str">
        <x:v>p</x:v>
      </x:c>
      <x:c r="D1731" t="str">
        <x:v>gb791f1fa-e544-47d0-9193-5b1e8f3da107</x:v>
      </x:c>
      <x:c r="E1731" t="str">
        <x:v>gdf0c0abc-4a5d-48fd-8d5b-5985ad8f3d62</x:v>
      </x:c>
      <x:c r="F1731" t="str">
        <x:v>https://www.webonary.org/marubo/gdf0c0abc-4a5d-48fd-8d5b-5985ad8f3d62/</x:v>
      </x:c>
      <x:c r="G1731" s="20" t="n">
        <x:v>46003.93494626157</x:v>
      </x:c>
    </x:row>
    <x:row r="1732">
      <x:c r="A1732" t="str">
        <x:v>pegar</x:v>
      </x:c>
      <x:c r="B1732" t="str">
        <x:v>viá</x:v>
      </x:c>
      <x:c r="C1732" t="str">
        <x:v>p</x:v>
      </x:c>
      <x:c r="D1732" t="str">
        <x:v>g8afe64a6-5d79-42ea-9515-bb4e744b4f04</x:v>
      </x:c>
      <x:c r="E1732" t="str">
        <x:v>g3d62834b-f4dc-4192-982b-a5b93437d5dd</x:v>
      </x:c>
      <x:c r="F1732" t="str">
        <x:v>https://www.webonary.org/marubo/g3d62834b-f4dc-4192-982b-a5b93437d5dd/</x:v>
      </x:c>
      <x:c r="G1732" s="20" t="n">
        <x:v>46003.93494626157</x:v>
      </x:c>
    </x:row>
    <x:row r="1733">
      <x:c r="A1733" t="str">
        <x:v>pegar</x:v>
      </x:c>
      <x:c r="B1733" t="str">
        <x:v>atxia</x:v>
      </x:c>
      <x:c r="C1733" t="str">
        <x:v>p</x:v>
      </x:c>
      <x:c r="D1733" t="str">
        <x:v>g8afe64a6-5d79-42ea-9515-bb4e744b4f04</x:v>
      </x:c>
      <x:c r="E1733" t="str">
        <x:v>g682e9319-386b-471f-bf50-d94d262da39a</x:v>
      </x:c>
      <x:c r="F1733" t="str">
        <x:v>https://www.webonary.org/marubo/g682e9319-386b-471f-bf50-d94d262da39a/</x:v>
      </x:c>
      <x:c r="G1733" s="20" t="n">
        <x:v>46003.93494626157</x:v>
      </x:c>
    </x:row>
    <x:row r="1734">
      <x:c r="A1734" t="str">
        <x:v>pegar com malhadeira</x:v>
      </x:c>
      <x:c r="B1734" t="str">
        <x:v>pamea</x:v>
      </x:c>
      <x:c r="C1734" t="str">
        <x:v>p</x:v>
      </x:c>
      <x:c r="D1734" t="str">
        <x:v>g652ed826-42ac-48f2-b0fa-a905aa554dff</x:v>
      </x:c>
      <x:c r="E1734" t="str">
        <x:v>gfbab4519-f2c6-44e0-aede-0e95b82faf68</x:v>
      </x:c>
      <x:c r="F1734" t="str">
        <x:v>https://www.webonary.org/marubo/gfbab4519-f2c6-44e0-aede-0e95b82faf68/</x:v>
      </x:c>
      <x:c r="G1734" s="20" t="n">
        <x:v>46003.93494626157</x:v>
      </x:c>
    </x:row>
    <x:row r="1735">
      <x:c r="A1735" t="str">
        <x:v>pegar debaixo dos sobacos</x:v>
      </x:c>
      <x:c r="B1735" t="str">
        <x:v>pitsõvakĩ</x:v>
      </x:c>
      <x:c r="C1735" t="str">
        <x:v>p</x:v>
      </x:c>
      <x:c r="D1735" t="str">
        <x:v>g6b084ace-bc66-49f3-8be9-b38e58184dc2</x:v>
      </x:c>
      <x:c r="E1735" t="str">
        <x:v>g2a911465-2e52-4250-8571-cc50e5e819af</x:v>
      </x:c>
      <x:c r="F1735" t="str">
        <x:v>https://www.webonary.org/marubo/g2a911465-2e52-4250-8571-cc50e5e819af/</x:v>
      </x:c>
      <x:c r="G1735" s="20" t="n">
        <x:v>46003.93494626157</x:v>
      </x:c>
    </x:row>
    <x:row r="1736">
      <x:c r="A1736" t="str">
        <x:v>pegar emprestado</x:v>
      </x:c>
      <x:c r="B1736" t="str">
        <x:v>kãwãa</x:v>
      </x:c>
      <x:c r="C1736" t="str">
        <x:v>p</x:v>
      </x:c>
      <x:c r="D1736" t="str">
        <x:v>g8985ce42-8aa0-4357-9c41-c614aba07d9c</x:v>
      </x:c>
      <x:c r="E1736" t="str">
        <x:v>g6b0dbba5-762f-4ee9-b094-1c1572ad87f2</x:v>
      </x:c>
      <x:c r="F1736" t="str">
        <x:v>https://www.webonary.org/marubo/g6b0dbba5-762f-4ee9-b094-1c1572ad87f2/</x:v>
      </x:c>
      <x:c r="G1736" s="20" t="n">
        <x:v>46003.93494626157</x:v>
      </x:c>
    </x:row>
    <x:row r="1737">
      <x:c r="A1737" t="str">
        <x:v>pegar mão</x:v>
      </x:c>
      <x:c r="B1737" t="str">
        <x:v>meté ikí</x:v>
      </x:c>
      <x:c r="C1737" t="str">
        <x:v>p</x:v>
      </x:c>
      <x:c r="D1737" t="str">
        <x:v>g8d5462bf-5112-430e-8c55-296e089b8205</x:v>
      </x:c>
      <x:c r="E1737" t="str">
        <x:v>gb1ce0ccb-dc57-41b0-9535-eadccdc168bb</x:v>
      </x:c>
      <x:c r="F1737" t="str">
        <x:v>https://www.webonary.org/marubo/gb1ce0ccb-dc57-41b0-9535-eadccdc168bb/</x:v>
      </x:c>
      <x:c r="G1737" s="20" t="n">
        <x:v>46003.93494626157</x:v>
      </x:c>
    </x:row>
    <x:row r="1738">
      <x:c r="A1738" t="str">
        <x:v>peido</x:v>
      </x:c>
      <x:c r="B1738" t="str">
        <x:v>tsipísi</x:v>
      </x:c>
      <x:c r="C1738" t="str">
        <x:v>p</x:v>
      </x:c>
      <x:c r="D1738" t="str">
        <x:v>g57397157-bf8a-41bb-b585-1ea8f3d33b5f</x:v>
      </x:c>
      <x:c r="E1738" t="str">
        <x:v>g19b27565-20b9-4c99-be87-9a552f049f50</x:v>
      </x:c>
      <x:c r="F1738" t="str">
        <x:v>https://www.webonary.org/marubo/g19b27565-20b9-4c99-be87-9a552f049f50/</x:v>
      </x:c>
      <x:c r="G1738" s="20" t="n">
        <x:v>46003.93494626157</x:v>
      </x:c>
    </x:row>
    <x:row r="1739">
      <x:c r="A1739" t="str">
        <x:v>peito</x:v>
      </x:c>
      <x:c r="B1739" t="str">
        <x:v>shoma</x:v>
      </x:c>
      <x:c r="C1739" t="str">
        <x:v>p</x:v>
      </x:c>
      <x:c r="D1739" t="str">
        <x:v>g40547d10-baf4-4db9-9f4a-66332decc12a</x:v>
      </x:c>
      <x:c r="E1739" t="str">
        <x:v>g0ae79333-f4a7-4918-b055-a9a337d5c7b7</x:v>
      </x:c>
      <x:c r="F1739" t="str">
        <x:v>https://www.webonary.org/marubo/g0ae79333-f4a7-4918-b055-a9a337d5c7b7/</x:v>
      </x:c>
      <x:c r="G1739" s="20" t="n">
        <x:v>46003.93494626157</x:v>
      </x:c>
    </x:row>
    <x:row r="1740">
      <x:c r="A1740" t="str">
        <x:v>peito superior</x:v>
      </x:c>
      <x:c r="B1740" t="str">
        <x:v>shotxi</x:v>
      </x:c>
      <x:c r="C1740" t="str">
        <x:v>p</x:v>
      </x:c>
      <x:c r="D1740" t="str">
        <x:v>g444e8ae3-a6ba-44b3-8ef2-fb3762ff9647</x:v>
      </x:c>
      <x:c r="E1740" t="str">
        <x:v>g1b3658cc-7b97-4e96-880c-27edcf54a812</x:v>
      </x:c>
      <x:c r="F1740" t="str">
        <x:v>https://www.webonary.org/marubo/g1b3658cc-7b97-4e96-880c-27edcf54a812/</x:v>
      </x:c>
      <x:c r="G1740" s="20" t="n">
        <x:v>46003.93494626157</x:v>
      </x:c>
    </x:row>
    <x:row r="1741">
      <x:c r="A1741" t="str">
        <x:v>peixe</x:v>
      </x:c>
      <x:c r="B1741" t="str">
        <x:v>sipa</x:v>
      </x:c>
      <x:c r="C1741" t="str">
        <x:v>p</x:v>
      </x:c>
      <x:c r="D1741" t="str">
        <x:v>g143980a2-3683-4f93-b23e-a4c5b34657ed</x:v>
      </x:c>
      <x:c r="E1741" t="str">
        <x:v>ge9a9e8cb-47a2-453c-8f6e-f00302aebf17</x:v>
      </x:c>
      <x:c r="F1741" t="str">
        <x:v>https://www.webonary.org/marubo/ge9a9e8cb-47a2-453c-8f6e-f00302aebf17/</x:v>
      </x:c>
      <x:c r="G1741" s="20" t="n">
        <x:v>46003.93494626157</x:v>
      </x:c>
    </x:row>
    <x:row r="1742">
      <x:c r="A1742" t="str">
        <x:v>peixe</x:v>
      </x:c>
      <x:c r="B1742" t="str">
        <x:v>yapa</x:v>
      </x:c>
      <x:c r="C1742" t="str">
        <x:v>p</x:v>
      </x:c>
      <x:c r="D1742" t="str">
        <x:v>g143980a2-3683-4f93-b23e-a4c5b34657ed</x:v>
      </x:c>
      <x:c r="E1742" t="str">
        <x:v>g8afd0c2c-ba02-43a8-b44b-91c205da08f2</x:v>
      </x:c>
      <x:c r="F1742" t="str">
        <x:v>https://www.webonary.org/marubo/g8afd0c2c-ba02-43a8-b44b-91c205da08f2/</x:v>
      </x:c>
      <x:c r="G1742" s="20" t="n">
        <x:v>46003.93494626157</x:v>
      </x:c>
    </x:row>
    <x:row r="1743">
      <x:c r="A1743" t="str">
        <x:v>peixe bodó</x:v>
      </x:c>
      <x:c r="B1743" t="str">
        <x:v>ipo</x:v>
      </x:c>
      <x:c r="C1743" t="str">
        <x:v>p</x:v>
      </x:c>
      <x:c r="D1743" t="str">
        <x:v>ga53c70f7-f805-4a46-8301-a0a9926e1a58</x:v>
      </x:c>
      <x:c r="E1743" t="str">
        <x:v>g1d3adee3-f635-4425-bb00-23424ddfc4a9</x:v>
      </x:c>
      <x:c r="F1743" t="str">
        <x:v>https://www.webonary.org/marubo/g1d3adee3-f635-4425-bb00-23424ddfc4a9/</x:v>
      </x:c>
      <x:c r="G1743" s="20" t="n">
        <x:v>46003.93494626157</x:v>
      </x:c>
    </x:row>
    <x:row r="1744">
      <x:c r="A1744" t="str">
        <x:v>peixe cachimbo</x:v>
      </x:c>
      <x:c r="B1744" t="str">
        <x:v>txãka</x:v>
      </x:c>
      <x:c r="C1744" t="str">
        <x:v>p</x:v>
      </x:c>
      <x:c r="D1744" t="str">
        <x:v>g994a3561-d831-4d60-b6a8-a3dbde1deaff</x:v>
      </x:c>
      <x:c r="E1744" t="str">
        <x:v>g57e864c9-475a-4f18-a6e8-346fb7573835</x:v>
      </x:c>
      <x:c r="F1744" t="str">
        <x:v>https://www.webonary.org/marubo/g57e864c9-475a-4f18-a6e8-346fb7573835/</x:v>
      </x:c>
      <x:c r="G1744" s="20" t="n">
        <x:v>46003.93494626157</x:v>
      </x:c>
    </x:row>
    <x:row r="1745">
      <x:c r="A1745" t="str">
        <x:v>peixe cará</x:v>
      </x:c>
      <x:c r="B1745" t="str">
        <x:v>maĩ</x:v>
      </x:c>
      <x:c r="C1745" t="str">
        <x:v>p</x:v>
      </x:c>
      <x:c r="D1745" t="str">
        <x:v>g0e8133aa-5d18-4ccf-b7f7-2244075950c7</x:v>
      </x:c>
      <x:c r="E1745" t="str">
        <x:v>g87def285-0fae-41ad-a31b-f04de0fabe02</x:v>
      </x:c>
      <x:c r="F1745" t="str">
        <x:v>https://www.webonary.org/marubo/g87def285-0fae-41ad-a31b-f04de0fabe02/</x:v>
      </x:c>
      <x:c r="G1745" s="20" t="n">
        <x:v>46003.93494626157</x:v>
      </x:c>
    </x:row>
    <x:row r="1746">
      <x:c r="A1746" t="str">
        <x:v>peixe eletrico</x:v>
      </x:c>
      <x:c r="B1746" t="str">
        <x:v>koni</x:v>
      </x:c>
      <x:c r="C1746" t="str">
        <x:v>p</x:v>
      </x:c>
      <x:c r="D1746" t="str">
        <x:v>gee2c0af4-a8fa-4da4-831a-d6a3d09aa3f5</x:v>
      </x:c>
      <x:c r="E1746" t="str">
        <x:v>g1b3d322f-ca38-46a3-8b27-4462794abf8a</x:v>
      </x:c>
      <x:c r="F1746" t="str">
        <x:v>https://www.webonary.org/marubo/g1b3d322f-ca38-46a3-8b27-4462794abf8a/</x:v>
      </x:c>
      <x:c r="G1746" s="20" t="n">
        <x:v>46003.93494626157</x:v>
      </x:c>
    </x:row>
    <x:row r="1747">
      <x:c r="A1747" t="str">
        <x:v>peixe liso</x:v>
      </x:c>
      <x:c r="B1747" t="str">
        <x:v>vaĩ</x:v>
      </x:c>
      <x:c r="C1747" t="str">
        <x:v>p</x:v>
      </x:c>
      <x:c r="D1747" t="str">
        <x:v>g09e54fbc-2464-40b3-9ef7-84037766b5cc</x:v>
      </x:c>
      <x:c r="E1747" t="str">
        <x:v>g8e9d3076-787d-489b-83dd-80f683523f1a</x:v>
      </x:c>
      <x:c r="F1747" t="str">
        <x:v>https://www.webonary.org/marubo/g8e9d3076-787d-489b-83dd-80f683523f1a/</x:v>
      </x:c>
      <x:c r="G1747" s="20" t="n">
        <x:v>46003.93494626157</x:v>
      </x:c>
    </x:row>
    <x:row r="1748">
      <x:c r="A1748" t="str">
        <x:v>pelado</x:v>
      </x:c>
      <x:c r="B1748" t="str">
        <x:v>txĩto</x:v>
      </x:c>
      <x:c r="C1748" t="str">
        <x:v>p</x:v>
      </x:c>
      <x:c r="D1748" t="str">
        <x:v>g31952780-9cbc-4efc-bc0e-a5bc6d9292c5</x:v>
      </x:c>
      <x:c r="E1748" t="str">
        <x:v>g77498844-e26b-434b-9ef6-45d162447225</x:v>
      </x:c>
      <x:c r="F1748" t="str">
        <x:v>https://www.webonary.org/marubo/g77498844-e26b-434b-9ef6-45d162447225/</x:v>
      </x:c>
      <x:c r="G1748" s="20" t="n">
        <x:v>46003.93494626157</x:v>
      </x:c>
    </x:row>
    <x:row r="1749">
      <x:c r="A1749" t="str">
        <x:v>pele</x:v>
      </x:c>
      <x:c r="B1749" t="str">
        <x:v>eshpí</x:v>
      </x:c>
      <x:c r="C1749" t="str">
        <x:v>p</x:v>
      </x:c>
      <x:c r="D1749" t="str">
        <x:v>gdc4fa4ad-a761-497d-bd5a-607de9d28069</x:v>
      </x:c>
      <x:c r="E1749" t="str">
        <x:v>g4c0ce087-f982-42ed-aa02-98c8f6b05d07</x:v>
      </x:c>
      <x:c r="F1749" t="str">
        <x:v>https://www.webonary.org/marubo/g4c0ce087-f982-42ed-aa02-98c8f6b05d07/</x:v>
      </x:c>
      <x:c r="G1749" s="20" t="n">
        <x:v>46003.93494626157</x:v>
      </x:c>
    </x:row>
    <x:row r="1750">
      <x:c r="A1750" t="str">
        <x:v>pele da traseira arriada</x:v>
      </x:c>
      <x:c r="B1750" t="str">
        <x:v>txipã</x:v>
      </x:c>
      <x:c r="C1750" t="str">
        <x:v>p</x:v>
      </x:c>
      <x:c r="D1750" t="str">
        <x:v>ga7bd8b5a-735b-423e-8fd6-aeb6d89bce1e</x:v>
      </x:c>
      <x:c r="E1750" t="str">
        <x:v>g02df7063-14b8-41a3-8d4a-2b66f872e5b9</x:v>
      </x:c>
      <x:c r="F1750" t="str">
        <x:v>https://www.webonary.org/marubo/g02df7063-14b8-41a3-8d4a-2b66f872e5b9/</x:v>
      </x:c>
      <x:c r="G1750" s="20" t="n">
        <x:v>46003.93494626157</x:v>
      </x:c>
    </x:row>
    <x:row r="1751">
      <x:c r="A1751" t="str">
        <x:v>pele quente</x:v>
      </x:c>
      <x:c r="B1751" t="str">
        <x:v>txiika</x:v>
      </x:c>
      <x:c r="C1751" t="str">
        <x:v>p</x:v>
      </x:c>
      <x:c r="D1751" t="str">
        <x:v>g0c4be947-4848-4dcb-8fe2-5a3e8225656b</x:v>
      </x:c>
      <x:c r="E1751" t="str">
        <x:v>g50f63f79-e6b8-46ed-b956-02f72261529e</x:v>
      </x:c>
      <x:c r="F1751" t="str">
        <x:v>https://www.webonary.org/marubo/g50f63f79-e6b8-46ed-b956-02f72261529e/</x:v>
      </x:c>
      <x:c r="G1751" s="20" t="n">
        <x:v>46003.93494626157</x:v>
      </x:c>
    </x:row>
    <x:row r="1752">
      <x:c r="A1752" t="str">
        <x:v>pelo</x:v>
      </x:c>
      <x:c r="B1752" t="str">
        <x:v>rani</x:v>
      </x:c>
      <x:c r="C1752" t="str">
        <x:v>p</x:v>
      </x:c>
      <x:c r="D1752" t="str">
        <x:v>gb1dcde6a-c39a-4b98-8a3d-f35be7734dfd</x:v>
      </x:c>
      <x:c r="E1752" t="str">
        <x:v>gaedadfe6-da1e-44a2-b71e-ec8c7fd18588</x:v>
      </x:c>
      <x:c r="F1752" t="str">
        <x:v>https://www.webonary.org/marubo/gaedadfe6-da1e-44a2-b71e-ec8c7fd18588/</x:v>
      </x:c>
      <x:c r="G1752" s="20" t="n">
        <x:v>46003.93494626157</x:v>
      </x:c>
    </x:row>
    <x:row r="1753">
      <x:c r="A1753" t="str">
        <x:v>pelos pubianos</x:v>
      </x:c>
      <x:c r="B1753" t="str">
        <x:v>shani</x:v>
      </x:c>
      <x:c r="C1753" t="str">
        <x:v>p</x:v>
      </x:c>
      <x:c r="D1753" t="str">
        <x:v>g40634515-c14c-45e7-925c-b0dfe824c0c8</x:v>
      </x:c>
      <x:c r="E1753" t="str">
        <x:v>g4d8dc353-2efe-4165-ab22-228470a3a3c6</x:v>
      </x:c>
      <x:c r="F1753" t="str">
        <x:v>https://www.webonary.org/marubo/g4d8dc353-2efe-4165-ab22-228470a3a3c6/</x:v>
      </x:c>
      <x:c r="G1753" s="20" t="n">
        <x:v>46003.93494626157</x:v>
      </x:c>
    </x:row>
    <x:row r="1754">
      <x:c r="A1754" t="str">
        <x:v>pena</x:v>
      </x:c>
      <x:c r="B1754" t="str">
        <x:v>pei</x:v>
      </x:c>
      <x:c r="C1754" t="str">
        <x:v>p</x:v>
      </x:c>
      <x:c r="D1754" t="str">
        <x:v>g57d3478b-165f-4a1f-ac56-c0fb7de1982f</x:v>
      </x:c>
      <x:c r="E1754" t="str">
        <x:v>g6e5da3ce-519d-4bb7-998f-997ebd93a294</x:v>
      </x:c>
      <x:c r="F1754" t="str">
        <x:v>https://www.webonary.org/marubo/g6e5da3ce-519d-4bb7-998f-997ebd93a294/</x:v>
      </x:c>
      <x:c r="G1754" s="20" t="n">
        <x:v>46003.93494626157</x:v>
      </x:c>
    </x:row>
    <x:row r="1755">
      <x:c r="A1755" t="str">
        <x:v>penas da ave embaixo da traseira</x:v>
      </x:c>
      <x:c r="B1755" t="str">
        <x:v>txinã</x:v>
      </x:c>
      <x:c r="C1755" t="str">
        <x:v>p</x:v>
      </x:c>
      <x:c r="D1755" t="str">
        <x:v>gdb86e48e-66d8-4ebe-96d1-ccb712710686</x:v>
      </x:c>
      <x:c r="E1755" t="str">
        <x:v>g9fe78550-4db5-4777-a36b-725823751c73</x:v>
      </x:c>
      <x:c r="F1755" t="str">
        <x:v>https://www.webonary.org/marubo/g9fe78550-4db5-4777-a36b-725823751c73/</x:v>
      </x:c>
      <x:c r="G1755" s="20" t="n">
        <x:v>46003.93494626157</x:v>
      </x:c>
    </x:row>
    <x:row r="1756">
      <x:c r="A1756" t="str">
        <x:v>pendurado</x:v>
      </x:c>
      <x:c r="B1756" t="str">
        <x:v>ronóa</x:v>
      </x:c>
      <x:c r="C1756" t="str">
        <x:v>p</x:v>
      </x:c>
      <x:c r="D1756" t="str">
        <x:v>g2df46848-083f-4704-bfed-aeb18fa1e47f</x:v>
      </x:c>
      <x:c r="E1756" t="str">
        <x:v>g1333f128-5508-49e0-be95-d60bdd7b9790</x:v>
      </x:c>
      <x:c r="F1756" t="str">
        <x:v>https://www.webonary.org/marubo/g1333f128-5508-49e0-be95-d60bdd7b9790/</x:v>
      </x:c>
      <x:c r="G1756" s="20" t="n">
        <x:v>46003.93494626157</x:v>
      </x:c>
    </x:row>
    <x:row r="1757">
      <x:c r="A1757" t="str">
        <x:v>pendurar (rede)</x:v>
      </x:c>
      <x:c r="B1757" t="str">
        <x:v>txiwa</x:v>
      </x:c>
      <x:c r="C1757" t="str">
        <x:v>p</x:v>
      </x:c>
      <x:c r="D1757" t="str">
        <x:v>gec7850fc-2f20-4207-9d0c-4d871e57b1d9</x:v>
      </x:c>
      <x:c r="E1757" t="str">
        <x:v>ge4d2457d-cc88-42fc-8148-f5f2d8b536f7</x:v>
      </x:c>
      <x:c r="F1757" t="str">
        <x:v>https://www.webonary.org/marubo/ge4d2457d-cc88-42fc-8148-f5f2d8b536f7/</x:v>
      </x:c>
      <x:c r="G1757" s="20" t="n">
        <x:v>46003.93494626157</x:v>
      </x:c>
    </x:row>
    <x:row r="1758">
      <x:c r="A1758" t="str">
        <x:v>pendurar (rede)</x:v>
      </x:c>
      <x:c r="B1758" t="str">
        <x:v>2</x:v>
      </x:c>
      <x:c r="C1758" t="str">
        <x:v>p</x:v>
      </x:c>
      <x:c r="D1758" t="str">
        <x:v>gec7850fc-2f20-4207-9d0c-4d871e57b1d9</x:v>
      </x:c>
      <x:c r="E1758" t="str">
        <x:v>ge4d2457d-cc88-42fc-8148-f5f2d8b536f7</x:v>
      </x:c>
      <x:c r="F1758" t="str">
        <x:v>https://www.webonary.org/marubo/ge4d2457d-cc88-42fc-8148-f5f2d8b536f7/</x:v>
      </x:c>
      <x:c r="G1758" s="20" t="n">
        <x:v>46003.93494626157</x:v>
      </x:c>
    </x:row>
    <x:row r="1759">
      <x:c r="A1759" t="str">
        <x:v>peneirar</x:v>
      </x:c>
      <x:c r="B1759" t="str">
        <x:v>toa</x:v>
      </x:c>
      <x:c r="C1759" t="str">
        <x:v>p</x:v>
      </x:c>
      <x:c r="D1759" t="str">
        <x:v>gf69006a2-966c-4744-8252-343370a4a109</x:v>
      </x:c>
      <x:c r="E1759" t="str">
        <x:v>g13fb310d-1631-4318-8bb7-fc11304f46d9</x:v>
      </x:c>
      <x:c r="F1759" t="str">
        <x:v>https://www.webonary.org/marubo/g13fb310d-1631-4318-8bb7-fc11304f46d9/</x:v>
      </x:c>
      <x:c r="G1759" s="20" t="n">
        <x:v>46003.93494626157</x:v>
      </x:c>
    </x:row>
    <x:row r="1760">
      <x:c r="A1760" t="str">
        <x:v>peneirar</x:v>
      </x:c>
      <x:c r="B1760" t="str">
        <x:v>1</x:v>
      </x:c>
      <x:c r="C1760" t="str">
        <x:v>p</x:v>
      </x:c>
      <x:c r="D1760" t="str">
        <x:v>gf69006a2-966c-4744-8252-343370a4a109</x:v>
      </x:c>
      <x:c r="E1760" t="str">
        <x:v>g13fb310d-1631-4318-8bb7-fc11304f46d9</x:v>
      </x:c>
      <x:c r="F1760" t="str">
        <x:v>https://www.webonary.org/marubo/g13fb310d-1631-4318-8bb7-fc11304f46d9/</x:v>
      </x:c>
      <x:c r="G1760" s="20" t="n">
        <x:v>46003.93494626157</x:v>
      </x:c>
    </x:row>
    <x:row r="1761">
      <x:c r="A1761" t="str">
        <x:v>pênis</x:v>
      </x:c>
      <x:c r="B1761" t="str">
        <x:v>ina</x:v>
      </x:c>
      <x:c r="C1761" t="str">
        <x:v>p</x:v>
      </x:c>
      <x:c r="D1761" t="str">
        <x:v>gbb1b8240-131a-4419-9b4b-5f49fca750ef</x:v>
      </x:c>
      <x:c r="E1761" t="str">
        <x:v>g9d7e3cce-9195-4248-bb50-6f82dacae948</x:v>
      </x:c>
      <x:c r="F1761" t="str">
        <x:v>https://www.webonary.org/marubo/g9d7e3cce-9195-4248-bb50-6f82dacae948/</x:v>
      </x:c>
      <x:c r="G1761" s="20" t="n">
        <x:v>46003.93494626157</x:v>
      </x:c>
    </x:row>
    <x:row r="1762">
      <x:c r="A1762" t="str">
        <x:v>pensamento</x:v>
      </x:c>
      <x:c r="B1762" t="str">
        <x:v>aavĩ</x:v>
      </x:c>
      <x:c r="C1762" t="str">
        <x:v>p</x:v>
      </x:c>
      <x:c r="D1762" t="str">
        <x:v>gcd0db48c-5ade-402f-b74c-8038ad9ed5b7</x:v>
      </x:c>
      <x:c r="E1762" t="str">
        <x:v>g238259e8-b4b0-4468-9dc4-9a48eaebff4e</x:v>
      </x:c>
      <x:c r="F1762" t="str">
        <x:v>https://www.webonary.org/marubo/g238259e8-b4b0-4468-9dc4-9a48eaebff4e/</x:v>
      </x:c>
      <x:c r="G1762" s="20" t="n">
        <x:v>46003.93494626157</x:v>
      </x:c>
    </x:row>
    <x:row r="1763">
      <x:c r="A1763" t="str">
        <x:v>pensar</x:v>
      </x:c>
      <x:c r="B1763" t="str">
        <x:v>chinã</x:v>
      </x:c>
      <x:c r="C1763" t="str">
        <x:v>p</x:v>
      </x:c>
      <x:c r="D1763" t="str">
        <x:v>g4b8363b8-8014-48d8-89e7-36ebe0617d87</x:v>
      </x:c>
      <x:c r="E1763" t="str">
        <x:v>g761c0e08-6d89-4865-94a9-1f8f577ffe7e</x:v>
      </x:c>
      <x:c r="F1763" t="str">
        <x:v>https://www.webonary.org/marubo/g761c0e08-6d89-4865-94a9-1f8f577ffe7e/</x:v>
      </x:c>
      <x:c r="G1763" s="20" t="n">
        <x:v>46003.93494626157</x:v>
      </x:c>
    </x:row>
    <x:row r="1764">
      <x:c r="A1764" t="str">
        <x:v>pensar</x:v>
      </x:c>
      <x:c r="B1764" t="str">
        <x:v>2</x:v>
      </x:c>
      <x:c r="C1764" t="str">
        <x:v>p</x:v>
      </x:c>
      <x:c r="D1764" t="str">
        <x:v>g4b8363b8-8014-48d8-89e7-36ebe0617d87</x:v>
      </x:c>
      <x:c r="E1764" t="str">
        <x:v>g761c0e08-6d89-4865-94a9-1f8f577ffe7e</x:v>
      </x:c>
      <x:c r="F1764" t="str">
        <x:v>https://www.webonary.org/marubo/g761c0e08-6d89-4865-94a9-1f8f577ffe7e/</x:v>
      </x:c>
      <x:c r="G1764" s="20" t="n">
        <x:v>46003.93494626157</x:v>
      </x:c>
    </x:row>
    <x:row r="1765">
      <x:c r="A1765" t="str">
        <x:v>pente (tradicional)</x:v>
      </x:c>
      <x:c r="B1765" t="str">
        <x:v>voshti</x:v>
      </x:c>
      <x:c r="C1765" t="str">
        <x:v>p</x:v>
      </x:c>
      <x:c r="D1765" t="str">
        <x:v>g3dd5c56a-8c9b-4dfe-b61b-d4f3b04022aa</x:v>
      </x:c>
      <x:c r="E1765" t="str">
        <x:v>gc955170c-2443-4989-80bb-2dedcc113b72</x:v>
      </x:c>
      <x:c r="F1765" t="str">
        <x:v>https://www.webonary.org/marubo/gc955170c-2443-4989-80bb-2dedcc113b72/</x:v>
      </x:c>
      <x:c r="G1765" s="20" t="n">
        <x:v>46003.93494626157</x:v>
      </x:c>
    </x:row>
    <x:row r="1766">
      <x:c r="A1766" t="str">
        <x:v>pentear</x:v>
      </x:c>
      <x:c r="B1766" t="str">
        <x:v>iti aká</x:v>
      </x:c>
      <x:c r="C1766" t="str">
        <x:v>p</x:v>
      </x:c>
      <x:c r="D1766" t="str">
        <x:v>gfab43441-ad8e-425e-94d4-60afff8314b2</x:v>
      </x:c>
      <x:c r="E1766" t="str">
        <x:v>g7a809d72-afbd-47d8-9c81-429e32a7208f</x:v>
      </x:c>
      <x:c r="F1766" t="str">
        <x:v>https://www.webonary.org/marubo/g7a809d72-afbd-47d8-9c81-429e32a7208f/</x:v>
      </x:c>
      <x:c r="G1766" s="20" t="n">
        <x:v>46003.93494626157</x:v>
      </x:c>
    </x:row>
    <x:row r="1767">
      <x:c r="A1767" t="str">
        <x:v>pequeno</x:v>
      </x:c>
      <x:c r="B1767" t="str">
        <x:v>potochta</x:v>
      </x:c>
      <x:c r="C1767" t="str">
        <x:v>p</x:v>
      </x:c>
      <x:c r="D1767" t="str">
        <x:v>g1ebeacaf-cf15-4df2-afd6-582e2f0308fd</x:v>
      </x:c>
      <x:c r="E1767" t="str">
        <x:v>g3f61e649-9b74-4bf0-b871-68963d5dd3c6</x:v>
      </x:c>
      <x:c r="F1767" t="str">
        <x:v>https://www.webonary.org/marubo/g3f61e649-9b74-4bf0-b871-68963d5dd3c6/</x:v>
      </x:c>
      <x:c r="G1767" s="20" t="n">
        <x:v>46003.93494626157</x:v>
      </x:c>
    </x:row>
    <x:row r="1768">
      <x:c r="A1768" t="str">
        <x:v>pequeno</x:v>
      </x:c>
      <x:c r="B1768" t="str">
        <x:v>ichtócha</x:v>
      </x:c>
      <x:c r="C1768" t="str">
        <x:v>p</x:v>
      </x:c>
      <x:c r="D1768" t="str">
        <x:v>g1ebeacaf-cf15-4df2-afd6-582e2f0308fd</x:v>
      </x:c>
      <x:c r="E1768" t="str">
        <x:v>ga55f4261-b7f3-473a-a550-33dc9c2e6d6f</x:v>
      </x:c>
      <x:c r="F1768" t="str">
        <x:v>https://www.webonary.org/marubo/ga55f4261-b7f3-473a-a550-33dc9c2e6d6f/</x:v>
      </x:c>
      <x:c r="G1768" s="20" t="n">
        <x:v>46003.93494626157</x:v>
      </x:c>
    </x:row>
    <x:row r="1769">
      <x:c r="A1769" t="str">
        <x:v>perder</x:v>
      </x:c>
      <x:c r="B1769" t="str">
        <x:v>õtxía</x:v>
      </x:c>
      <x:c r="C1769" t="str">
        <x:v>p</x:v>
      </x:c>
      <x:c r="D1769" t="str">
        <x:v>g710b51b2-d70d-4790-9bf9-f578529bab58</x:v>
      </x:c>
      <x:c r="E1769" t="str">
        <x:v>g91818649-8df4-4be0-91d3-94ed841473fa</x:v>
      </x:c>
      <x:c r="F1769" t="str">
        <x:v>https://www.webonary.org/marubo/g91818649-8df4-4be0-91d3-94ed841473fa/</x:v>
      </x:c>
      <x:c r="G1769" s="20" t="n">
        <x:v>46003.93494626157</x:v>
      </x:c>
    </x:row>
    <x:row r="1770">
      <x:c r="A1770" t="str">
        <x:v>periquito</x:v>
      </x:c>
      <x:c r="B1770" t="str">
        <x:v>tõchi</x:v>
      </x:c>
      <x:c r="C1770" t="str">
        <x:v>p</x:v>
      </x:c>
      <x:c r="D1770" t="str">
        <x:v>ga5035c66-a039-4aed-a11d-f7dfff3db95b</x:v>
      </x:c>
      <x:c r="E1770" t="str">
        <x:v>g7995bc60-4afc-45ab-a801-2a3c2fa6d559</x:v>
      </x:c>
      <x:c r="F1770" t="str">
        <x:v>https://www.webonary.org/marubo/g7995bc60-4afc-45ab-a801-2a3c2fa6d559/</x:v>
      </x:c>
      <x:c r="G1770" s="20" t="n">
        <x:v>46003.93494626157</x:v>
      </x:c>
    </x:row>
    <x:row r="1771">
      <x:c r="A1771" t="str">
        <x:v>periquito</x:v>
      </x:c>
      <x:c r="B1771" t="str">
        <x:v>1</x:v>
      </x:c>
      <x:c r="C1771" t="str">
        <x:v>p</x:v>
      </x:c>
      <x:c r="D1771" t="str">
        <x:v>ga5035c66-a039-4aed-a11d-f7dfff3db95b</x:v>
      </x:c>
      <x:c r="E1771" t="str">
        <x:v>g7995bc60-4afc-45ab-a801-2a3c2fa6d559</x:v>
      </x:c>
      <x:c r="F1771" t="str">
        <x:v>https://www.webonary.org/marubo/g7995bc60-4afc-45ab-a801-2a3c2fa6d559/</x:v>
      </x:c>
      <x:c r="G1771" s="20" t="n">
        <x:v>46003.93494626157</x:v>
      </x:c>
    </x:row>
    <x:row r="1772">
      <x:c r="A1772" t="str">
        <x:v>periquito</x:v>
      </x:c>
      <x:c r="B1772" t="str">
        <x:v>sheshe</x:v>
      </x:c>
      <x:c r="C1772" t="str">
        <x:v>p</x:v>
      </x:c>
      <x:c r="D1772" t="str">
        <x:v>ga5035c66-a039-4aed-a11d-f7dfff3db95b</x:v>
      </x:c>
      <x:c r="E1772" t="str">
        <x:v>g7c26abeb-8c82-4b77-a403-0f09cfba86ed</x:v>
      </x:c>
      <x:c r="F1772" t="str">
        <x:v>https://www.webonary.org/marubo/g7c26abeb-8c82-4b77-a403-0f09cfba86ed/</x:v>
      </x:c>
      <x:c r="G1772" s="20" t="n">
        <x:v>46003.93494626157</x:v>
      </x:c>
    </x:row>
    <x:row r="1773">
      <x:c r="A1773" t="str">
        <x:v>periquito</x:v>
      </x:c>
      <x:c r="B1773" t="str">
        <x:v>voré pichĩ</x:v>
      </x:c>
      <x:c r="C1773" t="str">
        <x:v>p</x:v>
      </x:c>
      <x:c r="D1773" t="str">
        <x:v>ga5035c66-a039-4aed-a11d-f7dfff3db95b</x:v>
      </x:c>
      <x:c r="E1773" t="str">
        <x:v>ge563011d-b713-43e6-a32c-9940eb6546ce</x:v>
      </x:c>
      <x:c r="F1773" t="str">
        <x:v>https://www.webonary.org/marubo/ge563011d-b713-43e6-a32c-9940eb6546ce/</x:v>
      </x:c>
      <x:c r="G1773" s="20" t="n">
        <x:v>46003.93494626157</x:v>
      </x:c>
    </x:row>
    <x:row r="1774">
      <x:c r="A1774" t="str">
        <x:v>periquito</x:v>
      </x:c>
      <x:c r="B1774" t="str">
        <x:v>txoke</x:v>
      </x:c>
      <x:c r="C1774" t="str">
        <x:v>p</x:v>
      </x:c>
      <x:c r="D1774" t="str">
        <x:v>ga5035c66-a039-4aed-a11d-f7dfff3db95b</x:v>
      </x:c>
      <x:c r="E1774" t="str">
        <x:v>g228bdf04-acf8-4a22-b244-5ea107f8d8f3</x:v>
      </x:c>
      <x:c r="F1774" t="str">
        <x:v>https://www.webonary.org/marubo/g228bdf04-acf8-4a22-b244-5ea107f8d8f3/</x:v>
      </x:c>
      <x:c r="G1774" s="20" t="n">
        <x:v>46003.93494626157</x:v>
      </x:c>
    </x:row>
    <x:row r="1775">
      <x:c r="A1775" t="str">
        <x:v>periquito</x:v>
      </x:c>
      <x:c r="B1775" t="str">
        <x:v>1</x:v>
      </x:c>
      <x:c r="C1775" t="str">
        <x:v>p</x:v>
      </x:c>
      <x:c r="D1775" t="str">
        <x:v>ga5035c66-a039-4aed-a11d-f7dfff3db95b</x:v>
      </x:c>
      <x:c r="E1775" t="str">
        <x:v>g228bdf04-acf8-4a22-b244-5ea107f8d8f3</x:v>
      </x:c>
      <x:c r="F1775" t="str">
        <x:v>https://www.webonary.org/marubo/g228bdf04-acf8-4a22-b244-5ea107f8d8f3/</x:v>
      </x:c>
      <x:c r="G1775" s="20" t="n">
        <x:v>46003.93494626157</x:v>
      </x:c>
    </x:row>
    <x:row r="1776">
      <x:c r="A1776" t="str">
        <x:v>periquito</x:v>
      </x:c>
      <x:c r="B1776" t="str">
        <x:v>vero pichĩ</x:v>
      </x:c>
      <x:c r="C1776" t="str">
        <x:v>p</x:v>
      </x:c>
      <x:c r="D1776" t="str">
        <x:v>ga5035c66-a039-4aed-a11d-f7dfff3db95b</x:v>
      </x:c>
      <x:c r="E1776" t="str">
        <x:v>gb05a8045-0737-4ecd-b9e6-0b3b165e91e6</x:v>
      </x:c>
      <x:c r="F1776" t="str">
        <x:v>https://www.webonary.org/marubo/gb05a8045-0737-4ecd-b9e6-0b3b165e91e6/</x:v>
      </x:c>
      <x:c r="G1776" s="20" t="n">
        <x:v>46003.93494626157</x:v>
      </x:c>
    </x:row>
    <x:row r="1777">
      <x:c r="A1777" t="str">
        <x:v>PERM</x:v>
      </x:c>
      <x:c r="B1777" t="str">
        <x:v>-pa</x:v>
      </x:c>
      <x:c r="C1777" t="str">
        <x:v>p</x:v>
      </x:c>
      <x:c r="D1777" t="str">
        <x:v>g50a982e8-f0dd-4d2e-a5e2-0c84f4a12859</x:v>
      </x:c>
      <x:c r="E1777" t="str">
        <x:v>gf0ddf642-ed44-461f-83e0-baa11e6d1b15</x:v>
      </x:c>
      <x:c r="F1777" t="str">
        <x:v>https://www.webonary.org/marubo/gf0ddf642-ed44-461f-83e0-baa11e6d1b15/</x:v>
      </x:c>
      <x:c r="G1777" s="20" t="n">
        <x:v>46003.93494626157</x:v>
      </x:c>
    </x:row>
    <x:row r="1778">
      <x:c r="A1778" t="str">
        <x:v>PERM</x:v>
      </x:c>
      <x:c r="B1778" t="str">
        <x:v>3</x:v>
      </x:c>
      <x:c r="C1778" t="str">
        <x:v>p</x:v>
      </x:c>
      <x:c r="D1778" t="str">
        <x:v>g50a982e8-f0dd-4d2e-a5e2-0c84f4a12859</x:v>
      </x:c>
      <x:c r="E1778" t="str">
        <x:v>gf0ddf642-ed44-461f-83e0-baa11e6d1b15</x:v>
      </x:c>
      <x:c r="F1778" t="str">
        <x:v>https://www.webonary.org/marubo/gf0ddf642-ed44-461f-83e0-baa11e6d1b15/</x:v>
      </x:c>
      <x:c r="G1778" s="20" t="n">
        <x:v>46003.93494626157</x:v>
      </x:c>
    </x:row>
    <x:row r="1779">
      <x:c r="A1779" t="str">
        <x:v>perna de pau</x:v>
      </x:c>
      <x:c r="B1779" t="str">
        <x:v>atxáti</x:v>
      </x:c>
      <x:c r="C1779" t="str">
        <x:v>p</x:v>
      </x:c>
      <x:c r="D1779" t="str">
        <x:v>g40f1d1ce-22b3-4484-97cc-061cc7e20827</x:v>
      </x:c>
      <x:c r="E1779" t="str">
        <x:v>g9a0b3f0a-ed5b-4944-84bc-4f96ec484cc5</x:v>
      </x:c>
      <x:c r="F1779" t="str">
        <x:v>https://www.webonary.org/marubo/g9a0b3f0a-ed5b-4944-84bc-4f96ec484cc5/</x:v>
      </x:c>
      <x:c r="G1779" s="20" t="n">
        <x:v>46003.93494626157</x:v>
      </x:c>
    </x:row>
    <x:row r="1780">
      <x:c r="A1780" t="str">
        <x:v>perna)</x:v>
      </x:c>
      <x:c r="B1780" t="str">
        <x:v>tsã ikí</x:v>
      </x:c>
      <x:c r="C1780" t="str">
        <x:v>p</x:v>
      </x:c>
      <x:c r="D1780" t="str">
        <x:v>gd2f67009-4510-4092-8bb1-5382a5adb7f1</x:v>
      </x:c>
      <x:c r="E1780" t="str">
        <x:v>g1691e615-b395-4145-a407-6647ca5c2ead</x:v>
      </x:c>
      <x:c r="F1780" t="str">
        <x:v>https://www.webonary.org/marubo/g1691e615-b395-4145-a407-6647ca5c2ead/</x:v>
      </x:c>
      <x:c r="G1780" s="20" t="n">
        <x:v>46003.93494626157</x:v>
      </x:c>
    </x:row>
    <x:row r="1781">
      <x:c r="A1781" t="str">
        <x:v>perto</x:v>
      </x:c>
      <x:c r="B1781" t="str">
        <x:v>orama</x:v>
      </x:c>
      <x:c r="C1781" t="str">
        <x:v>p</x:v>
      </x:c>
      <x:c r="D1781" t="str">
        <x:v>g4d0fce00-9376-4e9c-8d2c-c597e9e28509</x:v>
      </x:c>
      <x:c r="E1781" t="str">
        <x:v>g15a9190b-846d-4a77-b596-4fcc3aad5422</x:v>
      </x:c>
      <x:c r="F1781" t="str">
        <x:v>https://www.webonary.org/marubo/g15a9190b-846d-4a77-b596-4fcc3aad5422/</x:v>
      </x:c>
      <x:c r="G1781" s="20" t="n">
        <x:v>46003.93494626157</x:v>
      </x:c>
    </x:row>
    <x:row r="1782">
      <x:c r="A1782" t="str">
        <x:v>perto do topo</x:v>
      </x:c>
      <x:c r="B1782" t="str">
        <x:v>teréshka</x:v>
      </x:c>
      <x:c r="C1782" t="str">
        <x:v>p</x:v>
      </x:c>
      <x:c r="D1782" t="str">
        <x:v>ge64177e2-aa1c-4829-bb20-5d33cf008721</x:v>
      </x:c>
      <x:c r="E1782" t="str">
        <x:v>ge366d5d1-5194-4785-be2b-762fbeadbe70</x:v>
      </x:c>
      <x:c r="F1782" t="str">
        <x:v>https://www.webonary.org/marubo/ge366d5d1-5194-4785-be2b-762fbeadbe70/</x:v>
      </x:c>
      <x:c r="G1782" s="20" t="n">
        <x:v>46003.93494626157</x:v>
      </x:c>
    </x:row>
    <x:row r="1783">
      <x:c r="A1783" t="str">
        <x:v>pesadelo</x:v>
      </x:c>
      <x:c r="B1783" t="str">
        <x:v>namá ichná</x:v>
      </x:c>
      <x:c r="C1783" t="str">
        <x:v>p</x:v>
      </x:c>
      <x:c r="D1783" t="str">
        <x:v>g21767193-ceed-4293-83d3-f15a26b666c4</x:v>
      </x:c>
      <x:c r="E1783" t="str">
        <x:v>ge28e7bec-a462-4d29-9e76-22d69b3624fc</x:v>
      </x:c>
      <x:c r="F1783" t="str">
        <x:v>https://www.webonary.org/marubo/ge28e7bec-a462-4d29-9e76-22d69b3624fc/</x:v>
      </x:c>
      <x:c r="G1783" s="20" t="n">
        <x:v>46003.93494626157</x:v>
      </x:c>
    </x:row>
    <x:row r="1784">
      <x:c r="A1784" t="str">
        <x:v>pesado</x:v>
      </x:c>
      <x:c r="B1784" t="str">
        <x:v>eweka</x:v>
      </x:c>
      <x:c r="C1784" t="str">
        <x:v>p</x:v>
      </x:c>
      <x:c r="D1784" t="str">
        <x:v>gc03c99f0-b42a-42d5-bd77-952b40527ba9</x:v>
      </x:c>
      <x:c r="E1784" t="str">
        <x:v>gb5edfe73-0d26-43d7-a0a7-b910d9f1ee61</x:v>
      </x:c>
      <x:c r="F1784" t="str">
        <x:v>https://www.webonary.org/marubo/gb5edfe73-0d26-43d7-a0a7-b910d9f1ee61/</x:v>
      </x:c>
      <x:c r="G1784" s="20" t="n">
        <x:v>46003.93494626157</x:v>
      </x:c>
    </x:row>
    <x:row r="1785">
      <x:c r="A1785" t="str">
        <x:v>pescoço</x:v>
      </x:c>
      <x:c r="B1785" t="str">
        <x:v>tetxíchi</x:v>
      </x:c>
      <x:c r="C1785" t="str">
        <x:v>p</x:v>
      </x:c>
      <x:c r="D1785" t="str">
        <x:v>gbc950a39-ece7-4887-b784-099011b4d6a0</x:v>
      </x:c>
      <x:c r="E1785" t="str">
        <x:v>g7521f25d-0dd1-4c67-9f36-b82e336ef5a1</x:v>
      </x:c>
      <x:c r="F1785" t="str">
        <x:v>https://www.webonary.org/marubo/g7521f25d-0dd1-4c67-9f36-b82e336ef5a1/</x:v>
      </x:c>
      <x:c r="G1785" s="20" t="n">
        <x:v>46003.93494626157</x:v>
      </x:c>
    </x:row>
    <x:row r="1786">
      <x:c r="A1786" t="str">
        <x:v>pescoço</x:v>
      </x:c>
      <x:c r="B1786" t="str">
        <x:v>tepõ</x:v>
      </x:c>
      <x:c r="C1786" t="str">
        <x:v>p</x:v>
      </x:c>
      <x:c r="D1786" t="str">
        <x:v>gbc950a39-ece7-4887-b784-099011b4d6a0</x:v>
      </x:c>
      <x:c r="E1786" t="str">
        <x:v>gfb00e883-fb95-4c47-8978-dbaed6861747</x:v>
      </x:c>
      <x:c r="F1786" t="str">
        <x:v>https://www.webonary.org/marubo/gfb00e883-fb95-4c47-8978-dbaed6861747/</x:v>
      </x:c>
      <x:c r="G1786" s="20" t="n">
        <x:v>46003.93494626157</x:v>
      </x:c>
    </x:row>
    <x:row r="1787">
      <x:c r="A1787" t="str">
        <x:v>pessoa</x:v>
      </x:c>
      <x:c r="B1787" t="str">
        <x:v>yora</x:v>
      </x:c>
      <x:c r="C1787" t="str">
        <x:v>p</x:v>
      </x:c>
      <x:c r="D1787" t="str">
        <x:v>ge5db7db4-1588-4f3b-ab85-7bcf984ba3e6</x:v>
      </x:c>
      <x:c r="E1787" t="str">
        <x:v>g3499d81a-1225-43ca-b49a-a281d0f50037</x:v>
      </x:c>
      <x:c r="F1787" t="str">
        <x:v>https://www.webonary.org/marubo/g3499d81a-1225-43ca-b49a-a281d0f50037/</x:v>
      </x:c>
      <x:c r="G1787" s="20" t="n">
        <x:v>46003.93494626157</x:v>
      </x:c>
    </x:row>
    <x:row r="1788">
      <x:c r="A1788" t="str">
        <x:v>pessoa muito velha</x:v>
      </x:c>
      <x:c r="B1788" t="str">
        <x:v>txipã</x:v>
      </x:c>
      <x:c r="C1788" t="str">
        <x:v>p</x:v>
      </x:c>
      <x:c r="D1788" t="str">
        <x:v>g81d91aba-1ad5-448b-b053-bb60a3ef551a</x:v>
      </x:c>
      <x:c r="E1788" t="str">
        <x:v>g02df7063-14b8-41a3-8d4a-2b66f872e5b9</x:v>
      </x:c>
      <x:c r="F1788" t="str">
        <x:v>https://www.webonary.org/marubo/g02df7063-14b8-41a3-8d4a-2b66f872e5b9/</x:v>
      </x:c>
      <x:c r="G1788" s="20" t="n">
        <x:v>46003.93494626157</x:v>
      </x:c>
    </x:row>
    <x:row r="1789">
      <x:c r="A1789" t="str">
        <x:v>pessoa solitária</x:v>
      </x:c>
      <x:c r="B1789" t="str">
        <x:v>wesnáka</x:v>
      </x:c>
      <x:c r="C1789" t="str">
        <x:v>p</x:v>
      </x:c>
      <x:c r="D1789" t="str">
        <x:v>gc20fc5c3-85d6-46da-86a5-8d953d65068e</x:v>
      </x:c>
      <x:c r="E1789" t="str">
        <x:v>ge1ed9598-5000-429f-b0ff-ef512894c975</x:v>
      </x:c>
      <x:c r="F1789" t="str">
        <x:v>https://www.webonary.org/marubo/ge1ed9598-5000-429f-b0ff-ef512894c975/</x:v>
      </x:c>
      <x:c r="G1789" s="20" t="n">
        <x:v>46003.93494626157</x:v>
      </x:c>
    </x:row>
    <x:row r="1790">
      <x:c r="A1790" t="str">
        <x:v>piau</x:v>
      </x:c>
      <x:c r="B1790" t="str">
        <x:v>vatõ</x:v>
      </x:c>
      <x:c r="C1790" t="str">
        <x:v>p</x:v>
      </x:c>
      <x:c r="D1790" t="str">
        <x:v>g1150d409-b534-46fe-ab1c-8a2590be1371</x:v>
      </x:c>
      <x:c r="E1790" t="str">
        <x:v>g4702532a-167f-4fa2-b34c-a8d9b9fbee09</x:v>
      </x:c>
      <x:c r="F1790" t="str">
        <x:v>https://www.webonary.org/marubo/g4702532a-167f-4fa2-b34c-a8d9b9fbee09/</x:v>
      </x:c>
      <x:c r="G1790" s="20" t="n">
        <x:v>46003.93494626157</x:v>
      </x:c>
    </x:row>
    <x:row r="1791">
      <x:c r="A1791" t="str">
        <x:v>picada de pium</x:v>
      </x:c>
      <x:c r="B1791" t="str">
        <x:v>chiõ piá</x:v>
      </x:c>
      <x:c r="C1791" t="str">
        <x:v>p</x:v>
      </x:c>
      <x:c r="D1791" t="str">
        <x:v>gee222518-468a-4ded-89f6-52fc4b7d38cc</x:v>
      </x:c>
      <x:c r="E1791" t="str">
        <x:v>gb5d06f6e-6fa8-4754-8c19-d11c428d388c</x:v>
      </x:c>
      <x:c r="F1791" t="str">
        <x:v>https://www.webonary.org/marubo/gb5d06f6e-6fa8-4754-8c19-d11c428d388c/</x:v>
      </x:c>
      <x:c r="G1791" s="20" t="n">
        <x:v>46003.93494626157</x:v>
      </x:c>
    </x:row>
    <x:row r="1792">
      <x:c r="A1792" t="str">
        <x:v>pica-pau</x:v>
      </x:c>
      <x:c r="B1792" t="str">
        <x:v>voĩ</x:v>
      </x:c>
      <x:c r="C1792" t="str">
        <x:v>p</x:v>
      </x:c>
      <x:c r="D1792" t="str">
        <x:v>gff1fcf49-34b1-4835-b464-f388631345aa</x:v>
      </x:c>
      <x:c r="E1792" t="str">
        <x:v>g78d97d2c-4dd5-4a8d-ac0a-cddc02298363</x:v>
      </x:c>
      <x:c r="F1792" t="str">
        <x:v>https://www.webonary.org/marubo/g78d97d2c-4dd5-4a8d-ac0a-cddc02298363/</x:v>
      </x:c>
      <x:c r="G1792" s="20" t="n">
        <x:v>46003.9349546875</x:v>
      </x:c>
    </x:row>
    <x:row r="1793">
      <x:c r="A1793" t="str">
        <x:v>pica-pau</x:v>
      </x:c>
      <x:c r="B1793" t="str">
        <x:v>1</x:v>
      </x:c>
      <x:c r="C1793" t="str">
        <x:v>p</x:v>
      </x:c>
      <x:c r="D1793" t="str">
        <x:v>gff1fcf49-34b1-4835-b464-f388631345aa</x:v>
      </x:c>
      <x:c r="E1793" t="str">
        <x:v>g78d97d2c-4dd5-4a8d-ac0a-cddc02298363</x:v>
      </x:c>
      <x:c r="F1793" t="str">
        <x:v>https://www.webonary.org/marubo/g78d97d2c-4dd5-4a8d-ac0a-cddc02298363/</x:v>
      </x:c>
      <x:c r="G1793" s="20" t="n">
        <x:v>46003.9349546875</x:v>
      </x:c>
    </x:row>
    <x:row r="1794">
      <x:c r="A1794" t="str">
        <x:v>picar peixe</x:v>
      </x:c>
      <x:c r="B1794" t="str">
        <x:v>setea</x:v>
      </x:c>
      <x:c r="C1794" t="str">
        <x:v>p</x:v>
      </x:c>
      <x:c r="D1794" t="str">
        <x:v>gf7556317-dfdd-43a6-9af6-f33a00fc04a2</x:v>
      </x:c>
      <x:c r="E1794" t="str">
        <x:v>g8e301de4-bc6f-4db0-a07e-a3c9f4538091</x:v>
      </x:c>
      <x:c r="F1794" t="str">
        <x:v>https://www.webonary.org/marubo/g8e301de4-bc6f-4db0-a07e-a3c9f4538091/</x:v>
      </x:c>
      <x:c r="G1794" s="20" t="n">
        <x:v>46003.9349546875</x:v>
      </x:c>
    </x:row>
    <x:row r="1795">
      <x:c r="A1795" t="str">
        <x:v>PICO</x:v>
      </x:c>
      <x:c r="B1795" t="str">
        <x:v>oĩtá</x:v>
      </x:c>
      <x:c r="C1795" t="str">
        <x:v>p</x:v>
      </x:c>
      <x:c r="D1795" t="str">
        <x:v>ga13d92fa-41b4-4eca-ab5e-36f20e50b9d8</x:v>
      </x:c>
      <x:c r="E1795" t="str">
        <x:v>g4dcee0d3-6ea5-49a1-8728-da8b2d8c828e</x:v>
      </x:c>
      <x:c r="F1795" t="str">
        <x:v>https://www.webonary.org/marubo/g4dcee0d3-6ea5-49a1-8728-da8b2d8c828e/</x:v>
      </x:c>
      <x:c r="G1795" s="20" t="n">
        <x:v>46003.9349546875</x:v>
      </x:c>
    </x:row>
    <x:row r="1796">
      <x:c r="A1796" t="str">
        <x:v>pilha</x:v>
      </x:c>
      <x:c r="B1796" t="str">
        <x:v>amo eshe</x:v>
      </x:c>
      <x:c r="C1796" t="str">
        <x:v>p</x:v>
      </x:c>
      <x:c r="D1796" t="str">
        <x:v>g2337ffa8-c43b-4ccb-8e49-11d8832538f8</x:v>
      </x:c>
      <x:c r="E1796" t="str">
        <x:v>gde34483d-803c-4434-a406-e6d35c7b30c5</x:v>
      </x:c>
      <x:c r="F1796" t="str">
        <x:v>https://www.webonary.org/marubo/gde34483d-803c-4434-a406-e6d35c7b30c5/</x:v>
      </x:c>
      <x:c r="G1796" s="20" t="n">
        <x:v>46003.9349546875</x:v>
      </x:c>
    </x:row>
    <x:row r="1797">
      <x:c r="A1797" t="str">
        <x:v>pimenta</x:v>
      </x:c>
      <x:c r="B1797" t="str">
        <x:v>yotxi</x:v>
      </x:c>
      <x:c r="C1797" t="str">
        <x:v>p</x:v>
      </x:c>
      <x:c r="D1797" t="str">
        <x:v>g1e39eac1-ef84-4509-877c-8a8c225fc5f2</x:v>
      </x:c>
      <x:c r="E1797" t="str">
        <x:v>g95ad1957-d597-40d0-8e66-7bd4b6d935a8</x:v>
      </x:c>
      <x:c r="F1797" t="str">
        <x:v>https://www.webonary.org/marubo/g95ad1957-d597-40d0-8e66-7bd4b6d935a8/</x:v>
      </x:c>
      <x:c r="G1797" s="20" t="n">
        <x:v>46003.9349546875</x:v>
      </x:c>
    </x:row>
    <x:row r="1798">
      <x:c r="A1798" t="str">
        <x:v>pingar</x:v>
      </x:c>
      <x:c r="B1798" t="str">
        <x:v>tois ikí</x:v>
      </x:c>
      <x:c r="C1798" t="str">
        <x:v>p</x:v>
      </x:c>
      <x:c r="D1798" t="str">
        <x:v>gd3e4d1b1-a5dc-420a-886d-370164e4717d</x:v>
      </x:c>
      <x:c r="E1798" t="str">
        <x:v>g08f0f906-3fcc-4a8e-9c8b-c33802d61d68</x:v>
      </x:c>
      <x:c r="F1798" t="str">
        <x:v>https://www.webonary.org/marubo/g08f0f906-3fcc-4a8e-9c8b-c33802d61d68/</x:v>
      </x:c>
      <x:c r="G1798" s="20" t="n">
        <x:v>46003.9349546875</x:v>
      </x:c>
    </x:row>
    <x:row r="1799">
      <x:c r="A1799" t="str">
        <x:v>pintado</x:v>
      </x:c>
      <x:c r="B1799" t="str">
        <x:v>aseka</x:v>
      </x:c>
      <x:c r="C1799" t="str">
        <x:v>p</x:v>
      </x:c>
      <x:c r="D1799" t="str">
        <x:v>g16f51f7d-7146-49a6-8ce6-759f40121f90</x:v>
      </x:c>
      <x:c r="E1799" t="str">
        <x:v>g3df01a56-8699-4b63-b3d9-85ab3c89e770</x:v>
      </x:c>
      <x:c r="F1799" t="str">
        <x:v>https://www.webonary.org/marubo/g3df01a56-8699-4b63-b3d9-85ab3c89e770/</x:v>
      </x:c>
      <x:c r="G1799" s="20" t="n">
        <x:v>46003.9349546875</x:v>
      </x:c>
    </x:row>
    <x:row r="1800">
      <x:c r="A1800" t="str">
        <x:v>pintar na boca</x:v>
      </x:c>
      <x:c r="B1800" t="str">
        <x:v>ãpósh mea</x:v>
      </x:c>
      <x:c r="C1800" t="str">
        <x:v>p</x:v>
      </x:c>
      <x:c r="D1800" t="str">
        <x:v>g98b8e7a4-b200-4f28-9a43-754fd3fdf13c</x:v>
      </x:c>
      <x:c r="E1800" t="str">
        <x:v>g4b16542a-a314-4291-bea9-ed2e1303100f</x:v>
      </x:c>
      <x:c r="F1800" t="str">
        <x:v>https://www.webonary.org/marubo/g4b16542a-a314-4291-bea9-ed2e1303100f/</x:v>
      </x:c>
      <x:c r="G1800" s="20" t="n">
        <x:v>46003.9349546875</x:v>
      </x:c>
    </x:row>
    <x:row r="1801">
      <x:c r="A1801" t="str">
        <x:v>piolho</x:v>
      </x:c>
      <x:c r="B1801" t="str">
        <x:v>ia</x:v>
      </x:c>
      <x:c r="C1801" t="str">
        <x:v>p</x:v>
      </x:c>
      <x:c r="D1801" t="str">
        <x:v>gd728afd0-53de-43f8-ba4b-27925bf27e38</x:v>
      </x:c>
      <x:c r="E1801" t="str">
        <x:v>g38a25cdf-df8a-4938-980a-79ce935b18c2</x:v>
      </x:c>
      <x:c r="F1801" t="str">
        <x:v>https://www.webonary.org/marubo/g38a25cdf-df8a-4938-980a-79ce935b18c2/</x:v>
      </x:c>
      <x:c r="G1801" s="20" t="n">
        <x:v>46003.9349546875</x:v>
      </x:c>
    </x:row>
    <x:row r="1802">
      <x:c r="A1802" t="str">
        <x:v>piolho</x:v>
      </x:c>
      <x:c r="B1802" t="str">
        <x:v>1</x:v>
      </x:c>
      <x:c r="C1802" t="str">
        <x:v>p</x:v>
      </x:c>
      <x:c r="D1802" t="str">
        <x:v>gd728afd0-53de-43f8-ba4b-27925bf27e38</x:v>
      </x:c>
      <x:c r="E1802" t="str">
        <x:v>g38a25cdf-df8a-4938-980a-79ce935b18c2</x:v>
      </x:c>
      <x:c r="F1802" t="str">
        <x:v>https://www.webonary.org/marubo/g38a25cdf-df8a-4938-980a-79ce935b18c2/</x:v>
      </x:c>
      <x:c r="G1802" s="20" t="n">
        <x:v>46003.9349546875</x:v>
      </x:c>
    </x:row>
    <x:row r="1803">
      <x:c r="A1803" t="str">
        <x:v>piranha</x:v>
      </x:c>
      <x:c r="B1803" t="str">
        <x:v>voo tashõti</x:v>
      </x:c>
      <x:c r="C1803" t="str">
        <x:v>p</x:v>
      </x:c>
      <x:c r="D1803" t="str">
        <x:v>gfac64246-2318-4a02-bbe1-3e0d489e77c8</x:v>
      </x:c>
      <x:c r="E1803" t="str">
        <x:v>g6db46bdb-15f1-48a9-9398-92d3437e21df</x:v>
      </x:c>
      <x:c r="F1803" t="str">
        <x:v>https://www.webonary.org/marubo/g6db46bdb-15f1-48a9-9398-92d3437e21df/</x:v>
      </x:c>
      <x:c r="G1803" s="20" t="n">
        <x:v>46003.9349546875</x:v>
      </x:c>
    </x:row>
    <x:row r="1804">
      <x:c r="A1804" t="str">
        <x:v>piranha</x:v>
      </x:c>
      <x:c r="B1804" t="str">
        <x:v>make</x:v>
      </x:c>
      <x:c r="C1804" t="str">
        <x:v>p</x:v>
      </x:c>
      <x:c r="D1804" t="str">
        <x:v>gfac64246-2318-4a02-bbe1-3e0d489e77c8</x:v>
      </x:c>
      <x:c r="E1804" t="str">
        <x:v>g459ac9f7-2dae-4d11-962b-5de799dca453</x:v>
      </x:c>
      <x:c r="F1804" t="str">
        <x:v>https://www.webonary.org/marubo/g459ac9f7-2dae-4d11-962b-5de799dca453/</x:v>
      </x:c>
      <x:c r="G1804" s="20" t="n">
        <x:v>46003.9349546875</x:v>
      </x:c>
    </x:row>
    <x:row r="1805">
      <x:c r="A1805" t="str">
        <x:v>pisar</x:v>
      </x:c>
      <x:c r="B1805" t="str">
        <x:v>paia</x:v>
      </x:c>
      <x:c r="C1805" t="str">
        <x:v>p</x:v>
      </x:c>
      <x:c r="D1805" t="str">
        <x:v>gba5869df-0976-406a-bee6-d773a115f330</x:v>
      </x:c>
      <x:c r="E1805" t="str">
        <x:v>gd580397c-3d21-4972-a164-11b8a76a4349</x:v>
      </x:c>
      <x:c r="F1805" t="str">
        <x:v>https://www.webonary.org/marubo/gd580397c-3d21-4972-a164-11b8a76a4349/</x:v>
      </x:c>
      <x:c r="G1805" s="20" t="n">
        <x:v>46003.9349546875</x:v>
      </x:c>
    </x:row>
    <x:row r="1806">
      <x:c r="A1806" t="str">
        <x:v>piscar</x:v>
      </x:c>
      <x:c r="B1806" t="str">
        <x:v>vetso ikí</x:v>
      </x:c>
      <x:c r="C1806" t="str">
        <x:v>p</x:v>
      </x:c>
      <x:c r="D1806" t="str">
        <x:v>gd5b5a627-7a0b-4c8e-922f-9a0e6b28674c</x:v>
      </x:c>
      <x:c r="E1806" t="str">
        <x:v>ge5005b49-909c-4cf5-ae48-6fc05528e2ca</x:v>
      </x:c>
      <x:c r="F1806" t="str">
        <x:v>https://www.webonary.org/marubo/ge5005b49-909c-4cf5-ae48-6fc05528e2ca/</x:v>
      </x:c>
      <x:c r="G1806" s="20" t="n">
        <x:v>46003.9349546875</x:v>
      </x:c>
    </x:row>
    <x:row r="1807">
      <x:c r="A1807" t="str">
        <x:v>pium</x:v>
      </x:c>
      <x:c r="B1807" t="str">
        <x:v>rõ chio</x:v>
      </x:c>
      <x:c r="C1807" t="str">
        <x:v>p</x:v>
      </x:c>
      <x:c r="D1807" t="str">
        <x:v>g48416513-9c8b-45ee-981a-667b8c3ce8d0</x:v>
      </x:c>
      <x:c r="E1807" t="str">
        <x:v>g3489b54c-ba27-4c71-ab79-4e25b53e929b</x:v>
      </x:c>
      <x:c r="F1807" t="str">
        <x:v>https://www.webonary.org/marubo/g3489b54c-ba27-4c71-ab79-4e25b53e929b/</x:v>
      </x:c>
      <x:c r="G1807" s="20" t="n">
        <x:v>46003.9349546875</x:v>
      </x:c>
    </x:row>
    <x:row r="1808">
      <x:c r="A1808" t="str">
        <x:v>pium</x:v>
      </x:c>
      <x:c r="B1808" t="str">
        <x:v>chio</x:v>
      </x:c>
      <x:c r="C1808" t="str">
        <x:v>p</x:v>
      </x:c>
      <x:c r="D1808" t="str">
        <x:v>g48416513-9c8b-45ee-981a-667b8c3ce8d0</x:v>
      </x:c>
      <x:c r="E1808" t="str">
        <x:v>gdfc97b06-8da2-469c-80e0-0bdcdb722810</x:v>
      </x:c>
      <x:c r="F1808" t="str">
        <x:v>https://www.webonary.org/marubo/gdfc97b06-8da2-469c-80e0-0bdcdb722810/</x:v>
      </x:c>
      <x:c r="G1808" s="20" t="n">
        <x:v>46003.9349546875</x:v>
      </x:c>
    </x:row>
    <x:row r="1809">
      <x:c r="A1809" t="str">
        <x:v>PL</x:v>
      </x:c>
      <x:c r="B1809" t="str">
        <x:v>-rasĩ</x:v>
      </x:c>
      <x:c r="C1809" t="str">
        <x:v>p</x:v>
      </x:c>
      <x:c r="D1809" t="str">
        <x:v>g79ac5d41-c42a-4387-892b-1e49827d3eaf</x:v>
      </x:c>
      <x:c r="E1809" t="str">
        <x:v>gd2e402e4-4d20-4299-9446-77d2e283e815</x:v>
      </x:c>
      <x:c r="F1809" t="str">
        <x:v>https://www.webonary.org/marubo/gd2e402e4-4d20-4299-9446-77d2e283e815/</x:v>
      </x:c>
      <x:c r="G1809" s="20" t="n">
        <x:v>46003.9349546875</x:v>
      </x:c>
    </x:row>
    <x:row r="1810">
      <x:c r="A1810" t="str">
        <x:v>planta</x:v>
      </x:c>
      <x:c r="B1810" t="str">
        <x:v>vaná</x:v>
      </x:c>
      <x:c r="C1810" t="str">
        <x:v>p</x:v>
      </x:c>
      <x:c r="D1810" t="str">
        <x:v>gfda0ccdb-5f26-494e-bffb-e12f5d6d2027</x:v>
      </x:c>
      <x:c r="E1810" t="str">
        <x:v>g9ad04860-7fdc-4900-9a70-b71637a79600</x:v>
      </x:c>
      <x:c r="F1810" t="str">
        <x:v>https://www.webonary.org/marubo/g9ad04860-7fdc-4900-9a70-b71637a79600/</x:v>
      </x:c>
      <x:c r="G1810" s="20" t="n">
        <x:v>46003.9349546875</x:v>
      </x:c>
    </x:row>
    <x:row r="1811">
      <x:c r="A1811" t="str">
        <x:v>planta na beira do rio</x:v>
      </x:c>
      <x:c r="B1811" t="str">
        <x:v>kaiyõ</x:v>
      </x:c>
      <x:c r="C1811" t="str">
        <x:v>p</x:v>
      </x:c>
      <x:c r="D1811" t="str">
        <x:v>gef27a500-b738-42d8-8f5f-36ccaeb42a34</x:v>
      </x:c>
      <x:c r="E1811" t="str">
        <x:v>g557dbb74-edbd-43ff-bc0d-fdabab8530e5</x:v>
      </x:c>
      <x:c r="F1811" t="str">
        <x:v>https://www.webonary.org/marubo/g557dbb74-edbd-43ff-bc0d-fdabab8530e5/</x:v>
      </x:c>
      <x:c r="G1811" s="20" t="n">
        <x:v>46003.9349546875</x:v>
      </x:c>
    </x:row>
    <x:row r="1812">
      <x:c r="A1812" t="str">
        <x:v>planta que produz tinta para pintar saia</x:v>
      </x:c>
      <x:c r="B1812" t="str">
        <x:v>txeshna</x:v>
      </x:c>
      <x:c r="C1812" t="str">
        <x:v>p</x:v>
      </x:c>
      <x:c r="D1812" t="str">
        <x:v>gf372dad3-f44c-46ad-bcc9-023f51c7e305</x:v>
      </x:c>
      <x:c r="E1812" t="str">
        <x:v>g5856b846-6f5b-4ba0-9363-cf793edaf91e</x:v>
      </x:c>
      <x:c r="F1812" t="str">
        <x:v>https://www.webonary.org/marubo/g5856b846-6f5b-4ba0-9363-cf793edaf91e/</x:v>
      </x:c>
      <x:c r="G1812" s="20" t="n">
        <x:v>46003.9349546875</x:v>
      </x:c>
    </x:row>
    <x:row r="1813">
      <x:c r="A1813" t="str">
        <x:v>planta que tem goma</x:v>
      </x:c>
      <x:c r="B1813" t="str">
        <x:v>txepe</x:v>
      </x:c>
      <x:c r="C1813" t="str">
        <x:v>p</x:v>
      </x:c>
      <x:c r="D1813" t="str">
        <x:v>gd0cd3bdc-8aab-4fda-b878-7ff4a798384f</x:v>
      </x:c>
      <x:c r="E1813" t="str">
        <x:v>g610fdb51-d30d-41ed-8b37-b83d0c47eb8a</x:v>
      </x:c>
      <x:c r="F1813" t="str">
        <x:v>https://www.webonary.org/marubo/g610fdb51-d30d-41ed-8b37-b83d0c47eb8a/</x:v>
      </x:c>
      <x:c r="G1813" s="20" t="n">
        <x:v>46003.9349546875</x:v>
      </x:c>
    </x:row>
    <x:row r="1814">
      <x:c r="A1814" t="str">
        <x:v>planta usada na caça</x:v>
      </x:c>
      <x:c r="B1814" t="str">
        <x:v>chewẽ võko</x:v>
      </x:c>
      <x:c r="C1814" t="str">
        <x:v>p</x:v>
      </x:c>
      <x:c r="D1814" t="str">
        <x:v>gb8a3bf6e-5d3c-412c-b7ae-a606d97d2fde</x:v>
      </x:c>
      <x:c r="E1814" t="str">
        <x:v>g3bbe45e1-ae41-4ad8-9796-1d3e2ac2849a</x:v>
      </x:c>
      <x:c r="F1814" t="str">
        <x:v>https://www.webonary.org/marubo/g3bbe45e1-ae41-4ad8-9796-1d3e2ac2849a/</x:v>
      </x:c>
      <x:c r="G1814" s="20" t="n">
        <x:v>46003.9349546875</x:v>
      </x:c>
    </x:row>
    <x:row r="1815">
      <x:c r="A1815" t="str">
        <x:v>planta usada para lavar criança</x:v>
      </x:c>
      <x:c r="B1815" t="str">
        <x:v>chekéchni yochĩn aká</x:v>
      </x:c>
      <x:c r="C1815" t="str">
        <x:v>p</x:v>
      </x:c>
      <x:c r="D1815" t="str">
        <x:v>g44e86205-d8a7-4c96-afc4-67904b78fb30</x:v>
      </x:c>
      <x:c r="E1815" t="str">
        <x:v>gdb7d1e23-ac84-418e-9a83-ee0065fe2881</x:v>
      </x:c>
      <x:c r="F1815" t="str">
        <x:v>https://www.webonary.org/marubo/gdb7d1e23-ac84-418e-9a83-ee0065fe2881/</x:v>
      </x:c>
      <x:c r="G1815" s="20" t="n">
        <x:v>46003.9349546875</x:v>
      </x:c>
    </x:row>
    <x:row r="1816">
      <x:c r="A1816" t="str">
        <x:v>plantar</x:v>
      </x:c>
      <x:c r="B1816" t="str">
        <x:v>vana</x:v>
      </x:c>
      <x:c r="C1816" t="str">
        <x:v>p</x:v>
      </x:c>
      <x:c r="D1816" t="str">
        <x:v>g46a382ab-b4ae-4370-a34a-5f1856ee0179</x:v>
      </x:c>
      <x:c r="E1816" t="str">
        <x:v>gd2063ae1-f201-49d0-9575-cecf591880b1</x:v>
      </x:c>
      <x:c r="F1816" t="str">
        <x:v>https://www.webonary.org/marubo/gd2063ae1-f201-49d0-9575-cecf591880b1/</x:v>
      </x:c>
      <x:c r="G1816" s="20" t="n">
        <x:v>46003.9349546875</x:v>
      </x:c>
    </x:row>
    <x:row r="1817">
      <x:c r="A1817" t="str">
        <x:v>plantar</x:v>
      </x:c>
      <x:c r="B1817" t="str">
        <x:v>1</x:v>
      </x:c>
      <x:c r="C1817" t="str">
        <x:v>p</x:v>
      </x:c>
      <x:c r="D1817" t="str">
        <x:v>g46a382ab-b4ae-4370-a34a-5f1856ee0179</x:v>
      </x:c>
      <x:c r="E1817" t="str">
        <x:v>gd2063ae1-f201-49d0-9575-cecf591880b1</x:v>
      </x:c>
      <x:c r="F1817" t="str">
        <x:v>https://www.webonary.org/marubo/gd2063ae1-f201-49d0-9575-cecf591880b1/</x:v>
      </x:c>
      <x:c r="G1817" s="20" t="n">
        <x:v>46003.9349546875</x:v>
      </x:c>
    </x:row>
    <x:row r="1818">
      <x:c r="A1818" t="str">
        <x:v>pó</x:v>
      </x:c>
      <x:c r="B1818" t="str">
        <x:v>poto</x:v>
      </x:c>
      <x:c r="C1818" t="str">
        <x:v>p</x:v>
      </x:c>
      <x:c r="D1818" t="str">
        <x:v>g532a1f2b-5717-426a-bab2-851ee39dc0d2</x:v>
      </x:c>
      <x:c r="E1818" t="str">
        <x:v>g301962c9-e716-4b10-a08a-f5265dece1c7</x:v>
      </x:c>
      <x:c r="F1818" t="str">
        <x:v>https://www.webonary.org/marubo/g301962c9-e716-4b10-a08a-f5265dece1c7/</x:v>
      </x:c>
      <x:c r="G1818" s="20" t="n">
        <x:v>46003.9349546875</x:v>
      </x:c>
    </x:row>
    <x:row r="1819">
      <x:c r="A1819" t="str">
        <x:v>polícia</x:v>
      </x:c>
      <x:c r="B1819" t="str">
        <x:v>teskekáya</x:v>
      </x:c>
      <x:c r="C1819" t="str">
        <x:v>p</x:v>
      </x:c>
      <x:c r="D1819" t="str">
        <x:v>gf3f75c81-efe1-4484-b496-3ac678c4b3b2</x:v>
      </x:c>
      <x:c r="E1819" t="str">
        <x:v>g76ae508c-279f-475e-a899-b8d463db34a1</x:v>
      </x:c>
      <x:c r="F1819" t="str">
        <x:v>https://www.webonary.org/marubo/g76ae508c-279f-475e-a899-b8d463db34a1/</x:v>
      </x:c>
      <x:c r="G1819" s="20" t="n">
        <x:v>46003.9349546875</x:v>
      </x:c>
    </x:row>
    <x:row r="1820">
      <x:c r="A1820" t="str">
        <x:v>pomba</x:v>
      </x:c>
      <x:c r="B1820" t="str">
        <x:v>noma</x:v>
      </x:c>
      <x:c r="C1820" t="str">
        <x:v>p</x:v>
      </x:c>
      <x:c r="D1820" t="str">
        <x:v>gea53082b-7d9c-4874-af88-78f66185e9f7</x:v>
      </x:c>
      <x:c r="E1820" t="str">
        <x:v>g6458ae08-b6b7-4e3f-ac3c-674ba147ec7d</x:v>
      </x:c>
      <x:c r="F1820" t="str">
        <x:v>https://www.webonary.org/marubo/g6458ae08-b6b7-4e3f-ac3c-674ba147ec7d/</x:v>
      </x:c>
      <x:c r="G1820" s="20" t="n">
        <x:v>46003.9349546875</x:v>
      </x:c>
    </x:row>
    <x:row r="1821">
      <x:c r="A1821" t="str">
        <x:v>pomba</x:v>
      </x:c>
      <x:c r="B1821" t="str">
        <x:v>2</x:v>
      </x:c>
      <x:c r="C1821" t="str">
        <x:v>p</x:v>
      </x:c>
      <x:c r="D1821" t="str">
        <x:v>gea53082b-7d9c-4874-af88-78f66185e9f7</x:v>
      </x:c>
      <x:c r="E1821" t="str">
        <x:v>g6458ae08-b6b7-4e3f-ac3c-674ba147ec7d</x:v>
      </x:c>
      <x:c r="F1821" t="str">
        <x:v>https://www.webonary.org/marubo/g6458ae08-b6b7-4e3f-ac3c-674ba147ec7d/</x:v>
      </x:c>
      <x:c r="G1821" s="20" t="n">
        <x:v>46003.9349546875</x:v>
      </x:c>
    </x:row>
    <x:row r="1822">
      <x:c r="A1822" t="str">
        <x:v>pomba</x:v>
      </x:c>
      <x:c r="B1822" t="str">
        <x:v>noma</x:v>
      </x:c>
      <x:c r="C1822" t="str">
        <x:v>p</x:v>
      </x:c>
      <x:c r="D1822" t="str">
        <x:v>gea53082b-7d9c-4874-af88-78f66185e9f7</x:v>
      </x:c>
      <x:c r="E1822" t="str">
        <x:v>gbcd042d9-acf8-4e63-a90a-f883854b2d5c</x:v>
      </x:c>
      <x:c r="F1822" t="str">
        <x:v>https://www.webonary.org/marubo/gbcd042d9-acf8-4e63-a90a-f883854b2d5c/</x:v>
      </x:c>
      <x:c r="G1822" s="20" t="n">
        <x:v>46003.9349546875</x:v>
      </x:c>
    </x:row>
    <x:row r="1823">
      <x:c r="A1823" t="str">
        <x:v>pomba</x:v>
      </x:c>
      <x:c r="B1823" t="str">
        <x:v>1</x:v>
      </x:c>
      <x:c r="C1823" t="str">
        <x:v>p</x:v>
      </x:c>
      <x:c r="D1823" t="str">
        <x:v>gea53082b-7d9c-4874-af88-78f66185e9f7</x:v>
      </x:c>
      <x:c r="E1823" t="str">
        <x:v>gbcd042d9-acf8-4e63-a90a-f883854b2d5c</x:v>
      </x:c>
      <x:c r="F1823" t="str">
        <x:v>https://www.webonary.org/marubo/gbcd042d9-acf8-4e63-a90a-f883854b2d5c/</x:v>
      </x:c>
      <x:c r="G1823" s="20" t="n">
        <x:v>46003.9349546875</x:v>
      </x:c>
    </x:row>
    <x:row r="1824">
      <x:c r="A1824" t="str">
        <x:v>pombo</x:v>
      </x:c>
      <x:c r="B1824" t="str">
        <x:v>oshko</x:v>
      </x:c>
      <x:c r="C1824" t="str">
        <x:v>p</x:v>
      </x:c>
      <x:c r="D1824" t="str">
        <x:v>g264b098e-bca4-4a01-b99d-d48e8b5db3d3</x:v>
      </x:c>
      <x:c r="E1824" t="str">
        <x:v>g6b2e791f-e4ea-4187-b338-e25411b6b992</x:v>
      </x:c>
      <x:c r="F1824" t="str">
        <x:v>https://www.webonary.org/marubo/g6b2e791f-e4ea-4187-b338-e25411b6b992/</x:v>
      </x:c>
      <x:c r="G1824" s="20" t="n">
        <x:v>46003.9349546875</x:v>
      </x:c>
    </x:row>
    <x:row r="1825">
      <x:c r="A1825" t="str">
        <x:v>PONT</x:v>
      </x:c>
      <x:c r="B1825" t="str">
        <x:v>-kẽwa</x:v>
      </x:c>
      <x:c r="C1825" t="str">
        <x:v>p</x:v>
      </x:c>
      <x:c r="D1825" t="str">
        <x:v>g7ddec208-91bb-4a7a-ba06-4525ad80fee3</x:v>
      </x:c>
      <x:c r="E1825" t="str">
        <x:v>gcaebaa65-7758-4ef7-b954-3a5a2c8b12b2</x:v>
      </x:c>
      <x:c r="F1825" t="str">
        <x:v>https://www.webonary.org/marubo/gcaebaa65-7758-4ef7-b954-3a5a2c8b12b2/</x:v>
      </x:c>
      <x:c r="G1825" s="20" t="n">
        <x:v>46003.9349546875</x:v>
      </x:c>
    </x:row>
    <x:row r="1826">
      <x:c r="A1826" t="str">
        <x:v>ponta dos pés</x:v>
      </x:c>
      <x:c r="B1826" t="str">
        <x:v>nashtíiná ; nachtíiná</x:v>
      </x:c>
      <x:c r="C1826" t="str">
        <x:v>p</x:v>
      </x:c>
      <x:c r="D1826" t="str">
        <x:v>gbad7ed14-dc5e-4940-b534-0d30d4b3baf7</x:v>
      </x:c>
      <x:c r="E1826" t="str">
        <x:v>g8180ead0-bb8c-4b02-809b-aa0fdb41c1c0</x:v>
      </x:c>
      <x:c r="F1826" t="str">
        <x:v>https://www.webonary.org/marubo/g8180ead0-bb8c-4b02-809b-aa0fdb41c1c0/</x:v>
      </x:c>
      <x:c r="G1826" s="20" t="n">
        <x:v>46003.9349546875</x:v>
      </x:c>
    </x:row>
    <x:row r="1827">
      <x:c r="A1827" t="str">
        <x:v>ponte</x:v>
      </x:c>
      <x:c r="B1827" t="str">
        <x:v>paiti</x:v>
      </x:c>
      <x:c r="C1827" t="str">
        <x:v>p</x:v>
      </x:c>
      <x:c r="D1827" t="str">
        <x:v>g73022225-0d2c-4e01-8488-5d9f4c69f07a</x:v>
      </x:c>
      <x:c r="E1827" t="str">
        <x:v>gdab1b724-4dfb-48c0-96c3-0cdefb7bd758</x:v>
      </x:c>
      <x:c r="F1827" t="str">
        <x:v>https://www.webonary.org/marubo/gdab1b724-4dfb-48c0-96c3-0cdefb7bd758/</x:v>
      </x:c>
      <x:c r="G1827" s="20" t="n">
        <x:v>46003.9349546875</x:v>
      </x:c>
    </x:row>
    <x:row r="1828">
      <x:c r="A1828" t="str">
        <x:v>ponto de caibro</x:v>
      </x:c>
      <x:c r="B1828" t="str">
        <x:v>txitáshe</x:v>
      </x:c>
      <x:c r="C1828" t="str">
        <x:v>p</x:v>
      </x:c>
      <x:c r="D1828" t="str">
        <x:v>gb2636312-4a04-4edb-a842-e71d5fa3e7d9</x:v>
      </x:c>
      <x:c r="E1828" t="str">
        <x:v>g03b09655-d7df-4884-9efc-add64a46d9cc</x:v>
      </x:c>
      <x:c r="F1828" t="str">
        <x:v>https://www.webonary.org/marubo/g03b09655-d7df-4884-9efc-add64a46d9cc/</x:v>
      </x:c>
      <x:c r="G1828" s="20" t="n">
        <x:v>46003.9349546875</x:v>
      </x:c>
    </x:row>
    <x:row r="1829">
      <x:c r="A1829" t="str">
        <x:v>pontudo</x:v>
      </x:c>
      <x:c r="B1829" t="str">
        <x:v>kenoka</x:v>
      </x:c>
      <x:c r="C1829" t="str">
        <x:v>p</x:v>
      </x:c>
      <x:c r="D1829" t="str">
        <x:v>g94860ff1-94aa-4117-bb12-621e24a36cff</x:v>
      </x:c>
      <x:c r="E1829" t="str">
        <x:v>g00191842-a656-4577-9dbc-88b2a64da96d</x:v>
      </x:c>
      <x:c r="F1829" t="str">
        <x:v>https://www.webonary.org/marubo/g00191842-a656-4577-9dbc-88b2a64da96d/</x:v>
      </x:c>
      <x:c r="G1829" s="20" t="n">
        <x:v>46003.9349546875</x:v>
      </x:c>
    </x:row>
    <x:row r="1830">
      <x:c r="A1830" t="str">
        <x:v>popa de canoa</x:v>
      </x:c>
      <x:c r="B1830" t="str">
        <x:v>tsisõ</x:v>
      </x:c>
      <x:c r="C1830" t="str">
        <x:v>p</x:v>
      </x:c>
      <x:c r="D1830" t="str">
        <x:v>g732bd071-6215-4e8c-aeac-ccbc49229922</x:v>
      </x:c>
      <x:c r="E1830" t="str">
        <x:v>g2b524e03-277d-43d3-8242-2767194798e6</x:v>
      </x:c>
      <x:c r="F1830" t="str">
        <x:v>https://www.webonary.org/marubo/g2b524e03-277d-43d3-8242-2767194798e6/</x:v>
      </x:c>
      <x:c r="G1830" s="20" t="n">
        <x:v>46003.9349546875</x:v>
      </x:c>
    </x:row>
    <x:row r="1831">
      <x:c r="A1831" t="str">
        <x:v>por em pé</x:v>
      </x:c>
      <x:c r="B1831" t="str">
        <x:v>nitxĩa</x:v>
      </x:c>
      <x:c r="C1831" t="str">
        <x:v>p</x:v>
      </x:c>
      <x:c r="D1831" t="str">
        <x:v>g2fbf070f-836c-4048-b761-99d3019ce145</x:v>
      </x:c>
      <x:c r="E1831" t="str">
        <x:v>ga238d9f3-fd9a-4147-a675-c321ecfe8b15</x:v>
      </x:c>
      <x:c r="F1831" t="str">
        <x:v>https://www.webonary.org/marubo/ga238d9f3-fd9a-4147-a675-c321ecfe8b15/</x:v>
      </x:c>
      <x:c r="G1831" s="20" t="n">
        <x:v>46003.9349546875</x:v>
      </x:c>
    </x:row>
    <x:row r="1832">
      <x:c r="A1832" t="str">
        <x:v>por remédio</x:v>
      </x:c>
      <x:c r="B1832" t="str">
        <x:v>raõa</x:v>
      </x:c>
      <x:c r="C1832" t="str">
        <x:v>p</x:v>
      </x:c>
      <x:c r="D1832" t="str">
        <x:v>gcf02472e-55c5-4706-8641-b69369f1c90b</x:v>
      </x:c>
      <x:c r="E1832" t="str">
        <x:v>gdaf39324-ff1b-4b58-9578-ae0f3c5fa5f4</x:v>
      </x:c>
      <x:c r="F1832" t="str">
        <x:v>https://www.webonary.org/marubo/gdaf39324-ff1b-4b58-9578-ae0f3c5fa5f4/</x:v>
      </x:c>
      <x:c r="G1832" s="20" t="n">
        <x:v>46003.9349546875</x:v>
      </x:c>
    </x:row>
    <x:row r="1833">
      <x:c r="A1833" t="str">
        <x:v>por sentado</x:v>
      </x:c>
      <x:c r="B1833" t="str">
        <x:v>tsaõa</x:v>
      </x:c>
      <x:c r="C1833" t="str">
        <x:v>p</x:v>
      </x:c>
      <x:c r="D1833" t="str">
        <x:v>g1eb0ddfb-87f2-41de-ad2f-ef50d4017802</x:v>
      </x:c>
      <x:c r="E1833" t="str">
        <x:v>gaa0e337b-d61a-4980-b736-1fe6d4612087</x:v>
      </x:c>
      <x:c r="F1833" t="str">
        <x:v>https://www.webonary.org/marubo/gaa0e337b-d61a-4980-b736-1fe6d4612087/</x:v>
      </x:c>
      <x:c r="G1833" s="20" t="n">
        <x:v>46003.9349546875</x:v>
      </x:c>
    </x:row>
    <x:row r="1834">
      <x:c r="A1834" t="str">
        <x:v>porção</x:v>
      </x:c>
      <x:c r="B1834" t="str">
        <x:v>teshea</x:v>
      </x:c>
      <x:c r="C1834" t="str">
        <x:v>p</x:v>
      </x:c>
      <x:c r="D1834" t="str">
        <x:v>g9b291016-50cb-4e6f-ad9d-27ac463f6ce5</x:v>
      </x:c>
      <x:c r="E1834" t="str">
        <x:v>g1394b541-e043-431d-8379-8ae14bc6eb08</x:v>
      </x:c>
      <x:c r="F1834" t="str">
        <x:v>https://www.webonary.org/marubo/g1394b541-e043-431d-8379-8ae14bc6eb08/</x:v>
      </x:c>
      <x:c r="G1834" s="20" t="n">
        <x:v>46003.9349546875</x:v>
      </x:c>
    </x:row>
    <x:row r="1835">
      <x:c r="A1835" t="str">
        <x:v>porção</x:v>
      </x:c>
      <x:c r="B1835" t="str">
        <x:v>1</x:v>
      </x:c>
      <x:c r="C1835" t="str">
        <x:v>p</x:v>
      </x:c>
      <x:c r="D1835" t="str">
        <x:v>g9b291016-50cb-4e6f-ad9d-27ac463f6ce5</x:v>
      </x:c>
      <x:c r="E1835" t="str">
        <x:v>g1394b541-e043-431d-8379-8ae14bc6eb08</x:v>
      </x:c>
      <x:c r="F1835" t="str">
        <x:v>https://www.webonary.org/marubo/g1394b541-e043-431d-8379-8ae14bc6eb08/</x:v>
      </x:c>
      <x:c r="G1835" s="20" t="n">
        <x:v>46003.9349546875</x:v>
      </x:c>
    </x:row>
    <x:row r="1836">
      <x:c r="A1836" t="str">
        <x:v>porco</x:v>
      </x:c>
      <x:c r="B1836" t="str">
        <x:v>kotxi</x:v>
      </x:c>
      <x:c r="C1836" t="str">
        <x:v>p</x:v>
      </x:c>
      <x:c r="D1836" t="str">
        <x:v>gdd381a7c-e469-44b7-a279-da314bb9760c</x:v>
      </x:c>
      <x:c r="E1836" t="str">
        <x:v>gee20be64-31ab-465d-a620-12261e1fab1a</x:v>
      </x:c>
      <x:c r="F1836" t="str">
        <x:v>https://www.webonary.org/marubo/gee20be64-31ab-465d-a620-12261e1fab1a/</x:v>
      </x:c>
      <x:c r="G1836" s="20" t="n">
        <x:v>46003.9349546875</x:v>
      </x:c>
    </x:row>
    <x:row r="1837">
      <x:c r="A1837" t="str">
        <x:v>porco espinho</x:v>
      </x:c>
      <x:c r="B1837" t="str">
        <x:v>isa</x:v>
      </x:c>
      <x:c r="C1837" t="str">
        <x:v>p</x:v>
      </x:c>
      <x:c r="D1837" t="str">
        <x:v>gd69f18e9-3aa5-462e-ab93-3b86f493c47e</x:v>
      </x:c>
      <x:c r="E1837" t="str">
        <x:v>g0f9d1d86-bcc7-4069-86c9-3c7ffae4b30e</x:v>
      </x:c>
      <x:c r="F1837" t="str">
        <x:v>https://www.webonary.org/marubo/g0f9d1d86-bcc7-4069-86c9-3c7ffae4b30e/</x:v>
      </x:c>
      <x:c r="G1837" s="20" t="n">
        <x:v>46003.9349546875</x:v>
      </x:c>
    </x:row>
    <x:row r="1838">
      <x:c r="A1838" t="str">
        <x:v>porta</x:v>
      </x:c>
      <x:c r="B1838" t="str">
        <x:v>kepoti</x:v>
      </x:c>
      <x:c r="C1838" t="str">
        <x:v>p</x:v>
      </x:c>
      <x:c r="D1838" t="str">
        <x:v>g63e59877-cf3e-4bc1-8b58-0fb2d3d77641</x:v>
      </x:c>
      <x:c r="E1838" t="str">
        <x:v>g0fa1da93-a438-46ba-8dad-75f555df75d0</x:v>
      </x:c>
      <x:c r="F1838" t="str">
        <x:v>https://www.webonary.org/marubo/g0fa1da93-a438-46ba-8dad-75f555df75d0/</x:v>
      </x:c>
      <x:c r="G1838" s="20" t="n">
        <x:v>46003.9349546875</x:v>
      </x:c>
    </x:row>
    <x:row r="1839">
      <x:c r="A1839" t="str">
        <x:v>positivo</x:v>
      </x:c>
      <x:c r="B1839" t="str">
        <x:v>aase</x:v>
      </x:c>
      <x:c r="C1839" t="str">
        <x:v>p</x:v>
      </x:c>
      <x:c r="D1839" t="str">
        <x:v>g55fff997-c4e5-44ad-9eb6-3b3296a03512</x:v>
      </x:c>
      <x:c r="E1839" t="str">
        <x:v>g86cf4a32-67e7-4d6d-a09c-b1a0d6556471</x:v>
      </x:c>
      <x:c r="F1839" t="str">
        <x:v>https://www.webonary.org/marubo/g86cf4a32-67e7-4d6d-a09c-b1a0d6556471/</x:v>
      </x:c>
      <x:c r="G1839" s="20" t="n">
        <x:v>46003.9349546875</x:v>
      </x:c>
    </x:row>
    <x:row r="1840">
      <x:c r="A1840" t="str">
        <x:v>POSS</x:v>
      </x:c>
      <x:c r="B1840" t="str">
        <x:v>-ramẽ</x:v>
      </x:c>
      <x:c r="C1840" t="str">
        <x:v>p</x:v>
      </x:c>
      <x:c r="D1840" t="str">
        <x:v>g08099418-9463-48b8-9dbb-0686e348de87</x:v>
      </x:c>
      <x:c r="E1840" t="str">
        <x:v>g2ac380fc-04d2-4327-b468-318330684674</x:v>
      </x:c>
      <x:c r="F1840" t="str">
        <x:v>https://www.webonary.org/marubo/g2ac380fc-04d2-4327-b468-318330684674/</x:v>
      </x:c>
      <x:c r="G1840" s="20" t="n">
        <x:v>46003.9349546875</x:v>
      </x:c>
    </x:row>
    <x:row r="1841">
      <x:c r="A1841" t="str">
        <x:v>POSS</x:v>
      </x:c>
      <x:c r="B1841" t="str">
        <x:v>-̃</x:v>
      </x:c>
      <x:c r="C1841" t="str">
        <x:v>p</x:v>
      </x:c>
      <x:c r="D1841" t="str">
        <x:v>g08099418-9463-48b8-9dbb-0686e348de87</x:v>
      </x:c>
      <x:c r="E1841" t="str">
        <x:v>gb775cd20-8590-4d0d-983c-d021e7903bcf</x:v>
      </x:c>
      <x:c r="F1841" t="str">
        <x:v>https://www.webonary.org/marubo/gb775cd20-8590-4d0d-983c-d021e7903bcf/</x:v>
      </x:c>
      <x:c r="G1841" s="20" t="n">
        <x:v>46003.9349546875</x:v>
      </x:c>
    </x:row>
    <x:row r="1842">
      <x:c r="A1842" t="str">
        <x:v>POSS</x:v>
      </x:c>
      <x:c r="B1842" t="str">
        <x:v>3</x:v>
      </x:c>
      <x:c r="C1842" t="str">
        <x:v>p</x:v>
      </x:c>
      <x:c r="D1842" t="str">
        <x:v>g08099418-9463-48b8-9dbb-0686e348de87</x:v>
      </x:c>
      <x:c r="E1842" t="str">
        <x:v>gb775cd20-8590-4d0d-983c-d021e7903bcf</x:v>
      </x:c>
      <x:c r="F1842" t="str">
        <x:v>https://www.webonary.org/marubo/gb775cd20-8590-4d0d-983c-d021e7903bcf/</x:v>
      </x:c>
      <x:c r="G1842" s="20" t="n">
        <x:v>46003.9349546875</x:v>
      </x:c>
    </x:row>
    <x:row r="1843">
      <x:c r="A1843" t="str">
        <x:v>postes centrais da maloca</x:v>
      </x:c>
      <x:c r="B1843" t="str">
        <x:v>kayari natĩ</x:v>
      </x:c>
      <x:c r="C1843" t="str">
        <x:v>p</x:v>
      </x:c>
      <x:c r="D1843" t="str">
        <x:v>g2699961b-73b0-4152-90ff-4a183522c238</x:v>
      </x:c>
      <x:c r="E1843" t="str">
        <x:v>g82eac1c6-761a-4cae-b58c-1e087dd9aeac</x:v>
      </x:c>
      <x:c r="F1843" t="str">
        <x:v>https://www.webonary.org/marubo/g82eac1c6-761a-4cae-b58c-1e087dd9aeac/</x:v>
      </x:c>
      <x:c r="G1843" s="20" t="n">
        <x:v>46003.9349546875</x:v>
      </x:c>
    </x:row>
    <x:row r="1844">
      <x:c r="A1844" t="str">
        <x:v>postes perto da beira da maloca</x:v>
      </x:c>
      <x:c r="B1844" t="str">
        <x:v>txivi tavá natĩ</x:v>
      </x:c>
      <x:c r="C1844" t="str">
        <x:v>p</x:v>
      </x:c>
      <x:c r="D1844" t="str">
        <x:v>gd6914cb1-7aaf-4c4c-aa2c-80f1150816c1</x:v>
      </x:c>
      <x:c r="E1844" t="str">
        <x:v>gf8e2eae2-5f73-47c6-b1fe-d49d6451d973</x:v>
      </x:c>
      <x:c r="F1844" t="str">
        <x:v>https://www.webonary.org/marubo/gf8e2eae2-5f73-47c6-b1fe-d49d6451d973/</x:v>
      </x:c>
      <x:c r="G1844" s="20" t="n">
        <x:v>46003.9349546875</x:v>
      </x:c>
    </x:row>
    <x:row r="1845">
      <x:c r="A1845" t="str">
        <x:v>postes perto da porta</x:v>
      </x:c>
      <x:c r="B1845" t="str">
        <x:v>koiti</x:v>
      </x:c>
      <x:c r="C1845" t="str">
        <x:v>p</x:v>
      </x:c>
      <x:c r="D1845" t="str">
        <x:v>g6290781e-dfcd-4e53-8939-10fcf280fa36</x:v>
      </x:c>
      <x:c r="E1845" t="str">
        <x:v>g5bdd287f-c7d8-447f-9b85-6620c589c7ad</x:v>
      </x:c>
      <x:c r="F1845" t="str">
        <x:v>https://www.webonary.org/marubo/g5bdd287f-c7d8-447f-9b85-6620c589c7ad/</x:v>
      </x:c>
      <x:c r="G1845" s="20" t="n">
        <x:v>46003.9349546875</x:v>
      </x:c>
    </x:row>
    <x:row r="1846">
      <x:c r="A1846" t="str">
        <x:v>pote de barro pequeno para tomar ayhuasca</x:v>
      </x:c>
      <x:c r="B1846" t="str">
        <x:v>kẽpo</x:v>
      </x:c>
      <x:c r="C1846" t="str">
        <x:v>p</x:v>
      </x:c>
      <x:c r="D1846" t="str">
        <x:v>g5aa4bd3f-3882-4303-aa4b-39643857dfbc</x:v>
      </x:c>
      <x:c r="E1846" t="str">
        <x:v>g806ce139-034f-4c66-8fb5-ca0454949eaa</x:v>
      </x:c>
      <x:c r="F1846" t="str">
        <x:v>https://www.webonary.org/marubo/g806ce139-034f-4c66-8fb5-ca0454949eaa/</x:v>
      </x:c>
      <x:c r="G1846" s="20" t="n">
        <x:v>46003.9349546875</x:v>
      </x:c>
    </x:row>
    <x:row r="1847">
      <x:c r="A1847" t="str">
        <x:v>pouco</x:v>
      </x:c>
      <x:c r="B1847" t="str">
        <x:v>veshpaka</x:v>
      </x:c>
      <x:c r="C1847" t="str">
        <x:v>p</x:v>
      </x:c>
      <x:c r="D1847" t="str">
        <x:v>g7d90a963-de58-4ae7-913f-3dc53ee880e3</x:v>
      </x:c>
      <x:c r="E1847" t="str">
        <x:v>ge7e4ef01-0af0-487a-b76b-a8b9605e6d50</x:v>
      </x:c>
      <x:c r="F1847" t="str">
        <x:v>https://www.webonary.org/marubo/ge7e4ef01-0af0-487a-b76b-a8b9605e6d50/</x:v>
      </x:c>
      <x:c r="G1847" s="20" t="n">
        <x:v>46003.9349546875</x:v>
      </x:c>
    </x:row>
    <x:row r="1848">
      <x:c r="A1848" t="str">
        <x:v>praia</x:v>
      </x:c>
      <x:c r="B1848" t="str">
        <x:v>machi</x:v>
      </x:c>
      <x:c r="C1848" t="str">
        <x:v>p</x:v>
      </x:c>
      <x:c r="D1848" t="str">
        <x:v>gf1f68333-20a6-407a-8c18-df0859a33399</x:v>
      </x:c>
      <x:c r="E1848" t="str">
        <x:v>g268cb2f3-254d-4ea3-8c6a-b0d11c85ec48</x:v>
      </x:c>
      <x:c r="F1848" t="str">
        <x:v>https://www.webonary.org/marubo/g268cb2f3-254d-4ea3-8c6a-b0d11c85ec48/</x:v>
      </x:c>
      <x:c r="G1848" s="20" t="n">
        <x:v>46003.9349546875</x:v>
      </x:c>
    </x:row>
    <x:row r="1849">
      <x:c r="A1849" t="str">
        <x:v>prato</x:v>
      </x:c>
      <x:c r="B1849" t="str">
        <x:v>kẽtxasapa</x:v>
      </x:c>
      <x:c r="C1849" t="str">
        <x:v>p</x:v>
      </x:c>
      <x:c r="D1849" t="str">
        <x:v>gdee38a0f-b931-4809-9b32-e574c39f63ae</x:v>
      </x:c>
      <x:c r="E1849" t="str">
        <x:v>g33f7d76d-1146-4568-ac33-2bbf349032e6</x:v>
      </x:c>
      <x:c r="F1849" t="str">
        <x:v>https://www.webonary.org/marubo/g33f7d76d-1146-4568-ac33-2bbf349032e6/</x:v>
      </x:c>
      <x:c r="G1849" s="20" t="n">
        <x:v>46003.9349546875</x:v>
      </x:c>
    </x:row>
    <x:row r="1850">
      <x:c r="A1850" t="str">
        <x:v>precisar</x:v>
      </x:c>
      <x:c r="B1850" t="str">
        <x:v>mãa</x:v>
      </x:c>
      <x:c r="C1850" t="str">
        <x:v>p</x:v>
      </x:c>
      <x:c r="D1850" t="str">
        <x:v>g8a4ed4ad-2a5c-447e-89f8-f0651e69a8d7</x:v>
      </x:c>
      <x:c r="E1850" t="str">
        <x:v>g287eadf7-5d6b-4627-84cd-b3fe428d449d</x:v>
      </x:c>
      <x:c r="F1850" t="str">
        <x:v>https://www.webonary.org/marubo/g287eadf7-5d6b-4627-84cd-b3fe428d449d/</x:v>
      </x:c>
      <x:c r="G1850" s="20" t="n">
        <x:v>46003.9349546875</x:v>
      </x:c>
    </x:row>
    <x:row r="1851">
      <x:c r="A1851" t="str">
        <x:v>prego</x:v>
      </x:c>
      <x:c r="B1851" t="str">
        <x:v>ravo</x:v>
      </x:c>
      <x:c r="C1851" t="str">
        <x:v>p</x:v>
      </x:c>
      <x:c r="D1851" t="str">
        <x:v>gf063faba-7e58-4150-854b-bd9073fe9472</x:v>
      </x:c>
      <x:c r="E1851" t="str">
        <x:v>g1c0e9260-1f35-49d6-b972-a670a3610653</x:v>
      </x:c>
      <x:c r="F1851" t="str">
        <x:v>https://www.webonary.org/marubo/g1c0e9260-1f35-49d6-b972-a670a3610653/</x:v>
      </x:c>
      <x:c r="G1851" s="20" t="n">
        <x:v>46003.9349546875</x:v>
      </x:c>
    </x:row>
    <x:row r="1852">
      <x:c r="A1852" t="str">
        <x:v>preguiça pequena</x:v>
      </x:c>
      <x:c r="B1852" t="str">
        <x:v>põsẽ naĩ</x:v>
      </x:c>
      <x:c r="C1852" t="str">
        <x:v>p</x:v>
      </x:c>
      <x:c r="D1852" t="str">
        <x:v>g7f0b0414-42f2-4e9a-aa06-f6f2da18eb65</x:v>
      </x:c>
      <x:c r="E1852" t="str">
        <x:v>g03160bce-bc76-4982-b926-1a09bde2fe14</x:v>
      </x:c>
      <x:c r="F1852" t="str">
        <x:v>https://www.webonary.org/marubo/g03160bce-bc76-4982-b926-1a09bde2fe14/</x:v>
      </x:c>
      <x:c r="G1852" s="20" t="n">
        <x:v>46003.9349546875</x:v>
      </x:c>
    </x:row>
    <x:row r="1853">
      <x:c r="A1853" t="str">
        <x:v>prender</x:v>
      </x:c>
      <x:c r="B1853" t="str">
        <x:v>atxia</x:v>
      </x:c>
      <x:c r="C1853" t="str">
        <x:v>p</x:v>
      </x:c>
      <x:c r="D1853" t="str">
        <x:v>g936bbeee-e111-4b58-87c0-c1a6e55bec43</x:v>
      </x:c>
      <x:c r="E1853" t="str">
        <x:v>g682e9319-386b-471f-bf50-d94d262da39a</x:v>
      </x:c>
      <x:c r="F1853" t="str">
        <x:v>https://www.webonary.org/marubo/g682e9319-386b-471f-bf50-d94d262da39a/</x:v>
      </x:c>
      <x:c r="G1853" s="20" t="n">
        <x:v>46003.93496210648</x:v>
      </x:c>
    </x:row>
    <x:row r="1854">
      <x:c r="A1854" t="str">
        <x:v>preocupar</x:v>
      </x:c>
      <x:c r="B1854" t="str">
        <x:v>tsaká</x:v>
      </x:c>
      <x:c r="C1854" t="str">
        <x:v>p</x:v>
      </x:c>
      <x:c r="D1854" t="str">
        <x:v>ga193be7f-2708-4d46-8701-f3b191879252</x:v>
      </x:c>
      <x:c r="E1854" t="str">
        <x:v>gd9f4a37e-7ceb-4805-bd3d-de905b86b5d1</x:v>
      </x:c>
      <x:c r="F1854" t="str">
        <x:v>https://www.webonary.org/marubo/gd9f4a37e-7ceb-4805-bd3d-de905b86b5d1/</x:v>
      </x:c>
      <x:c r="G1854" s="20" t="n">
        <x:v>46003.93496210648</x:v>
      </x:c>
    </x:row>
    <x:row r="1855">
      <x:c r="A1855" t="str">
        <x:v>preparar comida</x:v>
      </x:c>
      <x:c r="B1855" t="str">
        <x:v>piti aká</x:v>
      </x:c>
      <x:c r="C1855" t="str">
        <x:v>p</x:v>
      </x:c>
      <x:c r="D1855" t="str">
        <x:v>g8fb0a7dc-26f1-4a79-810b-a975fd8ebadf</x:v>
      </x:c>
      <x:c r="E1855" t="str">
        <x:v>gff1a9b29-26ed-4c93-9a65-ad6b714d540f</x:v>
      </x:c>
      <x:c r="F1855" t="str">
        <x:v>https://www.webonary.org/marubo/gff1a9b29-26ed-4c93-9a65-ad6b714d540f/</x:v>
      </x:c>
      <x:c r="G1855" s="20" t="n">
        <x:v>46003.93496210648</x:v>
      </x:c>
    </x:row>
    <x:row r="1856">
      <x:c r="A1856" t="str">
        <x:v>pressionar</x:v>
      </x:c>
      <x:c r="B1856" t="str">
        <x:v>masta pakéa</x:v>
      </x:c>
      <x:c r="C1856" t="str">
        <x:v>p</x:v>
      </x:c>
      <x:c r="D1856" t="str">
        <x:v>g328e9f8a-0e69-4152-8998-c3f78bddc882</x:v>
      </x:c>
      <x:c r="E1856" t="str">
        <x:v>g723d353b-63fc-4c27-8998-935b5d1d3781</x:v>
      </x:c>
      <x:c r="F1856" t="str">
        <x:v>https://www.webonary.org/marubo/g723d353b-63fc-4c27-8998-935b5d1d3781/</x:v>
      </x:c>
      <x:c r="G1856" s="20" t="n">
        <x:v>46003.93496210648</x:v>
      </x:c>
    </x:row>
    <x:row r="1857">
      <x:c r="A1857" t="str">
        <x:v>preto</x:v>
      </x:c>
      <x:c r="B1857" t="str">
        <x:v>txeshe</x:v>
      </x:c>
      <x:c r="C1857" t="str">
        <x:v>p</x:v>
      </x:c>
      <x:c r="D1857" t="str">
        <x:v>gf8860e3e-baa2-4e3d-af25-2df1a1df655f</x:v>
      </x:c>
      <x:c r="E1857" t="str">
        <x:v>g869a694f-6b78-4915-aaed-3208a98f58e7</x:v>
      </x:c>
      <x:c r="F1857" t="str">
        <x:v>https://www.webonary.org/marubo/g869a694f-6b78-4915-aaed-3208a98f58e7/</x:v>
      </x:c>
      <x:c r="G1857" s="20" t="n">
        <x:v>46003.93496210648</x:v>
      </x:c>
    </x:row>
    <x:row r="1858">
      <x:c r="A1858" t="str">
        <x:v>preto</x:v>
      </x:c>
      <x:c r="B1858" t="str">
        <x:v>isoka</x:v>
      </x:c>
      <x:c r="C1858" t="str">
        <x:v>p</x:v>
      </x:c>
      <x:c r="D1858" t="str">
        <x:v>gf8860e3e-baa2-4e3d-af25-2df1a1df655f</x:v>
      </x:c>
      <x:c r="E1858" t="str">
        <x:v>gbe8f0f6d-9f2a-413a-9690-094fc005d52e</x:v>
      </x:c>
      <x:c r="F1858" t="str">
        <x:v>https://www.webonary.org/marubo/gbe8f0f6d-9f2a-413a-9690-094fc005d52e/</x:v>
      </x:c>
      <x:c r="G1858" s="20" t="n">
        <x:v>46003.93496210648</x:v>
      </x:c>
    </x:row>
    <x:row r="1859">
      <x:c r="A1859" t="str">
        <x:v>preventitivo</x:v>
      </x:c>
      <x:c r="B1859" t="str">
        <x:v>-misi</x:v>
      </x:c>
      <x:c r="C1859" t="str">
        <x:v>p</x:v>
      </x:c>
      <x:c r="D1859" t="str">
        <x:v>ga329975e-c193-4ad5-8843-e771dc33af5f</x:v>
      </x:c>
      <x:c r="E1859" t="str">
        <x:v>g97857fbc-eeb5-4ec5-9ca7-c05b735d4b53</x:v>
      </x:c>
      <x:c r="F1859" t="str">
        <x:v>https://www.webonary.org/marubo/g97857fbc-eeb5-4ec5-9ca7-c05b735d4b53/</x:v>
      </x:c>
      <x:c r="G1859" s="20" t="n">
        <x:v>46003.93496210648</x:v>
      </x:c>
    </x:row>
    <x:row r="1860">
      <x:c r="A1860" t="str">
        <x:v>prima cruzada</x:v>
      </x:c>
      <x:c r="B1860" t="str">
        <x:v>tsave</x:v>
      </x:c>
      <x:c r="C1860" t="str">
        <x:v>p</x:v>
      </x:c>
      <x:c r="D1860" t="str">
        <x:v>gc4daf830-7450-4bf0-b95f-9212fb869fc0</x:v>
      </x:c>
      <x:c r="E1860" t="str">
        <x:v>gebb601f5-47b1-45ac-a639-14fb337ae0ce</x:v>
      </x:c>
      <x:c r="F1860" t="str">
        <x:v>https://www.webonary.org/marubo/gebb601f5-47b1-45ac-a639-14fb337ae0ce/</x:v>
      </x:c>
      <x:c r="G1860" s="20" t="n">
        <x:v>46003.93496210648</x:v>
      </x:c>
    </x:row>
    <x:row r="1861">
      <x:c r="A1861" t="str">
        <x:v>prima cruzada</x:v>
      </x:c>
      <x:c r="B1861" t="str">
        <x:v>pano</x:v>
      </x:c>
      <x:c r="C1861" t="str">
        <x:v>p</x:v>
      </x:c>
      <x:c r="D1861" t="str">
        <x:v>gc4daf830-7450-4bf0-b95f-9212fb869fc0</x:v>
      </x:c>
      <x:c r="E1861" t="str">
        <x:v>g4f3141df-3dcb-43f0-8937-1f3367623867</x:v>
      </x:c>
      <x:c r="F1861" t="str">
        <x:v>https://www.webonary.org/marubo/g4f3141df-3dcb-43f0-8937-1f3367623867/</x:v>
      </x:c>
      <x:c r="G1861" s="20" t="n">
        <x:v>46003.93496210648</x:v>
      </x:c>
    </x:row>
    <x:row r="1862">
      <x:c r="A1862" t="str">
        <x:v>primeiro</x:v>
      </x:c>
      <x:c r="B1862" t="str">
        <x:v>parí</x:v>
      </x:c>
      <x:c r="C1862" t="str">
        <x:v>p</x:v>
      </x:c>
      <x:c r="D1862" t="str">
        <x:v>g575a77e9-0d41-481b-a30d-4d6bb8d9ca27</x:v>
      </x:c>
      <x:c r="E1862" t="str">
        <x:v>g57ca16a9-ac5b-4644-ae1a-64d639fdfe0d</x:v>
      </x:c>
      <x:c r="F1862" t="str">
        <x:v>https://www.webonary.org/marubo/g57ca16a9-ac5b-4644-ae1a-64d639fdfe0d/</x:v>
      </x:c>
      <x:c r="G1862" s="20" t="n">
        <x:v>46003.93496210648</x:v>
      </x:c>
    </x:row>
    <x:row r="1863">
      <x:c r="A1863" t="str">
        <x:v>primeiro filho</x:v>
      </x:c>
      <x:c r="B1863" t="str">
        <x:v>revĩ</x:v>
      </x:c>
      <x:c r="C1863" t="str">
        <x:v>p</x:v>
      </x:c>
      <x:c r="D1863" t="str">
        <x:v>g29524aff-1f88-4cce-93fd-d1505b9e980a</x:v>
      </x:c>
      <x:c r="E1863" t="str">
        <x:v>g10ecdc53-f120-42c2-9d9c-4d3eeb745bca</x:v>
      </x:c>
      <x:c r="F1863" t="str">
        <x:v>https://www.webonary.org/marubo/g10ecdc53-f120-42c2-9d9c-4d3eeb745bca/</x:v>
      </x:c>
      <x:c r="G1863" s="20" t="n">
        <x:v>46003.93496210648</x:v>
      </x:c>
    </x:row>
    <x:row r="1864">
      <x:c r="A1864" t="str">
        <x:v>primo cruzado</x:v>
      </x:c>
      <x:c r="B1864" t="str">
        <x:v>txai</x:v>
      </x:c>
      <x:c r="C1864" t="str">
        <x:v>p</x:v>
      </x:c>
      <x:c r="D1864" t="str">
        <x:v>g736550e5-5340-4f74-b2c3-b0ab25be8204</x:v>
      </x:c>
      <x:c r="E1864" t="str">
        <x:v>g3dae912d-52d9-4961-8add-bcbbbdb161e9</x:v>
      </x:c>
      <x:c r="F1864" t="str">
        <x:v>https://www.webonary.org/marubo/g3dae912d-52d9-4961-8add-bcbbbdb161e9/</x:v>
      </x:c>
      <x:c r="G1864" s="20" t="n">
        <x:v>46003.93496210648</x:v>
      </x:c>
    </x:row>
    <x:row r="1865">
      <x:c r="A1865" t="str">
        <x:v>problema de falar</x:v>
      </x:c>
      <x:c r="B1865" t="str">
        <x:v>ãcho</x:v>
      </x:c>
      <x:c r="C1865" t="str">
        <x:v>p</x:v>
      </x:c>
      <x:c r="D1865" t="str">
        <x:v>gf4b4d546-a3de-440c-99b2-5a493bc5a3cb</x:v>
      </x:c>
      <x:c r="E1865" t="str">
        <x:v>g1a68a48f-20a5-4b3c-9fc7-ad593c903b0a</x:v>
      </x:c>
      <x:c r="F1865" t="str">
        <x:v>https://www.webonary.org/marubo/g1a68a48f-20a5-4b3c-9fc7-ad593c903b0a/</x:v>
      </x:c>
      <x:c r="G1865" s="20" t="n">
        <x:v>46003.93496210648</x:v>
      </x:c>
    </x:row>
    <x:row r="1866">
      <x:c r="A1866" t="str">
        <x:v>problema de falar</x:v>
      </x:c>
      <x:c r="B1866" t="str">
        <x:v>1</x:v>
      </x:c>
      <x:c r="C1866" t="str">
        <x:v>p</x:v>
      </x:c>
      <x:c r="D1866" t="str">
        <x:v>gf4b4d546-a3de-440c-99b2-5a493bc5a3cb</x:v>
      </x:c>
      <x:c r="E1866" t="str">
        <x:v>g1a68a48f-20a5-4b3c-9fc7-ad593c903b0a</x:v>
      </x:c>
      <x:c r="F1866" t="str">
        <x:v>https://www.webonary.org/marubo/g1a68a48f-20a5-4b3c-9fc7-ad593c903b0a/</x:v>
      </x:c>
      <x:c r="G1866" s="20" t="n">
        <x:v>46003.93496210648</x:v>
      </x:c>
    </x:row>
    <x:row r="1867">
      <x:c r="A1867" t="str">
        <x:v>procurar</x:v>
      </x:c>
      <x:c r="B1867" t="str">
        <x:v>itima</x:v>
      </x:c>
      <x:c r="C1867" t="str">
        <x:v>p</x:v>
      </x:c>
      <x:c r="D1867" t="str">
        <x:v>g27a1d410-c5bd-4bc6-8ad8-f1a58ad3633a</x:v>
      </x:c>
      <x:c r="E1867" t="str">
        <x:v>g898dba6c-3d59-48ed-abda-7c11f2ce292c</x:v>
      </x:c>
      <x:c r="F1867" t="str">
        <x:v>https://www.webonary.org/marubo/g898dba6c-3d59-48ed-abda-7c11f2ce292c/</x:v>
      </x:c>
      <x:c r="G1867" s="20" t="n">
        <x:v>46003.93496210648</x:v>
      </x:c>
    </x:row>
    <x:row r="1868">
      <x:c r="A1868" t="str">
        <x:v>procurar mulheres</x:v>
      </x:c>
      <x:c r="B1868" t="str">
        <x:v>sota méa</x:v>
      </x:c>
      <x:c r="C1868" t="str">
        <x:v>p</x:v>
      </x:c>
      <x:c r="D1868" t="str">
        <x:v>gb8f84fa9-9dee-4bec-badd-8809db7c1291</x:v>
      </x:c>
      <x:c r="E1868" t="str">
        <x:v>g8a20cc71-0bb8-47e0-8e86-44d856cfde2f</x:v>
      </x:c>
      <x:c r="F1868" t="str">
        <x:v>https://www.webonary.org/marubo/g8a20cc71-0bb8-47e0-8e86-44d856cfde2f/</x:v>
      </x:c>
      <x:c r="G1868" s="20" t="n">
        <x:v>46003.93496210648</x:v>
      </x:c>
    </x:row>
    <x:row r="1869">
      <x:c r="A1869" t="str">
        <x:v>professor</x:v>
      </x:c>
      <x:c r="B1869" t="str">
        <x:v>wichá tanámaya</x:v>
      </x:c>
      <x:c r="C1869" t="str">
        <x:v>p</x:v>
      </x:c>
      <x:c r="D1869" t="str">
        <x:v>g9eda9081-1119-42e8-a6ba-bfc5b47b2f00</x:v>
      </x:c>
      <x:c r="E1869" t="str">
        <x:v>g1e813502-6d21-44f9-9205-db61fd3f845c</x:v>
      </x:c>
      <x:c r="F1869" t="str">
        <x:v>https://www.webonary.org/marubo/g1e813502-6d21-44f9-9205-db61fd3f845c/</x:v>
      </x:c>
      <x:c r="G1869" s="20" t="n">
        <x:v>46003.93496210648</x:v>
      </x:c>
    </x:row>
    <x:row r="1870">
      <x:c r="A1870" t="str">
        <x:v>PROIB</x:v>
      </x:c>
      <x:c r="B1870" t="str">
        <x:v>-roa</x:v>
      </x:c>
      <x:c r="C1870" t="str">
        <x:v>p</x:v>
      </x:c>
      <x:c r="D1870" t="str">
        <x:v>gad6a5525-8470-4b9d-a71c-ffe68eb825b3</x:v>
      </x:c>
      <x:c r="E1870" t="str">
        <x:v>g7a028b27-072e-42ad-bf0f-bfd944c2ee72</x:v>
      </x:c>
      <x:c r="F1870" t="str">
        <x:v>https://www.webonary.org/marubo/g7a028b27-072e-42ad-bf0f-bfd944c2ee72/</x:v>
      </x:c>
      <x:c r="G1870" s="20" t="n">
        <x:v>46003.93496210648</x:v>
      </x:c>
    </x:row>
    <x:row r="1871">
      <x:c r="A1871" t="str">
        <x:v>provar</x:v>
      </x:c>
      <x:c r="B1871" t="str">
        <x:v>taná</x:v>
      </x:c>
      <x:c r="C1871" t="str">
        <x:v>p</x:v>
      </x:c>
      <x:c r="D1871" t="str">
        <x:v>gc5dcec7e-1a00-4d34-9e13-586c990b6f46</x:v>
      </x:c>
      <x:c r="E1871" t="str">
        <x:v>gd8650d83-a6ee-46b4-b3e9-db02cdd8e6ea</x:v>
      </x:c>
      <x:c r="F1871" t="str">
        <x:v>https://www.webonary.org/marubo/gd8650d83-a6ee-46b4-b3e9-db02cdd8e6ea/</x:v>
      </x:c>
      <x:c r="G1871" s="20" t="n">
        <x:v>46003.93496210648</x:v>
      </x:c>
    </x:row>
    <x:row r="1872">
      <x:c r="A1872" t="str">
        <x:v>provar</x:v>
      </x:c>
      <x:c r="B1872" t="str">
        <x:v>siroa</x:v>
      </x:c>
      <x:c r="C1872" t="str">
        <x:v>p</x:v>
      </x:c>
      <x:c r="D1872" t="str">
        <x:v>gc5dcec7e-1a00-4d34-9e13-586c990b6f46</x:v>
      </x:c>
      <x:c r="E1872" t="str">
        <x:v>g234240bb-4e56-4051-9f67-f598f77ab426</x:v>
      </x:c>
      <x:c r="F1872" t="str">
        <x:v>https://www.webonary.org/marubo/g234240bb-4e56-4051-9f67-f598f77ab426/</x:v>
      </x:c>
      <x:c r="G1872" s="20" t="n">
        <x:v>46003.93496210648</x:v>
      </x:c>
    </x:row>
    <x:row r="1873">
      <x:c r="A1873" t="str">
        <x:v>provavelmente</x:v>
      </x:c>
      <x:c r="B1873" t="str">
        <x:v>vesóka</x:v>
      </x:c>
      <x:c r="C1873" t="str">
        <x:v>p</x:v>
      </x:c>
      <x:c r="D1873" t="str">
        <x:v>gb24c7d1c-cf56-4129-874f-7a5400abab9a</x:v>
      </x:c>
      <x:c r="E1873" t="str">
        <x:v>g731d5aef-967e-48e0-a4a9-759d8fa8fb7d</x:v>
      </x:c>
      <x:c r="F1873" t="str">
        <x:v>https://www.webonary.org/marubo/g731d5aef-967e-48e0-a4a9-759d8fa8fb7d/</x:v>
      </x:c>
      <x:c r="G1873" s="20" t="n">
        <x:v>46003.93496210648</x:v>
      </x:c>
    </x:row>
    <x:row r="1874">
      <x:c r="A1874" t="str">
        <x:v>PROX</x:v>
      </x:c>
      <x:c r="B1874" t="str">
        <x:v>ne</x:v>
      </x:c>
      <x:c r="C1874" t="str">
        <x:v>p</x:v>
      </x:c>
      <x:c r="D1874" t="str">
        <x:v>g2cf0a036-0542-4906-b7eb-725ce85a01c3</x:v>
      </x:c>
      <x:c r="E1874" t="str">
        <x:v>g14538c3d-48a8-4dc7-baca-18d838ef3f6b</x:v>
      </x:c>
      <x:c r="F1874" t="str">
        <x:v>https://www.webonary.org/marubo/g14538c3d-48a8-4dc7-baca-18d838ef3f6b/</x:v>
      </x:c>
      <x:c r="G1874" s="20" t="n">
        <x:v>46003.93496210648</x:v>
      </x:c>
    </x:row>
    <x:row r="1875">
      <x:c r="A1875" t="str">
        <x:v>pular</x:v>
      </x:c>
      <x:c r="B1875" t="str">
        <x:v>machít aká</x:v>
      </x:c>
      <x:c r="C1875" t="str">
        <x:v>p</x:v>
      </x:c>
      <x:c r="D1875" t="str">
        <x:v>gfb2b8f1b-cf2c-44ec-9b1c-0bad28c5cbb3</x:v>
      </x:c>
      <x:c r="E1875" t="str">
        <x:v>g74ad8a3f-b377-480c-a9cc-88518e0b1fa2</x:v>
      </x:c>
      <x:c r="F1875" t="str">
        <x:v>https://www.webonary.org/marubo/g74ad8a3f-b377-480c-a9cc-88518e0b1fa2/</x:v>
      </x:c>
      <x:c r="G1875" s="20" t="n">
        <x:v>46003.93496210648</x:v>
      </x:c>
    </x:row>
    <x:row r="1876">
      <x:c r="A1876" t="str">
        <x:v>pular</x:v>
      </x:c>
      <x:c r="B1876" t="str">
        <x:v>nika</x:v>
      </x:c>
      <x:c r="C1876" t="str">
        <x:v>p</x:v>
      </x:c>
      <x:c r="D1876" t="str">
        <x:v>gfb2b8f1b-cf2c-44ec-9b1c-0bad28c5cbb3</x:v>
      </x:c>
      <x:c r="E1876" t="str">
        <x:v>g3cb8602f-2482-4292-bfb6-a68cdaf4e4d4</x:v>
      </x:c>
      <x:c r="F1876" t="str">
        <x:v>https://www.webonary.org/marubo/g3cb8602f-2482-4292-bfb6-a68cdaf4e4d4/</x:v>
      </x:c>
      <x:c r="G1876" s="20" t="n">
        <x:v>46003.93496210648</x:v>
      </x:c>
    </x:row>
    <x:row r="1877">
      <x:c r="A1877" t="str">
        <x:v>pular de uma arvore para outro</x:v>
      </x:c>
      <x:c r="B1877" t="str">
        <x:v>vonea</x:v>
      </x:c>
      <x:c r="C1877" t="str">
        <x:v>p</x:v>
      </x:c>
      <x:c r="D1877" t="str">
        <x:v>ge48f3533-1821-4bf4-8f05-c0a58c822bb5</x:v>
      </x:c>
      <x:c r="E1877" t="str">
        <x:v>g5aec7bbe-e609-4f67-b616-15978da6f004</x:v>
      </x:c>
      <x:c r="F1877" t="str">
        <x:v>https://www.webonary.org/marubo/g5aec7bbe-e609-4f67-b616-15978da6f004/</x:v>
      </x:c>
      <x:c r="G1877" s="20" t="n">
        <x:v>46003.93496210648</x:v>
      </x:c>
    </x:row>
    <x:row r="1878">
      <x:c r="A1878" t="str">
        <x:v>pular em cima</x:v>
      </x:c>
      <x:c r="B1878" t="str">
        <x:v>votse ipá</x:v>
      </x:c>
      <x:c r="C1878" t="str">
        <x:v>p</x:v>
      </x:c>
      <x:c r="D1878" t="str">
        <x:v>g4e546b5e-f767-4160-9709-6edbf79f0d44</x:v>
      </x:c>
      <x:c r="E1878" t="str">
        <x:v>g990bda94-ebef-4468-92a9-85f13c17a3fa</x:v>
      </x:c>
      <x:c r="F1878" t="str">
        <x:v>https://www.webonary.org/marubo/g990bda94-ebef-4468-92a9-85f13c17a3fa/</x:v>
      </x:c>
      <x:c r="G1878" s="20" t="n">
        <x:v>46003.93496210648</x:v>
      </x:c>
    </x:row>
    <x:row r="1879">
      <x:c r="A1879" t="str">
        <x:v>pular por cima (como peixe)</x:v>
      </x:c>
      <x:c r="B1879" t="str">
        <x:v>tsiáse iná</x:v>
      </x:c>
      <x:c r="C1879" t="str">
        <x:v>p</x:v>
      </x:c>
      <x:c r="D1879" t="str">
        <x:v>g5a105d52-fb99-40c1-8755-e25ec54e1bf7</x:v>
      </x:c>
      <x:c r="E1879" t="str">
        <x:v>g94ef6633-6e74-430d-b397-b3a66b7ec8ae</x:v>
      </x:c>
      <x:c r="F1879" t="str">
        <x:v>https://www.webonary.org/marubo/g94ef6633-6e74-430d-b397-b3a66b7ec8ae/</x:v>
      </x:c>
      <x:c r="G1879" s="20" t="n">
        <x:v>46003.93496210648</x:v>
      </x:c>
    </x:row>
    <x:row r="1880">
      <x:c r="A1880" t="str">
        <x:v>pulga</x:v>
      </x:c>
      <x:c r="B1880" t="str">
        <x:v>kaya</x:v>
      </x:c>
      <x:c r="C1880" t="str">
        <x:v>p</x:v>
      </x:c>
      <x:c r="D1880" t="str">
        <x:v>g623fc046-8180-43d5-bfd9-68b2dbbe2129</x:v>
      </x:c>
      <x:c r="E1880" t="str">
        <x:v>ga27346be-b8b3-46e0-87e1-d17aae4c88b3</x:v>
      </x:c>
      <x:c r="F1880" t="str">
        <x:v>https://www.webonary.org/marubo/ga27346be-b8b3-46e0-87e1-d17aae4c88b3/</x:v>
      </x:c>
      <x:c r="G1880" s="20" t="n">
        <x:v>46003.93496210648</x:v>
      </x:c>
    </x:row>
    <x:row r="1881">
      <x:c r="A1881" t="str">
        <x:v>pulmão</x:v>
      </x:c>
      <x:c r="B1881" t="str">
        <x:v>tãshã́</x:v>
      </x:c>
      <x:c r="C1881" t="str">
        <x:v>p</x:v>
      </x:c>
      <x:c r="D1881" t="str">
        <x:v>g3736f3cf-1e6d-4351-8c1c-10cbff9ea3c0</x:v>
      </x:c>
      <x:c r="E1881" t="str">
        <x:v>g2745ec38-0f0f-42c8-afac-04564f9bae09</x:v>
      </x:c>
      <x:c r="F1881" t="str">
        <x:v>https://www.webonary.org/marubo/g2745ec38-0f0f-42c8-afac-04564f9bae09/</x:v>
      </x:c>
      <x:c r="G1881" s="20" t="n">
        <x:v>46003.93496210648</x:v>
      </x:c>
    </x:row>
    <x:row r="1882">
      <x:c r="A1882" t="str">
        <x:v>pulseira</x:v>
      </x:c>
      <x:c r="B1882" t="str">
        <x:v>meneshti</x:v>
      </x:c>
      <x:c r="C1882" t="str">
        <x:v>p</x:v>
      </x:c>
      <x:c r="D1882" t="str">
        <x:v>g055930dd-a61a-46bc-bed4-819b7d2da529</x:v>
      </x:c>
      <x:c r="E1882" t="str">
        <x:v>gb2371d7b-68a7-4349-b43c-b7f0fd5f2311</x:v>
      </x:c>
      <x:c r="F1882" t="str">
        <x:v>https://www.webonary.org/marubo/gb2371d7b-68a7-4349-b43c-b7f0fd5f2311/</x:v>
      </x:c>
      <x:c r="G1882" s="20" t="n">
        <x:v>46003.93496210648</x:v>
      </x:c>
    </x:row>
    <x:row r="1883">
      <x:c r="A1883" t="str">
        <x:v>pulso</x:v>
      </x:c>
      <x:c r="B1883" t="str">
        <x:v>meroshko</x:v>
      </x:c>
      <x:c r="C1883" t="str">
        <x:v>p</x:v>
      </x:c>
      <x:c r="D1883" t="str">
        <x:v>g7d004977-a447-49d2-968e-80d3d57b07a7</x:v>
      </x:c>
      <x:c r="E1883" t="str">
        <x:v>g4ae36b22-6269-483e-ba7c-19a887cd5736</x:v>
      </x:c>
      <x:c r="F1883" t="str">
        <x:v>https://www.webonary.org/marubo/g4ae36b22-6269-483e-ba7c-19a887cd5736/</x:v>
      </x:c>
      <x:c r="G1883" s="20" t="n">
        <x:v>46003.93496210648</x:v>
      </x:c>
    </x:row>
    <x:row r="1884">
      <x:c r="A1884" t="str">
        <x:v>punho de clasa</x:v>
      </x:c>
      <x:c r="B1884" t="str">
        <x:v>keshtóa</x:v>
      </x:c>
      <x:c r="C1884" t="str">
        <x:v>p</x:v>
      </x:c>
      <x:c r="D1884" t="str">
        <x:v>gf05fe471-e9af-4ef7-a86a-fa2953a02b87</x:v>
      </x:c>
      <x:c r="E1884" t="str">
        <x:v>g85992857-b867-4a42-a02c-91f6bc424aa3</x:v>
      </x:c>
      <x:c r="F1884" t="str">
        <x:v>https://www.webonary.org/marubo/g85992857-b867-4a42-a02c-91f6bc424aa3/</x:v>
      </x:c>
      <x:c r="G1884" s="20" t="n">
        <x:v>46003.93496210648</x:v>
      </x:c>
    </x:row>
    <x:row r="1885">
      <x:c r="A1885" t="str">
        <x:v>pupunha</x:v>
      </x:c>
      <x:c r="B1885" t="str">
        <x:v>wanĩ</x:v>
      </x:c>
      <x:c r="C1885" t="str">
        <x:v>p</x:v>
      </x:c>
      <x:c r="D1885" t="str">
        <x:v>g9e4cf2e7-97c8-4ba0-a0a0-707701e6dc02</x:v>
      </x:c>
      <x:c r="E1885" t="str">
        <x:v>g87bbb33e-96a1-417c-aa68-6e0c33b4ba03</x:v>
      </x:c>
      <x:c r="F1885" t="str">
        <x:v>https://www.webonary.org/marubo/g87bbb33e-96a1-417c-aa68-6e0c33b4ba03/</x:v>
      </x:c>
      <x:c r="G1885" s="20" t="n">
        <x:v>46003.93496210648</x:v>
      </x:c>
    </x:row>
    <x:row r="1886">
      <x:c r="A1886" t="str">
        <x:v>pupunha drink</x:v>
      </x:c>
      <x:c r="B1886" t="str">
        <x:v>wanĩ waka</x:v>
      </x:c>
      <x:c r="C1886" t="str">
        <x:v>p</x:v>
      </x:c>
      <x:c r="D1886" t="str">
        <x:v>gea17a64d-c34a-4a16-bf88-50717309286a</x:v>
      </x:c>
      <x:c r="E1886" t="str">
        <x:v>gde12b571-f265-46a3-90f8-516a5207f6fe</x:v>
      </x:c>
      <x:c r="F1886" t="str">
        <x:v>https://www.webonary.org/marubo/gde12b571-f265-46a3-90f8-516a5207f6fe/</x:v>
      </x:c>
      <x:c r="G1886" s="20" t="n">
        <x:v>46003.93496210648</x:v>
      </x:c>
    </x:row>
    <x:row r="1887">
      <x:c r="A1887" t="str">
        <x:v>pupunha verde</x:v>
      </x:c>
      <x:c r="B1887" t="str">
        <x:v>evo</x:v>
      </x:c>
      <x:c r="C1887" t="str">
        <x:v>p</x:v>
      </x:c>
      <x:c r="D1887" t="str">
        <x:v>g68fa394b-a37e-48a4-8fff-0f95f4a259b0</x:v>
      </x:c>
      <x:c r="E1887" t="str">
        <x:v>g80006f95-1d0e-482f-8e5e-dfffe15cbca5</x:v>
      </x:c>
      <x:c r="F1887" t="str">
        <x:v>https://www.webonary.org/marubo/g80006f95-1d0e-482f-8e5e-dfffe15cbca5/</x:v>
      </x:c>
      <x:c r="G1887" s="20" t="n">
        <x:v>46003.93496210648</x:v>
      </x:c>
    </x:row>
    <x:row r="1888">
      <x:c r="A1888" t="str">
        <x:v>pupunha verde</x:v>
      </x:c>
      <x:c r="B1888" t="str">
        <x:v>2</x:v>
      </x:c>
      <x:c r="C1888" t="str">
        <x:v>p</x:v>
      </x:c>
      <x:c r="D1888" t="str">
        <x:v>g68fa394b-a37e-48a4-8fff-0f95f4a259b0</x:v>
      </x:c>
      <x:c r="E1888" t="str">
        <x:v>g80006f95-1d0e-482f-8e5e-dfffe15cbca5</x:v>
      </x:c>
      <x:c r="F1888" t="str">
        <x:v>https://www.webonary.org/marubo/g80006f95-1d0e-482f-8e5e-dfffe15cbca5/</x:v>
      </x:c>
      <x:c r="G1888" s="20" t="n">
        <x:v>46003.93496210648</x:v>
      </x:c>
    </x:row>
    <x:row r="1889">
      <x:c r="A1889" t="str">
        <x:v>puraque</x:v>
      </x:c>
      <x:c r="B1889" t="str">
        <x:v>koni</x:v>
      </x:c>
      <x:c r="C1889" t="str">
        <x:v>p</x:v>
      </x:c>
      <x:c r="D1889" t="str">
        <x:v>gabebdf5e-d545-48cd-86ce-cf63534f22f7</x:v>
      </x:c>
      <x:c r="E1889" t="str">
        <x:v>g1b3d322f-ca38-46a3-8b27-4462794abf8a</x:v>
      </x:c>
      <x:c r="F1889" t="str">
        <x:v>https://www.webonary.org/marubo/g1b3d322f-ca38-46a3-8b27-4462794abf8a/</x:v>
      </x:c>
      <x:c r="G1889" s="20" t="n">
        <x:v>46003.93496210648</x:v>
      </x:c>
    </x:row>
    <x:row r="1890">
      <x:c r="A1890" t="str">
        <x:v>puxar</x:v>
      </x:c>
      <x:c r="B1890" t="str">
        <x:v>sherevarã</x:v>
      </x:c>
      <x:c r="C1890" t="str">
        <x:v>p</x:v>
      </x:c>
      <x:c r="D1890" t="str">
        <x:v>gdd54b932-25d2-4f77-a416-cc85985d2e61</x:v>
      </x:c>
      <x:c r="E1890" t="str">
        <x:v>g77cc3153-cf1c-49d6-a025-c2ac0d94a485</x:v>
      </x:c>
      <x:c r="F1890" t="str">
        <x:v>https://www.webonary.org/marubo/g77cc3153-cf1c-49d6-a025-c2ac0d94a485/</x:v>
      </x:c>
      <x:c r="G1890" s="20" t="n">
        <x:v>46003.93496210648</x:v>
      </x:c>
    </x:row>
    <x:row r="1891">
      <x:c r="A1891" t="str">
        <x:v>puxar (cipó)</x:v>
      </x:c>
      <x:c r="B1891" t="str">
        <x:v>tesa</x:v>
      </x:c>
      <x:c r="C1891" t="str">
        <x:v>p</x:v>
      </x:c>
      <x:c r="D1891" t="str">
        <x:v>gd065d067-af42-4035-a0dc-55ab90f45bbb</x:v>
      </x:c>
      <x:c r="E1891" t="str">
        <x:v>g69a7ff08-a069-4df9-ac7f-fedbb479bebb</x:v>
      </x:c>
      <x:c r="F1891" t="str">
        <x:v>https://www.webonary.org/marubo/g69a7ff08-a069-4df9-ac7f-fedbb479bebb/</x:v>
      </x:c>
      <x:c r="G1891" s="20" t="n">
        <x:v>46003.93496210648</x:v>
      </x:c>
    </x:row>
    <x:row r="1892">
      <x:c r="A1892" t="str">
        <x:v>puxar buriti</x:v>
      </x:c>
      <x:c r="B1892" t="str">
        <x:v>teréa</x:v>
      </x:c>
      <x:c r="C1892" t="str">
        <x:v>p</x:v>
      </x:c>
      <x:c r="D1892" t="str">
        <x:v>g944e19dd-0611-4e6b-88b1-edc09361ee98</x:v>
      </x:c>
      <x:c r="E1892" t="str">
        <x:v>g3f91a5eb-b94d-4558-b214-3026e882697b</x:v>
      </x:c>
      <x:c r="F1892" t="str">
        <x:v>https://www.webonary.org/marubo/g3f91a5eb-b94d-4558-b214-3026e882697b/</x:v>
      </x:c>
      <x:c r="G1892" s="20" t="n">
        <x:v>46003.93496210648</x:v>
      </x:c>
    </x:row>
    <x:row r="1893">
      <x:c r="A1893" t="str">
        <x:v>puxar do alto</x:v>
      </x:c>
      <x:c r="B1893" t="str">
        <x:v>rashkoa</x:v>
      </x:c>
      <x:c r="C1893" t="str">
        <x:v>p</x:v>
      </x:c>
      <x:c r="D1893" t="str">
        <x:v>gade461d0-ffb7-418e-b2dd-39a37d8f01e7</x:v>
      </x:c>
      <x:c r="E1893" t="str">
        <x:v>g3e452485-f992-4239-a5c5-5f34d0241153</x:v>
      </x:c>
      <x:c r="F1893" t="str">
        <x:v>https://www.webonary.org/marubo/g3e452485-f992-4239-a5c5-5f34d0241153/</x:v>
      </x:c>
      <x:c r="G1893" s="20" t="n">
        <x:v>46003.93496210648</x:v>
      </x:c>
    </x:row>
    <x:row r="1894">
      <x:c r="A1894" t="str">
        <x:v>puxar linha</x:v>
      </x:c>
      <x:c r="B1894" t="str">
        <x:v>tẽẽ aká</x:v>
      </x:c>
      <x:c r="C1894" t="str">
        <x:v>p</x:v>
      </x:c>
      <x:c r="D1894" t="str">
        <x:v>gb42c105d-09d5-4231-8554-7efa8c423bb9</x:v>
      </x:c>
      <x:c r="E1894" t="str">
        <x:v>g6ae0ea03-953d-4c0a-9bb0-4c2d11dd68b8</x:v>
      </x:c>
      <x:c r="F1894" t="str">
        <x:v>https://www.webonary.org/marubo/g6ae0ea03-953d-4c0a-9bb0-4c2d11dd68b8/</x:v>
      </x:c>
      <x:c r="G1894" s="20" t="n">
        <x:v>46003.93496210648</x:v>
      </x:c>
    </x:row>
    <x:row r="1895">
      <x:c r="A1895" t="str">
        <x:v>quadrado</x:v>
      </x:c>
      <x:c r="B1895" t="str">
        <x:v>tsãteka</x:v>
      </x:c>
      <x:c r="C1895" t="str">
        <x:v>q</x:v>
      </x:c>
      <x:c r="D1895" t="str">
        <x:v>g4e74ccf3-c4da-4065-a6e9-99dc1c21af74</x:v>
      </x:c>
      <x:c r="E1895" t="str">
        <x:v>gc783edb7-5c6b-4180-bc12-fad4760a4e69</x:v>
      </x:c>
      <x:c r="F1895" t="str">
        <x:v>https://www.webonary.org/marubo/gc783edb7-5c6b-4180-bc12-fad4760a4e69/</x:v>
      </x:c>
      <x:c r="G1895" s="20" t="n">
        <x:v>46003.93496210648</x:v>
      </x:c>
    </x:row>
    <x:row r="1896">
      <x:c r="A1896" t="str">
        <x:v>QUAL</x:v>
      </x:c>
      <x:c r="B1896" t="str">
        <x:v>-ya</x:v>
      </x:c>
      <x:c r="C1896" t="str">
        <x:v>q</x:v>
      </x:c>
      <x:c r="D1896" t="str">
        <x:v>g1c156dc3-2eed-42c6-8f36-b16ccee4a71e</x:v>
      </x:c>
      <x:c r="E1896" t="str">
        <x:v>g3f51d6a3-d029-4292-ad51-cc9d880393b6</x:v>
      </x:c>
      <x:c r="F1896" t="str">
        <x:v>https://www.webonary.org/marubo/g3f51d6a3-d029-4292-ad51-cc9d880393b6/</x:v>
      </x:c>
      <x:c r="G1896" s="20" t="n">
        <x:v>46003.93496210648</x:v>
      </x:c>
    </x:row>
    <x:row r="1897">
      <x:c r="A1897" t="str">
        <x:v>QUAL</x:v>
      </x:c>
      <x:c r="B1897" t="str">
        <x:v>2</x:v>
      </x:c>
      <x:c r="C1897" t="str">
        <x:v>q</x:v>
      </x:c>
      <x:c r="D1897" t="str">
        <x:v>g1c156dc3-2eed-42c6-8f36-b16ccee4a71e</x:v>
      </x:c>
      <x:c r="E1897" t="str">
        <x:v>g3f51d6a3-d029-4292-ad51-cc9d880393b6</x:v>
      </x:c>
      <x:c r="F1897" t="str">
        <x:v>https://www.webonary.org/marubo/g3f51d6a3-d029-4292-ad51-cc9d880393b6/</x:v>
      </x:c>
      <x:c r="G1897" s="20" t="n">
        <x:v>46003.93496210648</x:v>
      </x:c>
    </x:row>
    <x:row r="1898">
      <x:c r="A1898" t="str">
        <x:v>qualidade de</x:v>
      </x:c>
      <x:c r="B1898" t="str">
        <x:v>-yaõka</x:v>
      </x:c>
      <x:c r="C1898" t="str">
        <x:v>q</x:v>
      </x:c>
      <x:c r="D1898" t="str">
        <x:v>g1ae60ac4-441d-4182-9bbb-b8e463875df1</x:v>
      </x:c>
      <x:c r="E1898" t="str">
        <x:v>g39b84f2b-a034-4cf2-9427-a4a751f39706</x:v>
      </x:c>
      <x:c r="F1898" t="str">
        <x:v>https://www.webonary.org/marubo/g39b84f2b-a034-4cf2-9427-a4a751f39706/</x:v>
      </x:c>
      <x:c r="G1898" s="20" t="n">
        <x:v>46003.93496210648</x:v>
      </x:c>
    </x:row>
    <x:row r="1899">
      <x:c r="A1899" t="str">
        <x:v>qualquer parte perigosa (que pode morrer) do corpo</x:v>
      </x:c>
      <x:c r="B1899" t="str">
        <x:v>tenãsti</x:v>
      </x:c>
      <x:c r="C1899" t="str">
        <x:v>q</x:v>
      </x:c>
      <x:c r="D1899" t="str">
        <x:v>gfe5a076c-43ae-4c5f-8ab4-08eb3f4d8f74</x:v>
      </x:c>
      <x:c r="E1899" t="str">
        <x:v>g243648fa-561d-45bd-b987-70513a9f52b2</x:v>
      </x:c>
      <x:c r="F1899" t="str">
        <x:v>https://www.webonary.org/marubo/g243648fa-561d-45bd-b987-70513a9f52b2/</x:v>
      </x:c>
      <x:c r="G1899" s="20" t="n">
        <x:v>46003.93496210648</x:v>
      </x:c>
    </x:row>
    <x:row r="1900">
      <x:c r="A1900" t="str">
        <x:v>quando</x:v>
      </x:c>
      <x:c r="B1900" t="str">
        <x:v>awetiã</x:v>
      </x:c>
      <x:c r="C1900" t="str">
        <x:v>q</x:v>
      </x:c>
      <x:c r="D1900" t="str">
        <x:v>gf0220419-df00-4ee6-aa8c-daf285932539</x:v>
      </x:c>
      <x:c r="E1900" t="str">
        <x:v>gcf2603c9-8341-443b-9268-130054b85fd6</x:v>
      </x:c>
      <x:c r="F1900" t="str">
        <x:v>https://www.webonary.org/marubo/gcf2603c9-8341-443b-9268-130054b85fd6/</x:v>
      </x:c>
      <x:c r="G1900" s="20" t="n">
        <x:v>46003.93496210648</x:v>
      </x:c>
    </x:row>
    <x:row r="1901">
      <x:c r="A1901" t="str">
        <x:v>quando água entra no ouvido</x:v>
      </x:c>
      <x:c r="B1901" t="str">
        <x:v>pakosh méa</x:v>
      </x:c>
      <x:c r="C1901" t="str">
        <x:v>q</x:v>
      </x:c>
      <x:c r="D1901" t="str">
        <x:v>g11d464e7-cf2c-46c3-a9df-a03c0af980bf</x:v>
      </x:c>
      <x:c r="E1901" t="str">
        <x:v>ge508966c-7a91-4a4c-a9a9-437b9c6f185a</x:v>
      </x:c>
      <x:c r="F1901" t="str">
        <x:v>https://www.webonary.org/marubo/ge508966c-7a91-4a4c-a9a9-437b9c6f185a/</x:v>
      </x:c>
      <x:c r="G1901" s="20" t="n">
        <x:v>46003.93496210648</x:v>
      </x:c>
    </x:row>
    <x:row r="1902">
      <x:c r="A1902" t="str">
        <x:v>quando entra algo nos olhos</x:v>
      </x:c>
      <x:c r="B1902" t="str">
        <x:v>vero ikí</x:v>
      </x:c>
      <x:c r="C1902" t="str">
        <x:v>q</x:v>
      </x:c>
      <x:c r="D1902" t="str">
        <x:v>g2938e93b-efa0-4071-85ef-fff32621d39d</x:v>
      </x:c>
      <x:c r="E1902" t="str">
        <x:v>g1689b563-2b29-413e-8be5-75f41327b8a6</x:v>
      </x:c>
      <x:c r="F1902" t="str">
        <x:v>https://www.webonary.org/marubo/g1689b563-2b29-413e-8be5-75f41327b8a6/</x:v>
      </x:c>
      <x:c r="G1902" s="20" t="n">
        <x:v>46003.93496210648</x:v>
      </x:c>
    </x:row>
    <x:row r="1903">
      <x:c r="A1903" t="str">
        <x:v>quando o corpo mexe</x:v>
      </x:c>
      <x:c r="B1903" t="str">
        <x:v>oto oto ikí</x:v>
      </x:c>
      <x:c r="C1903" t="str">
        <x:v>q</x:v>
      </x:c>
      <x:c r="D1903" t="str">
        <x:v>g3d3bb8cb-c030-4ca4-aff9-7583e67aeae5</x:v>
      </x:c>
      <x:c r="E1903" t="str">
        <x:v>g49f3bdc9-d1c1-4764-a128-2aae178907c9</x:v>
      </x:c>
      <x:c r="F1903" t="str">
        <x:v>https://www.webonary.org/marubo/g49f3bdc9-d1c1-4764-a128-2aae178907c9/</x:v>
      </x:c>
      <x:c r="G1903" s="20" t="n">
        <x:v>46003.93496210648</x:v>
      </x:c>
    </x:row>
    <x:row r="1904">
      <x:c r="A1904" t="str">
        <x:v>quando queima o rosto</x:v>
      </x:c>
      <x:c r="B1904" t="str">
        <x:v>vesó ikí</x:v>
      </x:c>
      <x:c r="C1904" t="str">
        <x:v>q</x:v>
      </x:c>
      <x:c r="D1904" t="str">
        <x:v>g73acd8a7-669d-4b65-93b2-4a80a3378279</x:v>
      </x:c>
      <x:c r="E1904" t="str">
        <x:v>g7b046b5d-8a53-4f13-ab34-1b6b51fedf9b</x:v>
      </x:c>
      <x:c r="F1904" t="str">
        <x:v>https://www.webonary.org/marubo/g7b046b5d-8a53-4f13-ab34-1b6b51fedf9b/</x:v>
      </x:c>
      <x:c r="G1904" s="20" t="n">
        <x:v>46003.93496210648</x:v>
      </x:c>
    </x:row>
    <x:row r="1905">
      <x:c r="A1905" t="str">
        <x:v>quando uma árvore cai sozinho</x:v>
      </x:c>
      <x:c r="B1905" t="str">
        <x:v>tsivose ikí</x:v>
      </x:c>
      <x:c r="C1905" t="str">
        <x:v>q</x:v>
      </x:c>
      <x:c r="D1905" t="str">
        <x:v>gd69394f5-3ff3-403c-9ccd-955376e037ba</x:v>
      </x:c>
      <x:c r="E1905" t="str">
        <x:v>gc0ecfb4b-4639-4438-9c57-aedea5bea520</x:v>
      </x:c>
      <x:c r="F1905" t="str">
        <x:v>https://www.webonary.org/marubo/gc0ecfb4b-4639-4438-9c57-aedea5bea520/</x:v>
      </x:c>
      <x:c r="G1905" s="20" t="n">
        <x:v>46003.93496210648</x:v>
      </x:c>
    </x:row>
    <x:row r="1906">
      <x:c r="A1906" t="str">
        <x:v>quando uma coisa cai da palha</x:v>
      </x:c>
      <x:c r="B1906" t="str">
        <x:v>pesine mea</x:v>
      </x:c>
      <x:c r="C1906" t="str">
        <x:v>q</x:v>
      </x:c>
      <x:c r="D1906" t="str">
        <x:v>g890cac72-2385-430f-8c0f-bc82e8b206d8</x:v>
      </x:c>
      <x:c r="E1906" t="str">
        <x:v>g6d35eabb-4324-40d0-986d-fe077bebe205</x:v>
      </x:c>
      <x:c r="F1906" t="str">
        <x:v>https://www.webonary.org/marubo/g6d35eabb-4324-40d0-986d-fe077bebe205/</x:v>
      </x:c>
      <x:c r="G1906" s="20" t="n">
        <x:v>46003.93496210648</x:v>
      </x:c>
    </x:row>
    <x:row r="1907">
      <x:c r="A1907" t="str">
        <x:v>quando uma pessoa escapa a maloca pela palha</x:v>
      </x:c>
      <x:c r="B1907" t="str">
        <x:v>pesine mea</x:v>
      </x:c>
      <x:c r="C1907" t="str">
        <x:v>q</x:v>
      </x:c>
      <x:c r="D1907" t="str">
        <x:v>g80853463-8bb6-422c-b5a9-f7408d2a658a</x:v>
      </x:c>
      <x:c r="E1907" t="str">
        <x:v>g6d35eabb-4324-40d0-986d-fe077bebe205</x:v>
      </x:c>
      <x:c r="F1907" t="str">
        <x:v>https://www.webonary.org/marubo/g6d35eabb-4324-40d0-986d-fe077bebe205/</x:v>
      </x:c>
      <x:c r="G1907" s="20" t="n">
        <x:v>46003.93496210648</x:v>
      </x:c>
    </x:row>
    <x:row r="1908">
      <x:c r="A1908" t="str">
        <x:v>quantos</x:v>
      </x:c>
      <x:c r="B1908" t="str">
        <x:v>aweti</x:v>
      </x:c>
      <x:c r="C1908" t="str">
        <x:v>q</x:v>
      </x:c>
      <x:c r="D1908" t="str">
        <x:v>g3baeffd0-3d5e-4ddd-85f2-533d0592ce82</x:v>
      </x:c>
      <x:c r="E1908" t="str">
        <x:v>g91cca235-7fd0-416d-b29d-112a783cf0be</x:v>
      </x:c>
      <x:c r="F1908" t="str">
        <x:v>https://www.webonary.org/marubo/g91cca235-7fd0-416d-b29d-112a783cf0be/</x:v>
      </x:c>
      <x:c r="G1908" s="20" t="n">
        <x:v>46003.93496210648</x:v>
      </x:c>
    </x:row>
    <x:row r="1909">
      <x:c r="A1909" t="str">
        <x:v>quarto</x:v>
      </x:c>
      <x:c r="B1909" t="str">
        <x:v>shanẽ</x:v>
      </x:c>
      <x:c r="C1909" t="str">
        <x:v>q</x:v>
      </x:c>
      <x:c r="D1909" t="str">
        <x:v>g9d3bf859-3eed-4854-a364-1a14a765ed3c</x:v>
      </x:c>
      <x:c r="E1909" t="str">
        <x:v>gc629068a-bafd-403e-a9f4-261528871a19</x:v>
      </x:c>
      <x:c r="F1909" t="str">
        <x:v>https://www.webonary.org/marubo/gc629068a-bafd-403e-a9f4-261528871a19/</x:v>
      </x:c>
      <x:c r="G1909" s="20" t="n">
        <x:v>46003.93496210648</x:v>
      </x:c>
    </x:row>
    <x:row r="1910">
      <x:c r="A1910" t="str">
        <x:v>quebrar</x:v>
      </x:c>
      <x:c r="B1910" t="str">
        <x:v>tosha</x:v>
      </x:c>
      <x:c r="C1910" t="str">
        <x:v>q</x:v>
      </x:c>
      <x:c r="D1910" t="str">
        <x:v>g94d6ae5f-f7fc-4e26-aaff-042fd4be22aa</x:v>
      </x:c>
      <x:c r="E1910" t="str">
        <x:v>g961540ea-ede3-4256-9ff6-5671001cce0b</x:v>
      </x:c>
      <x:c r="F1910" t="str">
        <x:v>https://www.webonary.org/marubo/g961540ea-ede3-4256-9ff6-5671001cce0b/</x:v>
      </x:c>
      <x:c r="G1910" s="20" t="n">
        <x:v>46003.934968981484</x:v>
      </x:c>
    </x:row>
    <x:row r="1911">
      <x:c r="A1911" t="str">
        <x:v>quebrar</x:v>
      </x:c>
      <x:c r="B1911" t="str">
        <x:v>tovía</x:v>
      </x:c>
      <x:c r="C1911" t="str">
        <x:v>q</x:v>
      </x:c>
      <x:c r="D1911" t="str">
        <x:v>g94d6ae5f-f7fc-4e26-aaff-042fd4be22aa</x:v>
      </x:c>
      <x:c r="E1911" t="str">
        <x:v>gf321ae16-506a-4712-92b8-89e7d4c43696</x:v>
      </x:c>
      <x:c r="F1911" t="str">
        <x:v>https://www.webonary.org/marubo/gf321ae16-506a-4712-92b8-89e7d4c43696/</x:v>
      </x:c>
      <x:c r="G1911" s="20" t="n">
        <x:v>46003.934968981484</x:v>
      </x:c>
    </x:row>
    <x:row r="1912">
      <x:c r="A1912" t="str">
        <x:v>quebrar (como peça de ferro</x:v>
      </x:c>
      <x:c r="B1912" t="str">
        <x:v>tsã ikí</x:v>
      </x:c>
      <x:c r="C1912" t="str">
        <x:v>q</x:v>
      </x:c>
      <x:c r="D1912" t="str">
        <x:v>gf099fe0e-4833-4630-b394-7706076fea3c</x:v>
      </x:c>
      <x:c r="E1912" t="str">
        <x:v>g1691e615-b395-4145-a407-6647ca5c2ead</x:v>
      </x:c>
      <x:c r="F1912" t="str">
        <x:v>https://www.webonary.org/marubo/g1691e615-b395-4145-a407-6647ca5c2ead/</x:v>
      </x:c>
      <x:c r="G1912" s="20" t="n">
        <x:v>46003.934968981484</x:v>
      </x:c>
    </x:row>
    <x:row r="1913">
      <x:c r="A1913" t="str">
        <x:v>quebrar asa de ave</x:v>
      </x:c>
      <x:c r="B1913" t="str">
        <x:v>pestã aká</x:v>
      </x:c>
      <x:c r="C1913" t="str">
        <x:v>q</x:v>
      </x:c>
      <x:c r="D1913" t="str">
        <x:v>g05bd698a-1136-46c9-89cf-2c00fde931ce</x:v>
      </x:c>
      <x:c r="E1913" t="str">
        <x:v>gdc927657-c49b-4681-becd-0f6531b52615</x:v>
      </x:c>
      <x:c r="F1913" t="str">
        <x:v>https://www.webonary.org/marubo/gdc927657-c49b-4681-becd-0f6531b52615/</x:v>
      </x:c>
      <x:c r="G1913" s="20" t="n">
        <x:v>46003.934968981484</x:v>
      </x:c>
    </x:row>
    <x:row r="1914">
      <x:c r="A1914" t="str">
        <x:v>quebrar cabeça</x:v>
      </x:c>
      <x:c r="B1914" t="str">
        <x:v>tetxásha</x:v>
      </x:c>
      <x:c r="C1914" t="str">
        <x:v>q</x:v>
      </x:c>
      <x:c r="D1914" t="str">
        <x:v>g7b987f8f-9bdb-4bcb-ac73-311a52dd51ce</x:v>
      </x:c>
      <x:c r="E1914" t="str">
        <x:v>g4af6c123-c324-4889-a7cb-e72c016974e5</x:v>
      </x:c>
      <x:c r="F1914" t="str">
        <x:v>https://www.webonary.org/marubo/g4af6c123-c324-4889-a7cb-e72c016974e5/</x:v>
      </x:c>
      <x:c r="G1914" s="20" t="n">
        <x:v>46003.934968981484</x:v>
      </x:c>
    </x:row>
    <x:row r="1915">
      <x:c r="A1915" t="str">
        <x:v>quebrar em muitos pedaços</x:v>
      </x:c>
      <x:c r="B1915" t="str">
        <x:v>rorororóa</x:v>
      </x:c>
      <x:c r="C1915" t="str">
        <x:v>q</x:v>
      </x:c>
      <x:c r="D1915" t="str">
        <x:v>gf99c5888-7798-407a-81d9-bd9ef3c7cba8</x:v>
      </x:c>
      <x:c r="E1915" t="str">
        <x:v>gef79a6f7-88bc-43f5-8652-e8f6b166d654</x:v>
      </x:c>
      <x:c r="F1915" t="str">
        <x:v>https://www.webonary.org/marubo/gef79a6f7-88bc-43f5-8652-e8f6b166d654/</x:v>
      </x:c>
      <x:c r="G1915" s="20" t="n">
        <x:v>46003.934968981484</x:v>
      </x:c>
    </x:row>
    <x:row r="1916">
      <x:c r="A1916" t="str">
        <x:v>quebrar pescoço</x:v>
      </x:c>
      <x:c r="B1916" t="str">
        <x:v>teshtóa</x:v>
      </x:c>
      <x:c r="C1916" t="str">
        <x:v>q</x:v>
      </x:c>
      <x:c r="D1916" t="str">
        <x:v>gcf5d51b9-c54a-4f72-8eea-a80c3d5b7b3a</x:v>
      </x:c>
      <x:c r="E1916" t="str">
        <x:v>gd22f9423-9673-468b-a145-5dfd53958585</x:v>
      </x:c>
      <x:c r="F1916" t="str">
        <x:v>https://www.webonary.org/marubo/gd22f9423-9673-468b-a145-5dfd53958585/</x:v>
      </x:c>
      <x:c r="G1916" s="20" t="n">
        <x:v>46003.934968981484</x:v>
      </x:c>
    </x:row>
    <x:row r="1917">
      <x:c r="A1917" t="str">
        <x:v>queimar</x:v>
      </x:c>
      <x:c r="B1917" t="str">
        <x:v>senã</x:v>
      </x:c>
      <x:c r="C1917" t="str">
        <x:v>q</x:v>
      </x:c>
      <x:c r="D1917" t="str">
        <x:v>gc73bce77-d4f5-43d0-b258-4fdd248deba7</x:v>
      </x:c>
      <x:c r="E1917" t="str">
        <x:v>g6ae86bd7-c73f-475d-972c-6f88d3ec8f8a</x:v>
      </x:c>
      <x:c r="F1917" t="str">
        <x:v>https://www.webonary.org/marubo/g6ae86bd7-c73f-475d-972c-6f88d3ec8f8a/</x:v>
      </x:c>
      <x:c r="G1917" s="20" t="n">
        <x:v>46003.934968981484</x:v>
      </x:c>
    </x:row>
    <x:row r="1918">
      <x:c r="A1918" t="str">
        <x:v>queimar</x:v>
      </x:c>
      <x:c r="B1918" t="str">
        <x:v>koa</x:v>
      </x:c>
      <x:c r="C1918" t="str">
        <x:v>q</x:v>
      </x:c>
      <x:c r="D1918" t="str">
        <x:v>gc73bce77-d4f5-43d0-b258-4fdd248deba7</x:v>
      </x:c>
      <x:c r="E1918" t="str">
        <x:v>gb88f1776-2215-4cbe-91a2-21b67f4e0122</x:v>
      </x:c>
      <x:c r="F1918" t="str">
        <x:v>https://www.webonary.org/marubo/gb88f1776-2215-4cbe-91a2-21b67f4e0122/</x:v>
      </x:c>
      <x:c r="G1918" s="20" t="n">
        <x:v>46003.934968981484</x:v>
      </x:c>
    </x:row>
    <x:row r="1919">
      <x:c r="A1919" t="str">
        <x:v>queimar</x:v>
      </x:c>
      <x:c r="B1919" t="str">
        <x:v>2</x:v>
      </x:c>
      <x:c r="C1919" t="str">
        <x:v>q</x:v>
      </x:c>
      <x:c r="D1919" t="str">
        <x:v>gc73bce77-d4f5-43d0-b258-4fdd248deba7</x:v>
      </x:c>
      <x:c r="E1919" t="str">
        <x:v>gb88f1776-2215-4cbe-91a2-21b67f4e0122</x:v>
      </x:c>
      <x:c r="F1919" t="str">
        <x:v>https://www.webonary.org/marubo/gb88f1776-2215-4cbe-91a2-21b67f4e0122/</x:v>
      </x:c>
      <x:c r="G1919" s="20" t="n">
        <x:v>46003.934968981484</x:v>
      </x:c>
    </x:row>
    <x:row r="1920">
      <x:c r="A1920" t="str">
        <x:v>queimar</x:v>
      </x:c>
      <x:c r="B1920" t="str">
        <x:v>oá aká</x:v>
      </x:c>
      <x:c r="C1920" t="str">
        <x:v>q</x:v>
      </x:c>
      <x:c r="D1920" t="str">
        <x:v>gc73bce77-d4f5-43d0-b258-4fdd248deba7</x:v>
      </x:c>
      <x:c r="E1920" t="str">
        <x:v>g35188511-dab4-4041-84c4-b164a68020ea</x:v>
      </x:c>
      <x:c r="F1920" t="str">
        <x:v>https://www.webonary.org/marubo/g35188511-dab4-4041-84c4-b164a68020ea/</x:v>
      </x:c>
      <x:c r="G1920" s="20" t="n">
        <x:v>46003.934968981484</x:v>
      </x:c>
    </x:row>
    <x:row r="1921">
      <x:c r="A1921" t="str">
        <x:v>queimar panelo de barro</x:v>
      </x:c>
      <x:c r="B1921" t="str">
        <x:v>oia</x:v>
      </x:c>
      <x:c r="C1921" t="str">
        <x:v>q</x:v>
      </x:c>
      <x:c r="D1921" t="str">
        <x:v>g0af240c8-d4f1-4ad3-af11-5addb59421e5</x:v>
      </x:c>
      <x:c r="E1921" t="str">
        <x:v>g78f69b18-b6e6-4afa-99f7-7ef91351d6d5</x:v>
      </x:c>
      <x:c r="F1921" t="str">
        <x:v>https://www.webonary.org/marubo/g78f69b18-b6e6-4afa-99f7-7ef91351d6d5/</x:v>
      </x:c>
      <x:c r="G1921" s="20" t="n">
        <x:v>46003.934968981484</x:v>
      </x:c>
    </x:row>
    <x:row r="1922">
      <x:c r="A1922" t="str">
        <x:v>queimar pelo de macaco</x:v>
      </x:c>
      <x:c r="B1922" t="str">
        <x:v>soo aká</x:v>
      </x:c>
      <x:c r="C1922" t="str">
        <x:v>q</x:v>
      </x:c>
      <x:c r="D1922" t="str">
        <x:v>gba0d032e-2b6c-46e7-903a-98fa9d0860f5</x:v>
      </x:c>
      <x:c r="E1922" t="str">
        <x:v>gd9ca358b-684f-4b53-9020-5a01aadd9e54</x:v>
      </x:c>
      <x:c r="F1922" t="str">
        <x:v>https://www.webonary.org/marubo/gd9ca358b-684f-4b53-9020-5a01aadd9e54/</x:v>
      </x:c>
      <x:c r="G1922" s="20" t="n">
        <x:v>46003.934968981484</x:v>
      </x:c>
    </x:row>
    <x:row r="1923">
      <x:c r="A1923" t="str">
        <x:v>queixada</x:v>
      </x:c>
      <x:c r="B1923" t="str">
        <x:v>yawa</x:v>
      </x:c>
      <x:c r="C1923" t="str">
        <x:v>q</x:v>
      </x:c>
      <x:c r="D1923" t="str">
        <x:v>ge94404d9-e0e4-4fbb-af27-acdb564c4d6c</x:v>
      </x:c>
      <x:c r="E1923" t="str">
        <x:v>g72ddf70b-df59-4f25-824b-43ac1c4b07a0</x:v>
      </x:c>
      <x:c r="F1923" t="str">
        <x:v>https://www.webonary.org/marubo/g72ddf70b-df59-4f25-824b-43ac1c4b07a0/</x:v>
      </x:c>
      <x:c r="G1923" s="20" t="n">
        <x:v>46003.934968981484</x:v>
      </x:c>
    </x:row>
    <x:row r="1924">
      <x:c r="A1924" t="str">
        <x:v>queixada</x:v>
      </x:c>
      <x:c r="B1924" t="str">
        <x:v>1</x:v>
      </x:c>
      <x:c r="C1924" t="str">
        <x:v>q</x:v>
      </x:c>
      <x:c r="D1924" t="str">
        <x:v>ge94404d9-e0e4-4fbb-af27-acdb564c4d6c</x:v>
      </x:c>
      <x:c r="E1924" t="str">
        <x:v>g72ddf70b-df59-4f25-824b-43ac1c4b07a0</x:v>
      </x:c>
      <x:c r="F1924" t="str">
        <x:v>https://www.webonary.org/marubo/g72ddf70b-df59-4f25-824b-43ac1c4b07a0/</x:v>
      </x:c>
      <x:c r="G1924" s="20" t="n">
        <x:v>46003.934968981484</x:v>
      </x:c>
    </x:row>
    <x:row r="1925">
      <x:c r="A1925" t="str">
        <x:v>queixo</x:v>
      </x:c>
      <x:c r="B1925" t="str">
        <x:v>koi</x:v>
      </x:c>
      <x:c r="C1925" t="str">
        <x:v>q</x:v>
      </x:c>
      <x:c r="D1925" t="str">
        <x:v>g678db101-33a8-45f4-a448-e469026a6947</x:v>
      </x:c>
      <x:c r="E1925" t="str">
        <x:v>g2e0087a7-10e4-4877-9fc4-1af4e57e64db</x:v>
      </x:c>
      <x:c r="F1925" t="str">
        <x:v>https://www.webonary.org/marubo/g2e0087a7-10e4-4877-9fc4-1af4e57e64db/</x:v>
      </x:c>
      <x:c r="G1925" s="20" t="n">
        <x:v>46003.934968981484</x:v>
      </x:c>
    </x:row>
    <x:row r="1926">
      <x:c r="A1926" t="str">
        <x:v>quem</x:v>
      </x:c>
      <x:c r="B1926" t="str">
        <x:v>tsoa</x:v>
      </x:c>
      <x:c r="C1926" t="str">
        <x:v>q</x:v>
      </x:c>
      <x:c r="D1926" t="str">
        <x:v>gfbd095cb-251c-4b3d-8c49-c0081cec694c</x:v>
      </x:c>
      <x:c r="E1926" t="str">
        <x:v>gdf5339a3-e5a8-4b08-ab0a-3b0356529d55</x:v>
      </x:c>
      <x:c r="F1926" t="str">
        <x:v>https://www.webonary.org/marubo/gdf5339a3-e5a8-4b08-ab0a-3b0356529d55/</x:v>
      </x:c>
      <x:c r="G1926" s="20" t="n">
        <x:v>46003.934968981484</x:v>
      </x:c>
    </x:row>
    <x:row r="1927">
      <x:c r="A1927" t="str">
        <x:v>quente</x:v>
      </x:c>
      <x:c r="B1927" t="str">
        <x:v>shanaka</x:v>
      </x:c>
      <x:c r="C1927" t="str">
        <x:v>q</x:v>
      </x:c>
      <x:c r="D1927" t="str">
        <x:v>g04716fdd-27de-4f23-a8cf-efa49891fa9d</x:v>
      </x:c>
      <x:c r="E1927" t="str">
        <x:v>g2bd10212-7747-403c-b549-41ac66865820</x:v>
      </x:c>
      <x:c r="F1927" t="str">
        <x:v>https://www.webonary.org/marubo/g2bd10212-7747-403c-b549-41ac66865820/</x:v>
      </x:c>
      <x:c r="G1927" s="20" t="n">
        <x:v>46003.934968981484</x:v>
      </x:c>
    </x:row>
    <x:row r="1928">
      <x:c r="A1928" t="str">
        <x:v>quieto</x:v>
      </x:c>
      <x:c r="B1928" t="str">
        <x:v>matsíka</x:v>
      </x:c>
      <x:c r="C1928" t="str">
        <x:v>q</x:v>
      </x:c>
      <x:c r="D1928" t="str">
        <x:v>g5c7fef7a-3e7d-44ba-bf88-5afb3e4cb3cd</x:v>
      </x:c>
      <x:c r="E1928" t="str">
        <x:v>g49fe6407-b962-4908-8b58-f263f41c0568</x:v>
      </x:c>
      <x:c r="F1928" t="str">
        <x:v>https://www.webonary.org/marubo/g49fe6407-b962-4908-8b58-f263f41c0568/</x:v>
      </x:c>
      <x:c r="G1928" s="20" t="n">
        <x:v>46003.934968981484</x:v>
      </x:c>
    </x:row>
    <x:row r="1929">
      <x:c r="A1929" t="str">
        <x:v>quilha</x:v>
      </x:c>
      <x:c r="B1929" t="str">
        <x:v>kate</x:v>
      </x:c>
      <x:c r="C1929" t="str">
        <x:v>q</x:v>
      </x:c>
      <x:c r="D1929" t="str">
        <x:v>g76d1459f-86b3-418d-b9b3-5809abd190fd</x:v>
      </x:c>
      <x:c r="E1929" t="str">
        <x:v>ga88982ba-b17c-4e0b-a0cf-642ef4429eb9</x:v>
      </x:c>
      <x:c r="F1929" t="str">
        <x:v>https://www.webonary.org/marubo/ga88982ba-b17c-4e0b-a0cf-642ef4429eb9/</x:v>
      </x:c>
      <x:c r="G1929" s="20" t="n">
        <x:v>46003.934968981484</x:v>
      </x:c>
    </x:row>
    <x:row r="1930">
      <x:c r="A1930" t="str">
        <x:v>rã chia</x:v>
      </x:c>
      <x:c r="B1930" t="str">
        <x:v>eo</x:v>
      </x:c>
      <x:c r="C1930" t="str">
        <x:v>r</x:v>
      </x:c>
      <x:c r="D1930" t="str">
        <x:v>g70d35ded-85a1-4232-81a1-3574044ecf13</x:v>
      </x:c>
      <x:c r="E1930" t="str">
        <x:v>g94aa4a84-01af-48a1-83fb-54d0e00875f9</x:v>
      </x:c>
      <x:c r="F1930" t="str">
        <x:v>https://www.webonary.org/marubo/g94aa4a84-01af-48a1-83fb-54d0e00875f9/</x:v>
      </x:c>
      <x:c r="G1930" s="20" t="n">
        <x:v>46003.934968981484</x:v>
      </x:c>
    </x:row>
    <x:row r="1931">
      <x:c r="A1931" t="str">
        <x:v>rã chia</x:v>
      </x:c>
      <x:c r="B1931" t="str">
        <x:v>1</x:v>
      </x:c>
      <x:c r="C1931" t="str">
        <x:v>r</x:v>
      </x:c>
      <x:c r="D1931" t="str">
        <x:v>g70d35ded-85a1-4232-81a1-3574044ecf13</x:v>
      </x:c>
      <x:c r="E1931" t="str">
        <x:v>g94aa4a84-01af-48a1-83fb-54d0e00875f9</x:v>
      </x:c>
      <x:c r="F1931" t="str">
        <x:v>https://www.webonary.org/marubo/g94aa4a84-01af-48a1-83fb-54d0e00875f9/</x:v>
      </x:c>
      <x:c r="G1931" s="20" t="n">
        <x:v>46003.934968981484</x:v>
      </x:c>
    </x:row>
    <x:row r="1932">
      <x:c r="A1932" t="str">
        <x:v>rabo</x:v>
      </x:c>
      <x:c r="B1932" t="str">
        <x:v>ina</x:v>
      </x:c>
      <x:c r="C1932" t="str">
        <x:v>r</x:v>
      </x:c>
      <x:c r="D1932" t="str">
        <x:v>g94e3537b-f2d3-4a61-a16d-b0129874c857</x:v>
      </x:c>
      <x:c r="E1932" t="str">
        <x:v>g9d7e3cce-9195-4248-bb50-6f82dacae948</x:v>
      </x:c>
      <x:c r="F1932" t="str">
        <x:v>https://www.webonary.org/marubo/g9d7e3cce-9195-4248-bb50-6f82dacae948/</x:v>
      </x:c>
      <x:c r="G1932" s="20" t="n">
        <x:v>46003.934968981484</x:v>
      </x:c>
    </x:row>
    <x:row r="1933">
      <x:c r="A1933" t="str">
        <x:v>rabo de peixe</x:v>
      </x:c>
      <x:c r="B1933" t="str">
        <x:v>ĩpá</x:v>
      </x:c>
      <x:c r="C1933" t="str">
        <x:v>r</x:v>
      </x:c>
      <x:c r="D1933" t="str">
        <x:v>g85d02440-d3e2-42bc-ae2e-3f82c25a86d7</x:v>
      </x:c>
      <x:c r="E1933" t="str">
        <x:v>ga7a92129-fc2b-4134-9e1a-b88d071257bb</x:v>
      </x:c>
      <x:c r="F1933" t="str">
        <x:v>https://www.webonary.org/marubo/ga7a92129-fc2b-4134-9e1a-b88d071257bb/</x:v>
      </x:c>
      <x:c r="G1933" s="20" t="n">
        <x:v>46003.934968981484</x:v>
      </x:c>
    </x:row>
    <x:row r="1934">
      <x:c r="A1934" t="str">
        <x:v>rachar</x:v>
      </x:c>
      <x:c r="B1934" t="str">
        <x:v>astéa</x:v>
      </x:c>
      <x:c r="C1934" t="str">
        <x:v>r</x:v>
      </x:c>
      <x:c r="D1934" t="str">
        <x:v>gc76aa0ac-55df-47aa-9668-f9365ab60cad</x:v>
      </x:c>
      <x:c r="E1934" t="str">
        <x:v>g70942b2c-0b6f-46ff-9944-7154ed96fbf4</x:v>
      </x:c>
      <x:c r="F1934" t="str">
        <x:v>https://www.webonary.org/marubo/g70942b2c-0b6f-46ff-9944-7154ed96fbf4/</x:v>
      </x:c>
      <x:c r="G1934" s="20" t="n">
        <x:v>46003.934968981484</x:v>
      </x:c>
    </x:row>
    <x:row r="1935">
      <x:c r="A1935" t="str">
        <x:v>rachar toco</x:v>
      </x:c>
      <x:c r="B1935" t="str">
        <x:v>napévakĩa</x:v>
      </x:c>
      <x:c r="C1935" t="str">
        <x:v>r</x:v>
      </x:c>
      <x:c r="D1935" t="str">
        <x:v>gf1ca7818-c17b-4285-aa6d-296f4751de09</x:v>
      </x:c>
      <x:c r="E1935" t="str">
        <x:v>gae2555ad-04d7-48b5-a7f6-7a0884a15d97</x:v>
      </x:c>
      <x:c r="F1935" t="str">
        <x:v>https://www.webonary.org/marubo/gae2555ad-04d7-48b5-a7f6-7a0884a15d97/</x:v>
      </x:c>
      <x:c r="G1935" s="20" t="n">
        <x:v>46003.934968981484</x:v>
      </x:c>
    </x:row>
    <x:row r="1936">
      <x:c r="A1936" t="str">
        <x:v>rachar um pote de barro</x:v>
      </x:c>
      <x:c r="B1936" t="str">
        <x:v>ketxar ikí</x:v>
      </x:c>
      <x:c r="C1936" t="str">
        <x:v>r</x:v>
      </x:c>
      <x:c r="D1936" t="str">
        <x:v>g7df609dd-07ee-4f68-942f-541972f5d806</x:v>
      </x:c>
      <x:c r="E1936" t="str">
        <x:v>ge4e22e29-6df4-4e92-8d09-f8efb9ff35ec</x:v>
      </x:c>
      <x:c r="F1936" t="str">
        <x:v>https://www.webonary.org/marubo/ge4e22e29-6df4-4e92-8d09-f8efb9ff35ec/</x:v>
      </x:c>
      <x:c r="G1936" s="20" t="n">
        <x:v>46003.934968981484</x:v>
      </x:c>
    </x:row>
    <x:row r="1937">
      <x:c r="A1937" t="str">
        <x:v>raio de sol</x:v>
      </x:c>
      <x:c r="B1937" t="str">
        <x:v>otá</x:v>
      </x:c>
      <x:c r="C1937" t="str">
        <x:v>r</x:v>
      </x:c>
      <x:c r="D1937" t="str">
        <x:v>g69f607db-934e-4000-93fb-67f49bfabcad</x:v>
      </x:c>
      <x:c r="E1937" t="str">
        <x:v>g4317e829-c720-42a8-851a-e52dc85c8c1d</x:v>
      </x:c>
      <x:c r="F1937" t="str">
        <x:v>https://www.webonary.org/marubo/g4317e829-c720-42a8-851a-e52dc85c8c1d/</x:v>
      </x:c>
      <x:c r="G1937" s="20" t="n">
        <x:v>46003.934968981484</x:v>
      </x:c>
    </x:row>
    <x:row r="1938">
      <x:c r="A1938" t="str">
        <x:v>raiz</x:v>
      </x:c>
      <x:c r="B1938" t="str">
        <x:v>iwi tapõ</x:v>
      </x:c>
      <x:c r="C1938" t="str">
        <x:v>r</x:v>
      </x:c>
      <x:c r="D1938" t="str">
        <x:v>g68f6a6b4-e6fc-41a5-a937-490dec0eb882</x:v>
      </x:c>
      <x:c r="E1938" t="str">
        <x:v>g63cf0297-5bb1-4ac8-8751-fcd5b88b4f48</x:v>
      </x:c>
      <x:c r="F1938" t="str">
        <x:v>https://www.webonary.org/marubo/g63cf0297-5bb1-4ac8-8751-fcd5b88b4f48/</x:v>
      </x:c>
      <x:c r="G1938" s="20" t="n">
        <x:v>46003.934968981484</x:v>
      </x:c>
    </x:row>
    <x:row r="1939">
      <x:c r="A1939" t="str">
        <x:v>raiz de arvore sapopema</x:v>
      </x:c>
      <x:c r="B1939" t="str">
        <x:v>vema</x:v>
      </x:c>
      <x:c r="C1939" t="str">
        <x:v>r</x:v>
      </x:c>
      <x:c r="D1939" t="str">
        <x:v>gec05f0d7-b9da-4edf-b180-dce22277b950</x:v>
      </x:c>
      <x:c r="E1939" t="str">
        <x:v>g77258350-ad8c-4ec6-a098-3cd5d675b394</x:v>
      </x:c>
      <x:c r="F1939" t="str">
        <x:v>https://www.webonary.org/marubo/g77258350-ad8c-4ec6-a098-3cd5d675b394/</x:v>
      </x:c>
      <x:c r="G1939" s="20" t="n">
        <x:v>46003.934968981484</x:v>
      </x:c>
    </x:row>
    <x:row r="1940">
      <x:c r="A1940" t="str">
        <x:v>ralar</x:v>
      </x:c>
      <x:c r="B1940" t="str">
        <x:v>nisa</x:v>
      </x:c>
      <x:c r="C1940" t="str">
        <x:v>r</x:v>
      </x:c>
      <x:c r="D1940" t="str">
        <x:v>ga477f235-5fdc-48cb-8736-e56a50084e6a</x:v>
      </x:c>
      <x:c r="E1940" t="str">
        <x:v>gacd5bd4c-7093-4cfe-abdf-1efd532613c0</x:v>
      </x:c>
      <x:c r="F1940" t="str">
        <x:v>https://www.webonary.org/marubo/gacd5bd4c-7093-4cfe-abdf-1efd532613c0/</x:v>
      </x:c>
      <x:c r="G1940" s="20" t="n">
        <x:v>46003.934968981484</x:v>
      </x:c>
    </x:row>
    <x:row r="1941">
      <x:c r="A1941" t="str">
        <x:v>ramo</x:v>
      </x:c>
      <x:c r="B1941" t="str">
        <x:v>txĩti</x:v>
      </x:c>
      <x:c r="C1941" t="str">
        <x:v>r</x:v>
      </x:c>
      <x:c r="D1941" t="str">
        <x:v>g8a9b607d-5a16-4110-a6ef-f0e8e1365ec9</x:v>
      </x:c>
      <x:c r="E1941" t="str">
        <x:v>ga8410985-2936-45ef-9c13-8c6274a959b7</x:v>
      </x:c>
      <x:c r="F1941" t="str">
        <x:v>https://www.webonary.org/marubo/ga8410985-2936-45ef-9c13-8c6274a959b7/</x:v>
      </x:c>
      <x:c r="G1941" s="20" t="n">
        <x:v>46003.934968981484</x:v>
      </x:c>
    </x:row>
    <x:row r="1942">
      <x:c r="A1942" t="str">
        <x:v>rápido</x:v>
      </x:c>
      <x:c r="B1942" t="str">
        <x:v>rayáka</x:v>
      </x:c>
      <x:c r="C1942" t="str">
        <x:v>r</x:v>
      </x:c>
      <x:c r="D1942" t="str">
        <x:v>g84f0eeca-a092-4c5d-a1f3-86d2007f9b31</x:v>
      </x:c>
      <x:c r="E1942" t="str">
        <x:v>gac0772cb-12de-40eb-a8e7-2c3da038555b</x:v>
      </x:c>
      <x:c r="F1942" t="str">
        <x:v>https://www.webonary.org/marubo/gac0772cb-12de-40eb-a8e7-2c3da038555b/</x:v>
      </x:c>
      <x:c r="G1942" s="20" t="n">
        <x:v>46003.934968981484</x:v>
      </x:c>
    </x:row>
    <x:row r="1943">
      <x:c r="A1943" t="str">
        <x:v>rápido</x:v>
      </x:c>
      <x:c r="B1943" t="str">
        <x:v>raya</x:v>
      </x:c>
      <x:c r="C1943" t="str">
        <x:v>r</x:v>
      </x:c>
      <x:c r="D1943" t="str">
        <x:v>g84f0eeca-a092-4c5d-a1f3-86d2007f9b31</x:v>
      </x:c>
      <x:c r="E1943" t="str">
        <x:v>g9cc7c5fb-f56f-43da-8ad5-8d029be02574</x:v>
      </x:c>
      <x:c r="F1943" t="str">
        <x:v>https://www.webonary.org/marubo/g9cc7c5fb-f56f-43da-8ad5-8d029be02574/</x:v>
      </x:c>
      <x:c r="G1943" s="20" t="n">
        <x:v>46003.934968981484</x:v>
      </x:c>
    </x:row>
    <x:row r="1944">
      <x:c r="A1944" t="str">
        <x:v>rápido</x:v>
      </x:c>
      <x:c r="B1944" t="str">
        <x:v>vestẽka</x:v>
      </x:c>
      <x:c r="C1944" t="str">
        <x:v>r</x:v>
      </x:c>
      <x:c r="D1944" t="str">
        <x:v>g84f0eeca-a092-4c5d-a1f3-86d2007f9b31</x:v>
      </x:c>
      <x:c r="E1944" t="str">
        <x:v>gb6ea8312-f312-4fff-a5d1-eb9684d22c74</x:v>
      </x:c>
      <x:c r="F1944" t="str">
        <x:v>https://www.webonary.org/marubo/gb6ea8312-f312-4fff-a5d1-eb9684d22c74/</x:v>
      </x:c>
      <x:c r="G1944" s="20" t="n">
        <x:v>46003.934968981484</x:v>
      </x:c>
    </x:row>
    <x:row r="1945">
      <x:c r="A1945" t="str">
        <x:v>rápido</x:v>
      </x:c>
      <x:c r="B1945" t="str">
        <x:v>chairó</x:v>
      </x:c>
      <x:c r="C1945" t="str">
        <x:v>r</x:v>
      </x:c>
      <x:c r="D1945" t="str">
        <x:v>g84f0eeca-a092-4c5d-a1f3-86d2007f9b31</x:v>
      </x:c>
      <x:c r="E1945" t="str">
        <x:v>g83d06435-3d6e-4c27-a746-6b6380bdbff9</x:v>
      </x:c>
      <x:c r="F1945" t="str">
        <x:v>https://www.webonary.org/marubo/g83d06435-3d6e-4c27-a746-6b6380bdbff9/</x:v>
      </x:c>
      <x:c r="G1945" s="20" t="n">
        <x:v>46003.934968981484</x:v>
      </x:c>
    </x:row>
    <x:row r="1946">
      <x:c r="A1946" t="str">
        <x:v>rarranhar</x:v>
      </x:c>
      <x:c r="B1946" t="str">
        <x:v>tsarás aká</x:v>
      </x:c>
      <x:c r="C1946" t="str">
        <x:v>r</x:v>
      </x:c>
      <x:c r="D1946" t="str">
        <x:v>g5e61ade7-29b3-46ee-a989-5172e8d2d0ee</x:v>
      </x:c>
      <x:c r="E1946" t="str">
        <x:v>g6d913656-3d35-49e3-adb5-52770d556782</x:v>
      </x:c>
      <x:c r="F1946" t="str">
        <x:v>https://www.webonary.org/marubo/g6d913656-3d35-49e3-adb5-52770d556782/</x:v>
      </x:c>
      <x:c r="G1946" s="20" t="n">
        <x:v>46003.934968981484</x:v>
      </x:c>
    </x:row>
    <x:row r="1947">
      <x:c r="A1947" t="str">
        <x:v>rasgar</x:v>
      </x:c>
      <x:c r="B1947" t="str">
        <x:v>voshóa</x:v>
      </x:c>
      <x:c r="C1947" t="str">
        <x:v>r</x:v>
      </x:c>
      <x:c r="D1947" t="str">
        <x:v>g0454ddff-b002-4a11-953a-d98dfc4501c5</x:v>
      </x:c>
      <x:c r="E1947" t="str">
        <x:v>gf1ebf637-6a14-4117-baca-6a6c743a1995</x:v>
      </x:c>
      <x:c r="F1947" t="str">
        <x:v>https://www.webonary.org/marubo/gf1ebf637-6a14-4117-baca-6a6c743a1995/</x:v>
      </x:c>
      <x:c r="G1947" s="20" t="n">
        <x:v>46003.934968981484</x:v>
      </x:c>
    </x:row>
    <x:row r="1948">
      <x:c r="A1948" t="str">
        <x:v>rasgar</x:v>
      </x:c>
      <x:c r="B1948" t="str">
        <x:v>ochnia</x:v>
      </x:c>
      <x:c r="C1948" t="str">
        <x:v>r</x:v>
      </x:c>
      <x:c r="D1948" t="str">
        <x:v>g0454ddff-b002-4a11-953a-d98dfc4501c5</x:v>
      </x:c>
      <x:c r="E1948" t="str">
        <x:v>gcd77c890-6198-44b6-a208-82a6de3ba66e</x:v>
      </x:c>
      <x:c r="F1948" t="str">
        <x:v>https://www.webonary.org/marubo/gcd77c890-6198-44b6-a208-82a6de3ba66e/</x:v>
      </x:c>
      <x:c r="G1948" s="20" t="n">
        <x:v>46003.934968981484</x:v>
      </x:c>
    </x:row>
    <x:row r="1949">
      <x:c r="A1949" t="str">
        <x:v>raspar</x:v>
      </x:c>
      <x:c r="B1949" t="str">
        <x:v>wesha</x:v>
      </x:c>
      <x:c r="C1949" t="str">
        <x:v>r</x:v>
      </x:c>
      <x:c r="D1949" t="str">
        <x:v>g0cd3eaa1-f443-42d1-a0ea-d4f2aea9dee3</x:v>
      </x:c>
      <x:c r="E1949" t="str">
        <x:v>g326adbd9-ccfe-4854-a06f-760637953b75</x:v>
      </x:c>
      <x:c r="F1949" t="str">
        <x:v>https://www.webonary.org/marubo/g326adbd9-ccfe-4854-a06f-760637953b75/</x:v>
      </x:c>
      <x:c r="G1949" s="20" t="n">
        <x:v>46003.934968981484</x:v>
      </x:c>
    </x:row>
    <x:row r="1950">
      <x:c r="A1950" t="str">
        <x:v>raspar comida com os dentes</x:v>
      </x:c>
      <x:c r="B1950" t="str">
        <x:v>yesha</x:v>
      </x:c>
      <x:c r="C1950" t="str">
        <x:v>r</x:v>
      </x:c>
      <x:c r="D1950" t="str">
        <x:v>gf7217c4e-49c0-4c54-9a72-6a004cd3092c</x:v>
      </x:c>
      <x:c r="E1950" t="str">
        <x:v>g9abb8eeb-4699-4b7c-87c6-951ae5250b8a</x:v>
      </x:c>
      <x:c r="F1950" t="str">
        <x:v>https://www.webonary.org/marubo/g9abb8eeb-4699-4b7c-87c6-951ae5250b8a/</x:v>
      </x:c>
      <x:c r="G1950" s="20" t="n">
        <x:v>46003.934968981484</x:v>
      </x:c>
    </x:row>
    <x:row r="1951">
      <x:c r="A1951" t="str">
        <x:v>rato</x:v>
      </x:c>
      <x:c r="B1951" t="str">
        <x:v>maka</x:v>
      </x:c>
      <x:c r="C1951" t="str">
        <x:v>r</x:v>
      </x:c>
      <x:c r="D1951" t="str">
        <x:v>g37b54ac2-5801-4637-a376-6f5446fa60ca</x:v>
      </x:c>
      <x:c r="E1951" t="str">
        <x:v>ge1dd3aeb-00c6-4744-bcfc-8b72bb1e6b67</x:v>
      </x:c>
      <x:c r="F1951" t="str">
        <x:v>https://www.webonary.org/marubo/ge1dd3aeb-00c6-4744-bcfc-8b72bb1e6b67/</x:v>
      </x:c>
      <x:c r="G1951" s="20" t="n">
        <x:v>46003.934968981484</x:v>
      </x:c>
    </x:row>
    <x:row r="1952">
      <x:c r="A1952" t="str">
        <x:v>rato</x:v>
      </x:c>
      <x:c r="B1952" t="str">
        <x:v>1</x:v>
      </x:c>
      <x:c r="C1952" t="str">
        <x:v>r</x:v>
      </x:c>
      <x:c r="D1952" t="str">
        <x:v>g37b54ac2-5801-4637-a376-6f5446fa60ca</x:v>
      </x:c>
      <x:c r="E1952" t="str">
        <x:v>ge1dd3aeb-00c6-4744-bcfc-8b72bb1e6b67</x:v>
      </x:c>
      <x:c r="F1952" t="str">
        <x:v>https://www.webonary.org/marubo/ge1dd3aeb-00c6-4744-bcfc-8b72bb1e6b67/</x:v>
      </x:c>
      <x:c r="G1952" s="20" t="n">
        <x:v>46003.934968981484</x:v>
      </x:c>
    </x:row>
    <x:row r="1953">
      <x:c r="A1953" t="str">
        <x:v>rato do mato</x:v>
      </x:c>
      <x:c r="B1953" t="str">
        <x:v>nii maka</x:v>
      </x:c>
      <x:c r="C1953" t="str">
        <x:v>r</x:v>
      </x:c>
      <x:c r="D1953" t="str">
        <x:v>gea5caddc-b5e2-4561-95a5-daa8ed2d0770</x:v>
      </x:c>
      <x:c r="E1953" t="str">
        <x:v>gd956845a-de61-49e1-b527-bc6e03e57609</x:v>
      </x:c>
      <x:c r="F1953" t="str">
        <x:v>https://www.webonary.org/marubo/gd956845a-de61-49e1-b527-bc6e03e57609/</x:v>
      </x:c>
      <x:c r="G1953" s="20" t="n">
        <x:v>46003.934968981484</x:v>
      </x:c>
    </x:row>
    <x:row r="1954">
      <x:c r="A1954" t="str">
        <x:v>razo</x:v>
      </x:c>
      <x:c r="B1954" t="str">
        <x:v>tsosĩka</x:v>
      </x:c>
      <x:c r="C1954" t="str">
        <x:v>r</x:v>
      </x:c>
      <x:c r="D1954" t="str">
        <x:v>g0c50ddf1-f090-4442-84de-8fcae0dc00f4</x:v>
      </x:c>
      <x:c r="E1954" t="str">
        <x:v>g6b89af35-de61-40d0-a82f-f5be44e81732</x:v>
      </x:c>
      <x:c r="F1954" t="str">
        <x:v>https://www.webonary.org/marubo/g6b89af35-de61-40d0-a82f-f5be44e81732/</x:v>
      </x:c>
      <x:c r="G1954" s="20" t="n">
        <x:v>46003.934968981484</x:v>
      </x:c>
    </x:row>
    <x:row r="1955">
      <x:c r="A1955" t="str">
        <x:v>razo</x:v>
      </x:c>
      <x:c r="B1955" t="str">
        <x:v>okema</x:v>
      </x:c>
      <x:c r="C1955" t="str">
        <x:v>r</x:v>
      </x:c>
      <x:c r="D1955" t="str">
        <x:v>g0c50ddf1-f090-4442-84de-8fcae0dc00f4</x:v>
      </x:c>
      <x:c r="E1955" t="str">
        <x:v>gf9a9121a-a4e1-4d1a-9ed3-9d8669940126</x:v>
      </x:c>
      <x:c r="F1955" t="str">
        <x:v>https://www.webonary.org/marubo/gf9a9121a-a4e1-4d1a-9ed3-9d8669940126/</x:v>
      </x:c>
      <x:c r="G1955" s="20" t="n">
        <x:v>46003.934968981484</x:v>
      </x:c>
    </x:row>
    <x:row r="1956">
      <x:c r="A1956" t="str">
        <x:v>real</x:v>
      </x:c>
      <x:c r="B1956" t="str">
        <x:v>-koĩ</x:v>
      </x:c>
      <x:c r="C1956" t="str">
        <x:v>r</x:v>
      </x:c>
      <x:c r="D1956" t="str">
        <x:v>g7a637a82-d015-41af-af33-c518663ae69c</x:v>
      </x:c>
      <x:c r="E1956" t="str">
        <x:v>gbce05f9a-ff95-4327-ac9d-f3ea690c38e7</x:v>
      </x:c>
      <x:c r="F1956" t="str">
        <x:v>https://www.webonary.org/marubo/gbce05f9a-ff95-4327-ac9d-f3ea690c38e7/</x:v>
      </x:c>
      <x:c r="G1956" s="20" t="n">
        <x:v>46003.934968981484</x:v>
      </x:c>
    </x:row>
    <x:row r="1957">
      <x:c r="A1957" t="str">
        <x:v>real</x:v>
      </x:c>
      <x:c r="B1957" t="str">
        <x:v>1</x:v>
      </x:c>
      <x:c r="C1957" t="str">
        <x:v>r</x:v>
      </x:c>
      <x:c r="D1957" t="str">
        <x:v>g7a637a82-d015-41af-af33-c518663ae69c</x:v>
      </x:c>
      <x:c r="E1957" t="str">
        <x:v>gbce05f9a-ff95-4327-ac9d-f3ea690c38e7</x:v>
      </x:c>
      <x:c r="F1957" t="str">
        <x:v>https://www.webonary.org/marubo/gbce05f9a-ff95-4327-ac9d-f3ea690c38e7/</x:v>
      </x:c>
      <x:c r="G1957" s="20" t="n">
        <x:v>46003.934968981484</x:v>
      </x:c>
    </x:row>
    <x:row r="1958">
      <x:c r="A1958" t="str">
        <x:v>RECP</x:v>
      </x:c>
      <x:c r="B1958" t="str">
        <x:v>-nanã</x:v>
      </x:c>
      <x:c r="C1958" t="str">
        <x:v>r</x:v>
      </x:c>
      <x:c r="D1958" t="str">
        <x:v>g584e375f-1972-4233-8bc1-3dc68a767865</x:v>
      </x:c>
      <x:c r="E1958" t="str">
        <x:v>g88a13b3f-23d7-4982-868b-e3e5e6dbab2f</x:v>
      </x:c>
      <x:c r="F1958" t="str">
        <x:v>https://www.webonary.org/marubo/g88a13b3f-23d7-4982-868b-e3e5e6dbab2f/</x:v>
      </x:c>
      <x:c r="G1958" s="20" t="n">
        <x:v>46003.934968981484</x:v>
      </x:c>
    </x:row>
    <x:row r="1959">
      <x:c r="A1959" t="str">
        <x:v>rede</x:v>
      </x:c>
      <x:c r="B1959" t="str">
        <x:v>pani</x:v>
      </x:c>
      <x:c r="C1959" t="str">
        <x:v>r</x:v>
      </x:c>
      <x:c r="D1959" t="str">
        <x:v>g5b72b0b9-7c13-4add-b48d-f0b0cd4de085</x:v>
      </x:c>
      <x:c r="E1959" t="str">
        <x:v>g106cc223-ee6b-45d2-84f6-81009cf148a0</x:v>
      </x:c>
      <x:c r="F1959" t="str">
        <x:v>https://www.webonary.org/marubo/g106cc223-ee6b-45d2-84f6-81009cf148a0/</x:v>
      </x:c>
      <x:c r="G1959" s="20" t="n">
        <x:v>46003.934968981484</x:v>
      </x:c>
    </x:row>
    <x:row r="1960">
      <x:c r="A1960" t="str">
        <x:v>redondo</x:v>
      </x:c>
      <x:c r="B1960" t="str">
        <x:v>toroka</x:v>
      </x:c>
      <x:c r="C1960" t="str">
        <x:v>r</x:v>
      </x:c>
      <x:c r="D1960" t="str">
        <x:v>gf61ec041-345e-48c6-a5b9-d02d354f3fca</x:v>
      </x:c>
      <x:c r="E1960" t="str">
        <x:v>g85770af6-ddec-4001-a1c6-ea7e245f4d17</x:v>
      </x:c>
      <x:c r="F1960" t="str">
        <x:v>https://www.webonary.org/marubo/g85770af6-ddec-4001-a1c6-ea7e245f4d17/</x:v>
      </x:c>
      <x:c r="G1960" s="20" t="n">
        <x:v>46003.934968981484</x:v>
      </x:c>
    </x:row>
    <x:row r="1961">
      <x:c r="A1961" t="str">
        <x:v>remanso</x:v>
      </x:c>
      <x:c r="B1961" t="str">
        <x:v>koviná</x:v>
      </x:c>
      <x:c r="C1961" t="str">
        <x:v>r</x:v>
      </x:c>
      <x:c r="D1961" t="str">
        <x:v>g43d34989-3b5f-4edb-ae77-c59915093a52</x:v>
      </x:c>
      <x:c r="E1961" t="str">
        <x:v>g53a9eab8-661a-469a-9fe7-b0de84bb6476</x:v>
      </x:c>
      <x:c r="F1961" t="str">
        <x:v>https://www.webonary.org/marubo/g53a9eab8-661a-469a-9fe7-b0de84bb6476/</x:v>
      </x:c>
      <x:c r="G1961" s="20" t="n">
        <x:v>46003.934968981484</x:v>
      </x:c>
    </x:row>
    <x:row r="1962">
      <x:c r="A1962" t="str">
        <x:v>remédio</x:v>
      </x:c>
      <x:c r="B1962" t="str">
        <x:v>rao</x:v>
      </x:c>
      <x:c r="C1962" t="str">
        <x:v>r</x:v>
      </x:c>
      <x:c r="D1962" t="str">
        <x:v>gb71393b6-86e8-4623-913e-139f1e986195</x:v>
      </x:c>
      <x:c r="E1962" t="str">
        <x:v>gefed52ff-ff5f-4d77-a4af-ba4e58b63f26</x:v>
      </x:c>
      <x:c r="F1962" t="str">
        <x:v>https://www.webonary.org/marubo/gefed52ff-ff5f-4d77-a4af-ba4e58b63f26/</x:v>
      </x:c>
      <x:c r="G1962" s="20" t="n">
        <x:v>46003.934968981484</x:v>
      </x:c>
    </x:row>
    <x:row r="1963">
      <x:c r="A1963" t="str">
        <x:v>remédio para diarreia</x:v>
      </x:c>
      <x:c r="B1963" t="str">
        <x:v>yoto</x:v>
      </x:c>
      <x:c r="C1963" t="str">
        <x:v>r</x:v>
      </x:c>
      <x:c r="D1963" t="str">
        <x:v>g06b9a87b-a8eb-4d81-8c41-1d51d8b39ecc</x:v>
      </x:c>
      <x:c r="E1963" t="str">
        <x:v>g751aca40-a1b5-4ebf-a7d9-d171f71fa71d</x:v>
      </x:c>
      <x:c r="F1963" t="str">
        <x:v>https://www.webonary.org/marubo/g751aca40-a1b5-4ebf-a7d9-d171f71fa71d/</x:v>
      </x:c>
      <x:c r="G1963" s="20" t="n">
        <x:v>46003.934968981484</x:v>
      </x:c>
    </x:row>
    <x:row r="1964">
      <x:c r="A1964" t="str">
        <x:v>remédio para prevenir picada de cobra</x:v>
      </x:c>
      <x:c r="B1964" t="str">
        <x:v>ichi sẽpa</x:v>
      </x:c>
      <x:c r="C1964" t="str">
        <x:v>r</x:v>
      </x:c>
      <x:c r="D1964" t="str">
        <x:v>g555fdb4f-583a-41b3-ad9a-0ab6378bf9dd</x:v>
      </x:c>
      <x:c r="E1964" t="str">
        <x:v>gab4662a0-0844-404d-a1f9-6eed59f48d04</x:v>
      </x:c>
      <x:c r="F1964" t="str">
        <x:v>https://www.webonary.org/marubo/gab4662a0-0844-404d-a1f9-6eed59f48d04/</x:v>
      </x:c>
      <x:c r="G1964" s="20" t="n">
        <x:v>46003.934968981484</x:v>
      </x:c>
    </x:row>
    <x:row r="1965">
      <x:c r="A1965" t="str">
        <x:v>remédio tradicional</x:v>
      </x:c>
      <x:c r="B1965" t="str">
        <x:v>voẽ moká</x:v>
      </x:c>
      <x:c r="C1965" t="str">
        <x:v>r</x:v>
      </x:c>
      <x:c r="D1965" t="str">
        <x:v>g96dcec83-a6a9-4706-83e8-e2dc0f046c60</x:v>
      </x:c>
      <x:c r="E1965" t="str">
        <x:v>g1f5b6f47-5afc-4fe5-bb5d-5ed05b00ac8f</x:v>
      </x:c>
      <x:c r="F1965" t="str">
        <x:v>https://www.webonary.org/marubo/g1f5b6f47-5afc-4fe5-bb5d-5ed05b00ac8f/</x:v>
      </x:c>
      <x:c r="G1965" s="20" t="n">
        <x:v>46003.934968981484</x:v>
      </x:c>
    </x:row>
    <x:row r="1966">
      <x:c r="A1966" t="str">
        <x:v>remédio tradicional</x:v>
      </x:c>
      <x:c r="B1966" t="str">
        <x:v>chichĩ moka</x:v>
      </x:c>
      <x:c r="C1966" t="str">
        <x:v>r</x:v>
      </x:c>
      <x:c r="D1966" t="str">
        <x:v>g96dcec83-a6a9-4706-83e8-e2dc0f046c60</x:v>
      </x:c>
      <x:c r="E1966" t="str">
        <x:v>gd86e7a27-e2e4-4489-a9bd-dcabf52dc972</x:v>
      </x:c>
      <x:c r="F1966" t="str">
        <x:v>https://www.webonary.org/marubo/gd86e7a27-e2e4-4489-a9bd-dcabf52dc972/</x:v>
      </x:c>
      <x:c r="G1966" s="20" t="n">
        <x:v>46003.934968981484</x:v>
      </x:c>
    </x:row>
    <x:row r="1967">
      <x:c r="A1967" t="str">
        <x:v>remédio tradicional</x:v>
      </x:c>
      <x:c r="B1967" t="str">
        <x:v>chinõ wesná rao</x:v>
      </x:c>
      <x:c r="C1967" t="str">
        <x:v>r</x:v>
      </x:c>
      <x:c r="D1967" t="str">
        <x:v>g96dcec83-a6a9-4706-83e8-e2dc0f046c60</x:v>
      </x:c>
      <x:c r="E1967" t="str">
        <x:v>gf1c7d608-96f1-43c2-8bf4-ea49d4c5448b</x:v>
      </x:c>
      <x:c r="F1967" t="str">
        <x:v>https://www.webonary.org/marubo/gf1c7d608-96f1-43c2-8bf4-ea49d4c5448b/</x:v>
      </x:c>
      <x:c r="G1967" s="20" t="n">
        <x:v>46003.934968981484</x:v>
      </x:c>
    </x:row>
    <x:row r="1968">
      <x:c r="A1968" t="str">
        <x:v>remédio tradicional</x:v>
      </x:c>
      <x:c r="B1968" t="str">
        <x:v>chinõ moka</x:v>
      </x:c>
      <x:c r="C1968" t="str">
        <x:v>r</x:v>
      </x:c>
      <x:c r="D1968" t="str">
        <x:v>g96dcec83-a6a9-4706-83e8-e2dc0f046c60</x:v>
      </x:c>
      <x:c r="E1968" t="str">
        <x:v>g95f5942a-147c-42ea-9946-41267e1ea26f</x:v>
      </x:c>
      <x:c r="F1968" t="str">
        <x:v>https://www.webonary.org/marubo/g95f5942a-147c-42ea-9946-41267e1ea26f/</x:v>
      </x:c>
      <x:c r="G1968" s="20" t="n">
        <x:v>46003.934968981484</x:v>
      </x:c>
    </x:row>
    <x:row r="1969">
      <x:c r="A1969" t="str">
        <x:v>remédio tradicional</x:v>
      </x:c>
      <x:c r="B1969" t="str">
        <x:v>chinõ tõpinatosti</x:v>
      </x:c>
      <x:c r="C1969" t="str">
        <x:v>r</x:v>
      </x:c>
      <x:c r="D1969" t="str">
        <x:v>g96dcec83-a6a9-4706-83e8-e2dc0f046c60</x:v>
      </x:c>
      <x:c r="E1969" t="str">
        <x:v>gb50149fc-41e6-4319-bdb3-8ad6851cc977</x:v>
      </x:c>
      <x:c r="F1969" t="str">
        <x:v>https://www.webonary.org/marubo/gb50149fc-41e6-4319-bdb3-8ad6851cc977/</x:v>
      </x:c>
      <x:c r="G1969" s="20" t="n">
        <x:v>46003.934968981484</x:v>
      </x:c>
    </x:row>
    <x:row r="1970">
      <x:c r="A1970" t="str">
        <x:v>REP</x:v>
      </x:c>
      <x:c r="B1970" t="str">
        <x:v>-o</x:v>
      </x:c>
      <x:c r="C1970" t="str">
        <x:v>r</x:v>
      </x:c>
      <x:c r="D1970" t="str">
        <x:v>g7ed89a85-06cc-44bf-9837-a655d78ec2d3</x:v>
      </x:c>
      <x:c r="E1970" t="str">
        <x:v>gc8207eaa-e324-43e1-a2d7-ae539686f7f3</x:v>
      </x:c>
      <x:c r="F1970" t="str">
        <x:v>https://www.webonary.org/marubo/gc8207eaa-e324-43e1-a2d7-ae539686f7f3/</x:v>
      </x:c>
      <x:c r="G1970" s="20" t="n">
        <x:v>46003.934968981484</x:v>
      </x:c>
    </x:row>
    <x:row r="1971">
      <x:c r="A1971" t="str">
        <x:v>respeitar</x:v>
      </x:c>
      <x:c r="B1971" t="str">
        <x:v>ravia</x:v>
      </x:c>
      <x:c r="C1971" t="str">
        <x:v>r</x:v>
      </x:c>
      <x:c r="D1971" t="str">
        <x:v>g9625b452-d544-478d-bb52-aa4ff272f047</x:v>
      </x:c>
      <x:c r="E1971" t="str">
        <x:v>gcf790f64-0b39-4792-acef-d4c8e04b1bff</x:v>
      </x:c>
      <x:c r="F1971" t="str">
        <x:v>https://www.webonary.org/marubo/gcf790f64-0b39-4792-acef-d4c8e04b1bff/</x:v>
      </x:c>
      <x:c r="G1971" s="20" t="n">
        <x:v>46003.934968981484</x:v>
      </x:c>
    </x:row>
    <x:row r="1972">
      <x:c r="A1972" t="str">
        <x:v>responder</x:v>
      </x:c>
      <x:c r="B1972" t="str">
        <x:v>revía</x:v>
      </x:c>
      <x:c r="C1972" t="str">
        <x:v>r</x:v>
      </x:c>
      <x:c r="D1972" t="str">
        <x:v>g54eda818-5c9f-442c-bd28-908dad605252</x:v>
      </x:c>
      <x:c r="E1972" t="str">
        <x:v>g5e1e0891-ace5-4226-9a8e-ec968dfee0c8</x:v>
      </x:c>
      <x:c r="F1972" t="str">
        <x:v>https://www.webonary.org/marubo/g5e1e0891-ace5-4226-9a8e-ec968dfee0c8/</x:v>
      </x:c>
      <x:c r="G1972" s="20" t="n">
        <x:v>46003.934968981484</x:v>
      </x:c>
    </x:row>
    <x:row r="1973">
      <x:c r="A1973" t="str">
        <x:v>responder positivo para alguem</x:v>
      </x:c>
      <x:c r="B1973" t="str">
        <x:v>eẽ</x:v>
      </x:c>
      <x:c r="C1973" t="str">
        <x:v>r</x:v>
      </x:c>
      <x:c r="D1973" t="str">
        <x:v>g9711a2a9-21df-4f8c-9104-b5b504fe62ff</x:v>
      </x:c>
      <x:c r="E1973" t="str">
        <x:v>g92be44db-0cb3-4b70-aee1-284aceee4ed8</x:v>
      </x:c>
      <x:c r="F1973" t="str">
        <x:v>https://www.webonary.org/marubo/g92be44db-0cb3-4b70-aee1-284aceee4ed8/</x:v>
      </x:c>
      <x:c r="G1973" s="20" t="n">
        <x:v>46003.934968981484</x:v>
      </x:c>
    </x:row>
    <x:row r="1974">
      <x:c r="A1974" t="str">
        <x:v>reto</x:v>
      </x:c>
      <x:c r="B1974" t="str">
        <x:v>mekika</x:v>
      </x:c>
      <x:c r="C1974" t="str">
        <x:v>r</x:v>
      </x:c>
      <x:c r="D1974" t="str">
        <x:v>gf6d1081b-e210-4580-ba7d-f5ddd1a782ad</x:v>
      </x:c>
      <x:c r="E1974" t="str">
        <x:v>ge7077905-bd39-4e4a-ad7c-b3d57b08ae96</x:v>
      </x:c>
      <x:c r="F1974" t="str">
        <x:v>https://www.webonary.org/marubo/ge7077905-bd39-4e4a-ad7c-b3d57b08ae96/</x:v>
      </x:c>
      <x:c r="G1974" s="20" t="n">
        <x:v>46003.934968981484</x:v>
      </x:c>
    </x:row>
    <x:row r="1975">
      <x:c r="A1975" t="str">
        <x:v>revivar</x:v>
      </x:c>
      <x:c r="B1975" t="str">
        <x:v>vesokarã</x:v>
      </x:c>
      <x:c r="C1975" t="str">
        <x:v>r</x:v>
      </x:c>
      <x:c r="D1975" t="str">
        <x:v>g5416472a-d6d4-492e-89b1-f6c0ad8467ea</x:v>
      </x:c>
      <x:c r="E1975" t="str">
        <x:v>gf3f035ab-28c3-431c-a581-44a98043913d</x:v>
      </x:c>
      <x:c r="F1975" t="str">
        <x:v>https://www.webonary.org/marubo/gf3f035ab-28c3-431c-a581-44a98043913d/</x:v>
      </x:c>
      <x:c r="G1975" s="20" t="n">
        <x:v>46003.934968981484</x:v>
      </x:c>
    </x:row>
    <x:row r="1976">
      <x:c r="A1976" t="str">
        <x:v>rins</x:v>
      </x:c>
      <x:c r="B1976" t="str">
        <x:v>sharéshke</x:v>
      </x:c>
      <x:c r="C1976" t="str">
        <x:v>r</x:v>
      </x:c>
      <x:c r="D1976" t="str">
        <x:v>g2fa59737-6f8c-4208-87c4-23167e2551cb</x:v>
      </x:c>
      <x:c r="E1976" t="str">
        <x:v>g488b24da-6657-43e1-87e2-602e5d4742f9</x:v>
      </x:c>
      <x:c r="F1976" t="str">
        <x:v>https://www.webonary.org/marubo/g488b24da-6657-43e1-87e2-602e5d4742f9/</x:v>
      </x:c>
      <x:c r="G1976" s="20" t="n">
        <x:v>46003.934968981484</x:v>
      </x:c>
    </x:row>
    <x:row r="1977">
      <x:c r="A1977" t="str">
        <x:v>rio</x:v>
      </x:c>
      <x:c r="B1977" t="str">
        <x:v>waka</x:v>
      </x:c>
      <x:c r="C1977" t="str">
        <x:v>r</x:v>
      </x:c>
      <x:c r="D1977" t="str">
        <x:v>g52797884-4b13-4a30-ab05-99351ac9e47a</x:v>
      </x:c>
      <x:c r="E1977" t="str">
        <x:v>g63e5297f-ae2e-49ad-84e5-7d22e3598d10</x:v>
      </x:c>
      <x:c r="F1977" t="str">
        <x:v>https://www.webonary.org/marubo/g63e5297f-ae2e-49ad-84e5-7d22e3598d10/</x:v>
      </x:c>
      <x:c r="G1977" s="20" t="n">
        <x:v>46003.93497596065</x:v>
      </x:c>
    </x:row>
    <x:row r="1978">
      <x:c r="A1978" t="str">
        <x:v>rio abaixo</x:v>
      </x:c>
      <x:c r="B1978" t="str">
        <x:v>wakari</x:v>
      </x:c>
      <x:c r="C1978" t="str">
        <x:v>r</x:v>
      </x:c>
      <x:c r="D1978" t="str">
        <x:v>gfbeb5450-dc2f-40a5-92d9-686d0efbc25b</x:v>
      </x:c>
      <x:c r="E1978" t="str">
        <x:v>gf6e182c6-d2f9-4c13-a1d5-8b76a5a20914</x:v>
      </x:c>
      <x:c r="F1978" t="str">
        <x:v>https://www.webonary.org/marubo/gf6e182c6-d2f9-4c13-a1d5-8b76a5a20914/</x:v>
      </x:c>
      <x:c r="G1978" s="20" t="n">
        <x:v>46003.93497596065</x:v>
      </x:c>
    </x:row>
    <x:row r="1979">
      <x:c r="A1979" t="str">
        <x:v>rio acima</x:v>
      </x:c>
      <x:c r="B1979" t="str">
        <x:v>iinakawãa</x:v>
      </x:c>
      <x:c r="C1979" t="str">
        <x:v>r</x:v>
      </x:c>
      <x:c r="D1979" t="str">
        <x:v>gc4d6c77a-8bf0-4149-9fcc-60c884d602cf</x:v>
      </x:c>
      <x:c r="E1979" t="str">
        <x:v>g58803657-5f1f-48c2-af30-877ed1f7de2f</x:v>
      </x:c>
      <x:c r="F1979" t="str">
        <x:v>https://www.webonary.org/marubo/g58803657-5f1f-48c2-af30-877ed1f7de2f/</x:v>
      </x:c>
      <x:c r="G1979" s="20" t="n">
        <x:v>46003.93497596065</x:v>
      </x:c>
    </x:row>
    <x:row r="1980">
      <x:c r="A1980" t="str">
        <x:v>rio acima</x:v>
      </x:c>
      <x:c r="B1980" t="str">
        <x:v>manãri</x:v>
      </x:c>
      <x:c r="C1980" t="str">
        <x:v>r</x:v>
      </x:c>
      <x:c r="D1980" t="str">
        <x:v>gc4d6c77a-8bf0-4149-9fcc-60c884d602cf</x:v>
      </x:c>
      <x:c r="E1980" t="str">
        <x:v>gd8a8bc63-75c0-4c91-9f2c-99baa634e858</x:v>
      </x:c>
      <x:c r="F1980" t="str">
        <x:v>https://www.webonary.org/marubo/gd8a8bc63-75c0-4c91-9f2c-99baa634e858/</x:v>
      </x:c>
      <x:c r="G1980" s="20" t="n">
        <x:v>46003.93497596065</x:v>
      </x:c>
    </x:row>
    <x:row r="1981">
      <x:c r="A1981" t="str">
        <x:v>rio alto</x:v>
      </x:c>
      <x:c r="B1981" t="str">
        <x:v>shoa ãtsa</x:v>
      </x:c>
      <x:c r="C1981" t="str">
        <x:v>r</x:v>
      </x:c>
      <x:c r="D1981" t="str">
        <x:v>g04c4654e-3399-4db1-b879-61e743556d70</x:v>
      </x:c>
      <x:c r="E1981" t="str">
        <x:v>gd4826ee9-6552-47d0-b982-c2bb034bb0f6</x:v>
      </x:c>
      <x:c r="F1981" t="str">
        <x:v>https://www.webonary.org/marubo/gd4826ee9-6552-47d0-b982-c2bb034bb0f6/</x:v>
      </x:c>
      <x:c r="G1981" s="20" t="n">
        <x:v>46003.93497596065</x:v>
      </x:c>
    </x:row>
    <x:row r="1982">
      <x:c r="A1982" t="str">
        <x:v>rio baixo</x:v>
      </x:c>
      <x:c r="B1982" t="str">
        <x:v>shoa sheréa</x:v>
      </x:c>
      <x:c r="C1982" t="str">
        <x:v>r</x:v>
      </x:c>
      <x:c r="D1982" t="str">
        <x:v>g7287f9e4-6260-480b-9b66-fdee535b7da1</x:v>
      </x:c>
      <x:c r="E1982" t="str">
        <x:v>g9ad45a69-ac0b-40ec-829c-2cf6432de8ad</x:v>
      </x:c>
      <x:c r="F1982" t="str">
        <x:v>https://www.webonary.org/marubo/g9ad45a69-ac0b-40ec-829c-2cf6432de8ad/</x:v>
      </x:c>
      <x:c r="G1982" s="20" t="n">
        <x:v>46003.93497596065</x:v>
      </x:c>
    </x:row>
    <x:row r="1983">
      <x:c r="A1983" t="str">
        <x:v>rio baixo</x:v>
      </x:c>
      <x:c r="B1983" t="str">
        <x:v>shoa nashá</x:v>
      </x:c>
      <x:c r="C1983" t="str">
        <x:v>r</x:v>
      </x:c>
      <x:c r="D1983" t="str">
        <x:v>g7287f9e4-6260-480b-9b66-fdee535b7da1</x:v>
      </x:c>
      <x:c r="E1983" t="str">
        <x:v>g592d8382-a102-42a2-8ee8-8646b049faab</x:v>
      </x:c>
      <x:c r="F1983" t="str">
        <x:v>https://www.webonary.org/marubo/g592d8382-a102-42a2-8ee8-8646b049faab/</x:v>
      </x:c>
      <x:c r="G1983" s="20" t="n">
        <x:v>46003.93497596065</x:v>
      </x:c>
    </x:row>
    <x:row r="1984">
      <x:c r="A1984" t="str">
        <x:v>rir</x:v>
      </x:c>
      <x:c r="B1984" t="str">
        <x:v>osã ikí nainaiki</x:v>
      </x:c>
      <x:c r="C1984" t="str">
        <x:v>r</x:v>
      </x:c>
      <x:c r="D1984" t="str">
        <x:v>g2c79931f-46f4-4144-ac5b-adc3398dd046</x:v>
      </x:c>
      <x:c r="E1984" t="str">
        <x:v>gddaf02f9-c696-4d59-8d66-612e9827f2bf</x:v>
      </x:c>
      <x:c r="F1984" t="str">
        <x:v>https://www.webonary.org/marubo/gddaf02f9-c696-4d59-8d66-612e9827f2bf/</x:v>
      </x:c>
      <x:c r="G1984" s="20" t="n">
        <x:v>46003.93497596065</x:v>
      </x:c>
    </x:row>
    <x:row r="1985">
      <x:c r="A1985" t="str">
        <x:v>rir</x:v>
      </x:c>
      <x:c r="B1985" t="str">
        <x:v>osã iki</x:v>
      </x:c>
      <x:c r="C1985" t="str">
        <x:v>r</x:v>
      </x:c>
      <x:c r="D1985" t="str">
        <x:v>g2c79931f-46f4-4144-ac5b-adc3398dd046</x:v>
      </x:c>
      <x:c r="E1985" t="str">
        <x:v>gccd2054e-a27a-4d13-9d81-00ad8a040b0b</x:v>
      </x:c>
      <x:c r="F1985" t="str">
        <x:v>https://www.webonary.org/marubo/gccd2054e-a27a-4d13-9d81-00ad8a040b0b/</x:v>
      </x:c>
      <x:c r="G1985" s="20" t="n">
        <x:v>46003.93497596065</x:v>
      </x:c>
    </x:row>
    <x:row r="1986">
      <x:c r="A1986" t="str">
        <x:v>riscar</x:v>
      </x:c>
      <x:c r="B1986" t="str">
        <x:v>tsarás aká</x:v>
      </x:c>
      <x:c r="C1986" t="str">
        <x:v>r</x:v>
      </x:c>
      <x:c r="D1986" t="str">
        <x:v>g68fe283e-951e-4f97-b2be-121eae6a07bc</x:v>
      </x:c>
      <x:c r="E1986" t="str">
        <x:v>g6d913656-3d35-49e3-adb5-52770d556782</x:v>
      </x:c>
      <x:c r="F1986" t="str">
        <x:v>https://www.webonary.org/marubo/g6d913656-3d35-49e3-adb5-52770d556782/</x:v>
      </x:c>
      <x:c r="G1986" s="20" t="n">
        <x:v>46003.93497596065</x:v>
      </x:c>
    </x:row>
    <x:row r="1987">
      <x:c r="A1987" t="str">
        <x:v>roça</x:v>
      </x:c>
      <x:c r="B1987" t="str">
        <x:v>wai</x:v>
      </x:c>
      <x:c r="C1987" t="str">
        <x:v>r</x:v>
      </x:c>
      <x:c r="D1987" t="str">
        <x:v>g4247b81c-1aee-4434-8efb-c7d17b09d8b4</x:v>
      </x:c>
      <x:c r="E1987" t="str">
        <x:v>ge8260bae-b2d5-4a51-a3b6-303ca639d51e</x:v>
      </x:c>
      <x:c r="F1987" t="str">
        <x:v>https://www.webonary.org/marubo/ge8260bae-b2d5-4a51-a3b6-303ca639d51e/</x:v>
      </x:c>
      <x:c r="G1987" s="20" t="n">
        <x:v>46003.93497596065</x:v>
      </x:c>
    </x:row>
    <x:row r="1988">
      <x:c r="A1988" t="str">
        <x:v>rodear</x:v>
      </x:c>
      <x:c r="B1988" t="str">
        <x:v>shetí aká</x:v>
      </x:c>
      <x:c r="C1988" t="str">
        <x:v>r</x:v>
      </x:c>
      <x:c r="D1988" t="str">
        <x:v>gf0eaf512-1d64-478a-8b66-cab9f443c34c</x:v>
      </x:c>
      <x:c r="E1988" t="str">
        <x:v>g84abdd61-3e52-49c3-84f7-b684c8322531</x:v>
      </x:c>
      <x:c r="F1988" t="str">
        <x:v>https://www.webonary.org/marubo/g84abdd61-3e52-49c3-84f7-b684c8322531/</x:v>
      </x:c>
      <x:c r="G1988" s="20" t="n">
        <x:v>46003.93497596065</x:v>
      </x:c>
    </x:row>
    <x:row r="1989">
      <x:c r="A1989" t="str">
        <x:v>rodear</x:v>
      </x:c>
      <x:c r="B1989" t="str">
        <x:v>1</x:v>
      </x:c>
      <x:c r="C1989" t="str">
        <x:v>r</x:v>
      </x:c>
      <x:c r="D1989" t="str">
        <x:v>gf0eaf512-1d64-478a-8b66-cab9f443c34c</x:v>
      </x:c>
      <x:c r="E1989" t="str">
        <x:v>g84abdd61-3e52-49c3-84f7-b684c8322531</x:v>
      </x:c>
      <x:c r="F1989" t="str">
        <x:v>https://www.webonary.org/marubo/g84abdd61-3e52-49c3-84f7-b684c8322531/</x:v>
      </x:c>
      <x:c r="G1989" s="20" t="n">
        <x:v>46003.93497596065</x:v>
      </x:c>
    </x:row>
    <x:row r="1990">
      <x:c r="A1990" t="str">
        <x:v>romper</x:v>
      </x:c>
      <x:c r="B1990" t="str">
        <x:v>teséa</x:v>
      </x:c>
      <x:c r="C1990" t="str">
        <x:v>r</x:v>
      </x:c>
      <x:c r="D1990" t="str">
        <x:v>g23069525-a71b-4c4f-a2e8-faca00d22a90</x:v>
      </x:c>
      <x:c r="E1990" t="str">
        <x:v>g7673427f-2d95-4b1c-8d8b-59a6a209e00f</x:v>
      </x:c>
      <x:c r="F1990" t="str">
        <x:v>https://www.webonary.org/marubo/g7673427f-2d95-4b1c-8d8b-59a6a209e00f/</x:v>
      </x:c>
      <x:c r="G1990" s="20" t="n">
        <x:v>46003.93497596065</x:v>
      </x:c>
    </x:row>
    <x:row r="1991">
      <x:c r="A1991" t="str">
        <x:v>roncar</x:v>
      </x:c>
      <x:c r="B1991" t="str">
        <x:v>nẽã ikí</x:v>
      </x:c>
      <x:c r="C1991" t="str">
        <x:v>r</x:v>
      </x:c>
      <x:c r="D1991" t="str">
        <x:v>g13ea2a38-c604-426e-bbf4-3453f7c302ae</x:v>
      </x:c>
      <x:c r="E1991" t="str">
        <x:v>gf28c5e7c-d2af-4ab8-8cea-781fad954784</x:v>
      </x:c>
      <x:c r="F1991" t="str">
        <x:v>https://www.webonary.org/marubo/gf28c5e7c-d2af-4ab8-8cea-781fad954784/</x:v>
      </x:c>
      <x:c r="G1991" s="20" t="n">
        <x:v>46003.93497596065</x:v>
      </x:c>
    </x:row>
    <x:row r="1992">
      <x:c r="A1992" t="str">
        <x:v>rosnar</x:v>
      </x:c>
      <x:c r="B1992" t="str">
        <x:v>koróa</x:v>
      </x:c>
      <x:c r="C1992" t="str">
        <x:v>r</x:v>
      </x:c>
      <x:c r="D1992" t="str">
        <x:v>g123f8641-e75c-4931-91de-6cf3e248852f</x:v>
      </x:c>
      <x:c r="E1992" t="str">
        <x:v>ge74f22eb-7446-4193-995d-1cb44510196e</x:v>
      </x:c>
      <x:c r="F1992" t="str">
        <x:v>https://www.webonary.org/marubo/ge74f22eb-7446-4193-995d-1cb44510196e/</x:v>
      </x:c>
      <x:c r="G1992" s="20" t="n">
        <x:v>46003.93497596065</x:v>
      </x:c>
    </x:row>
    <x:row r="1993">
      <x:c r="A1993" t="str">
        <x:v>rosto</x:v>
      </x:c>
      <x:c r="B1993" t="str">
        <x:v>vesó</x:v>
      </x:c>
      <x:c r="C1993" t="str">
        <x:v>r</x:v>
      </x:c>
      <x:c r="D1993" t="str">
        <x:v>gf12572ea-8ede-4048-95d1-8069bb3630a9</x:v>
      </x:c>
      <x:c r="E1993" t="str">
        <x:v>gf2da0806-1b49-4cfb-9498-6a9a345d93be</x:v>
      </x:c>
      <x:c r="F1993" t="str">
        <x:v>https://www.webonary.org/marubo/gf2da0806-1b49-4cfb-9498-6a9a345d93be/</x:v>
      </x:c>
      <x:c r="G1993" s="20" t="n">
        <x:v>46003.93497596065</x:v>
      </x:c>
    </x:row>
    <x:row r="1994">
      <x:c r="A1994" t="str">
        <x:v>rosto branco</x:v>
      </x:c>
      <x:c r="B1994" t="str">
        <x:v>veóshka</x:v>
      </x:c>
      <x:c r="C1994" t="str">
        <x:v>r</x:v>
      </x:c>
      <x:c r="D1994" t="str">
        <x:v>g02b863d4-10e0-4176-b349-afc8fc17f491</x:v>
      </x:c>
      <x:c r="E1994" t="str">
        <x:v>ga394a2f5-9ccb-45e2-8e67-8085d2ab8cc8</x:v>
      </x:c>
      <x:c r="F1994" t="str">
        <x:v>https://www.webonary.org/marubo/ga394a2f5-9ccb-45e2-8e67-8085d2ab8cc8/</x:v>
      </x:c>
      <x:c r="G1994" s="20" t="n">
        <x:v>46003.93497596065</x:v>
      </x:c>
    </x:row>
    <x:row r="1995">
      <x:c r="A1995" t="str">
        <x:v>rosto sujo</x:v>
      </x:c>
      <x:c r="B1995" t="str">
        <x:v>veshtaka</x:v>
      </x:c>
      <x:c r="C1995" t="str">
        <x:v>r</x:v>
      </x:c>
      <x:c r="D1995" t="str">
        <x:v>g114c3b4a-ab3e-453b-910f-2bc2d0d2afa4</x:v>
      </x:c>
      <x:c r="E1995" t="str">
        <x:v>gee621ab2-5686-435f-8820-d84f080e74db</x:v>
      </x:c>
      <x:c r="F1995" t="str">
        <x:v>https://www.webonary.org/marubo/gee621ab2-5686-435f-8820-d84f080e74db/</x:v>
      </x:c>
      <x:c r="G1995" s="20" t="n">
        <x:v>46003.93497596065</x:v>
      </x:c>
    </x:row>
    <x:row r="1996">
      <x:c r="A1996" t="str">
        <x:v>rótula</x:v>
      </x:c>
      <x:c r="B1996" t="str">
        <x:v>rome vetashti</x:v>
      </x:c>
      <x:c r="C1996" t="str">
        <x:v>r</x:v>
      </x:c>
      <x:c r="D1996" t="str">
        <x:v>g104dc975-e5ed-4354-ab5e-9e5e389aa2c8</x:v>
      </x:c>
      <x:c r="E1996" t="str">
        <x:v>gfef479ce-5f38-428c-96d4-90715f5c3d2c</x:v>
      </x:c>
      <x:c r="F1996" t="str">
        <x:v>https://www.webonary.org/marubo/gfef479ce-5f38-428c-96d4-90715f5c3d2c/</x:v>
      </x:c>
      <x:c r="G1996" s="20" t="n">
        <x:v>46003.93497596065</x:v>
      </x:c>
    </x:row>
    <x:row r="1997">
      <x:c r="A1997" t="str">
        <x:v>roubar</x:v>
      </x:c>
      <x:c r="B1997" t="str">
        <x:v>kerómá</x:v>
      </x:c>
      <x:c r="C1997" t="str">
        <x:v>r</x:v>
      </x:c>
      <x:c r="D1997" t="str">
        <x:v>gbb293bf3-3760-4ea1-8de1-f039ca3ae7c3</x:v>
      </x:c>
      <x:c r="E1997" t="str">
        <x:v>g75eb0105-4c39-4991-a5c7-1056f5ddccb0</x:v>
      </x:c>
      <x:c r="F1997" t="str">
        <x:v>https://www.webonary.org/marubo/g75eb0105-4c39-4991-a5c7-1056f5ddccb0/</x:v>
      </x:c>
      <x:c r="G1997" s="20" t="n">
        <x:v>46003.93497596065</x:v>
      </x:c>
    </x:row>
    <x:row r="1998">
      <x:c r="A1998" t="str">
        <x:v>roubar</x:v>
      </x:c>
      <x:c r="B1998" t="str">
        <x:v>oné ikí</x:v>
      </x:c>
      <x:c r="C1998" t="str">
        <x:v>r</x:v>
      </x:c>
      <x:c r="D1998" t="str">
        <x:v>gbb293bf3-3760-4ea1-8de1-f039ca3ae7c3</x:v>
      </x:c>
      <x:c r="E1998" t="str">
        <x:v>g938fd658-c09f-4abf-8f0c-ee0026e8461c</x:v>
      </x:c>
      <x:c r="F1998" t="str">
        <x:v>https://www.webonary.org/marubo/g938fd658-c09f-4abf-8f0c-ee0026e8461c/</x:v>
      </x:c>
      <x:c r="G1998" s="20" t="n">
        <x:v>46003.93497596065</x:v>
      </x:c>
    </x:row>
    <x:row r="1999">
      <x:c r="A1999" t="str">
        <x:v>roupa</x:v>
      </x:c>
      <x:c r="B1999" t="str">
        <x:v>õpo</x:v>
      </x:c>
      <x:c r="C1999" t="str">
        <x:v>r</x:v>
      </x:c>
      <x:c r="D1999" t="str">
        <x:v>gabfdc4d2-cb64-4bf2-848e-e0211437756f</x:v>
      </x:c>
      <x:c r="E1999" t="str">
        <x:v>gb2542219-e5a9-4699-901d-1972215c2e09</x:v>
      </x:c>
      <x:c r="F1999" t="str">
        <x:v>https://www.webonary.org/marubo/gb2542219-e5a9-4699-901d-1972215c2e09/</x:v>
      </x:c>
      <x:c r="G1999" s="20" t="n">
        <x:v>46003.93497596065</x:v>
      </x:c>
    </x:row>
    <x:row r="2000">
      <x:c r="A2000" t="str">
        <x:v>rudder</x:v>
      </x:c>
      <x:c r="B2000" t="str">
        <x:v>kate</x:v>
      </x:c>
      <x:c r="C2000" t="str">
        <x:v>r</x:v>
      </x:c>
      <x:c r="D2000" t="str">
        <x:v>gcd226a1e-cceb-41ff-a658-1b2b9254cbc0</x:v>
      </x:c>
      <x:c r="E2000" t="str">
        <x:v>ga88982ba-b17c-4e0b-a0cf-642ef4429eb9</x:v>
      </x:c>
      <x:c r="F2000" t="str">
        <x:v>https://www.webonary.org/marubo/ga88982ba-b17c-4e0b-a0cf-642ef4429eb9/</x:v>
      </x:c>
      <x:c r="G2000" s="20" t="n">
        <x:v>46003.93497596065</x:v>
      </x:c>
    </x:row>
    <x:row r="2001">
      <x:c r="A2001" t="str">
        <x:v>rugas</x:v>
      </x:c>
      <x:c r="B2001" t="str">
        <x:v>vetxõ</x:v>
      </x:c>
      <x:c r="C2001" t="str">
        <x:v>r</x:v>
      </x:c>
      <x:c r="D2001" t="str">
        <x:v>g4a3ad5a1-c97e-4051-be0b-7d7029992570</x:v>
      </x:c>
      <x:c r="E2001" t="str">
        <x:v>g76fe3d7e-dff9-4665-bd77-996297d67b72</x:v>
      </x:c>
      <x:c r="F2001" t="str">
        <x:v>https://www.webonary.org/marubo/g76fe3d7e-dff9-4665-bd77-996297d67b72/</x:v>
      </x:c>
      <x:c r="G2001" s="20" t="n">
        <x:v>46003.93497596065</x:v>
      </x:c>
    </x:row>
    <x:row r="2002">
      <x:c r="A2002" t="str">
        <x:v>rugir</x:v>
      </x:c>
      <x:c r="B2002" t="str">
        <x:v>kõko ikí</x:v>
      </x:c>
      <x:c r="C2002" t="str">
        <x:v>r</x:v>
      </x:c>
      <x:c r="D2002" t="str">
        <x:v>g129ce2fe-2582-41d0-8098-947bdf59c793</x:v>
      </x:c>
      <x:c r="E2002" t="str">
        <x:v>gf242f43f-1a56-4bf3-816d-b7727d08ee4e</x:v>
      </x:c>
      <x:c r="F2002" t="str">
        <x:v>https://www.webonary.org/marubo/gf242f43f-1a56-4bf3-816d-b7727d08ee4e/</x:v>
      </x:c>
      <x:c r="G2002" s="20" t="n">
        <x:v>46003.93497596065</x:v>
      </x:c>
    </x:row>
    <x:row r="2003">
      <x:c r="A2003" t="str">
        <x:v>ruído de animal passando pela mata</x:v>
      </x:c>
      <x:c r="B2003" t="str">
        <x:v>yere ikí</x:v>
      </x:c>
      <x:c r="C2003" t="str">
        <x:v>r</x:v>
      </x:c>
      <x:c r="D2003" t="str">
        <x:v>g23db3af6-c8df-4d46-8c9d-74060bfa8f2b</x:v>
      </x:c>
      <x:c r="E2003" t="str">
        <x:v>g0e55f752-2b40-4e98-9b4f-082eaa31b1fb</x:v>
      </x:c>
      <x:c r="F2003" t="str">
        <x:v>https://www.webonary.org/marubo/g0e55f752-2b40-4e98-9b4f-082eaa31b1fb/</x:v>
      </x:c>
      <x:c r="G2003" s="20" t="n">
        <x:v>46003.93497596065</x:v>
      </x:c>
    </x:row>
    <x:row r="2004">
      <x:c r="A2004" t="str">
        <x:v>ruim</x:v>
      </x:c>
      <x:c r="B2004" t="str">
        <x:v>itsaka</x:v>
      </x:c>
      <x:c r="C2004" t="str">
        <x:v>r</x:v>
      </x:c>
      <x:c r="D2004" t="str">
        <x:v>gf17c1956-dfa2-4a13-ae8f-0ab9d5e3f583</x:v>
      </x:c>
      <x:c r="E2004" t="str">
        <x:v>gc48d9929-6c59-4fe9-933d-46fb51339a8d</x:v>
      </x:c>
      <x:c r="F2004" t="str">
        <x:v>https://www.webonary.org/marubo/gc48d9929-6c59-4fe9-933d-46fb51339a8d/</x:v>
      </x:c>
      <x:c r="G2004" s="20" t="n">
        <x:v>46003.93497596065</x:v>
      </x:c>
    </x:row>
    <x:row r="2005">
      <x:c r="A2005" t="str">
        <x:v>ruim</x:v>
      </x:c>
      <x:c r="B2005" t="str">
        <x:v>ichnáka</x:v>
      </x:c>
      <x:c r="C2005" t="str">
        <x:v>r</x:v>
      </x:c>
      <x:c r="D2005" t="str">
        <x:v>gf17c1956-dfa2-4a13-ae8f-0ab9d5e3f583</x:v>
      </x:c>
      <x:c r="E2005" t="str">
        <x:v>gf30cbea4-8503-4123-b186-cbc8c745a3b5</x:v>
      </x:c>
      <x:c r="F2005" t="str">
        <x:v>https://www.webonary.org/marubo/gf30cbea4-8503-4123-b186-cbc8c745a3b5/</x:v>
      </x:c>
      <x:c r="G2005" s="20" t="n">
        <x:v>46003.93497596065</x:v>
      </x:c>
    </x:row>
    <x:row r="2006">
      <x:c r="A2006" t="str">
        <x:v>rungir</x:v>
      </x:c>
      <x:c r="B2006" t="str">
        <x:v>korõ iki</x:v>
      </x:c>
      <x:c r="C2006" t="str">
        <x:v>r</x:v>
      </x:c>
      <x:c r="D2006" t="str">
        <x:v>ge066617c-d57b-4006-b564-53d6b56fe8b2</x:v>
      </x:c>
      <x:c r="E2006" t="str">
        <x:v>g3e6482a9-332b-48ba-a548-3108d1967832</x:v>
      </x:c>
      <x:c r="F2006" t="str">
        <x:v>https://www.webonary.org/marubo/g3e6482a9-332b-48ba-a548-3108d1967832/</x:v>
      </x:c>
      <x:c r="G2006" s="20" t="n">
        <x:v>46003.93497596065</x:v>
      </x:c>
    </x:row>
    <x:row r="2007">
      <x:c r="A2007" t="str">
        <x:v>S/A&gt;A.PREV</x:v>
      </x:c>
      <x:c r="B2007" t="str">
        <x:v>-vaiki</x:v>
      </x:c>
      <x:c r="C2007" t="str">
        <x:v>s</x:v>
      </x:c>
      <x:c r="D2007" t="str">
        <x:v>gd23d75e8-d6b1-4390-903e-94a647e6c74a</x:v>
      </x:c>
      <x:c r="E2007" t="str">
        <x:v>gf7ac5fc6-9dc7-49ee-be6b-b5a7456b8681</x:v>
      </x:c>
      <x:c r="F2007" t="str">
        <x:v>https://www.webonary.org/marubo/gf7ac5fc6-9dc7-49ee-be6b-b5a7456b8681/</x:v>
      </x:c>
      <x:c r="G2007" s="20" t="n">
        <x:v>46003.93497596065</x:v>
      </x:c>
    </x:row>
    <x:row r="2008">
      <x:c r="A2008" t="str">
        <x:v>S/A&gt;A.SIM</x:v>
      </x:c>
      <x:c r="B2008" t="str">
        <x:v>-kĩ</x:v>
      </x:c>
      <x:c r="C2008" t="str">
        <x:v>s</x:v>
      </x:c>
      <x:c r="D2008" t="str">
        <x:v>gb71e5a1a-3456-42a1-bf7c-9e369cd601dc</x:v>
      </x:c>
      <x:c r="E2008" t="str">
        <x:v>g64bb1721-aab9-42d0-a368-52db487100c8</x:v>
      </x:c>
      <x:c r="F2008" t="str">
        <x:v>https://www.webonary.org/marubo/g64bb1721-aab9-42d0-a368-52db487100c8/</x:v>
      </x:c>
      <x:c r="G2008" s="20" t="n">
        <x:v>46003.93497596065</x:v>
      </x:c>
    </x:row>
    <x:row r="2009">
      <x:c r="A2009" t="str">
        <x:v>S/A&gt;A.SIM</x:v>
      </x:c>
      <x:c r="B2009" t="str">
        <x:v>1</x:v>
      </x:c>
      <x:c r="C2009" t="str">
        <x:v>s</x:v>
      </x:c>
      <x:c r="D2009" t="str">
        <x:v>gb71e5a1a-3456-42a1-bf7c-9e369cd601dc</x:v>
      </x:c>
      <x:c r="E2009" t="str">
        <x:v>g64bb1721-aab9-42d0-a368-52db487100c8</x:v>
      </x:c>
      <x:c r="F2009" t="str">
        <x:v>https://www.webonary.org/marubo/g64bb1721-aab9-42d0-a368-52db487100c8/</x:v>
      </x:c>
      <x:c r="G2009" s="20" t="n">
        <x:v>46003.93497596065</x:v>
      </x:c>
    </x:row>
    <x:row r="2010">
      <x:c r="A2010" t="str">
        <x:v>S/A&gt;A.SIM</x:v>
      </x:c>
      <x:c r="B2010" t="str">
        <x:v>-ki</x:v>
      </x:c>
      <x:c r="C2010" t="str">
        <x:v>s</x:v>
      </x:c>
      <x:c r="D2010" t="str">
        <x:v>gb71e5a1a-3456-42a1-bf7c-9e369cd601dc</x:v>
      </x:c>
      <x:c r="E2010" t="str">
        <x:v>g57859b6a-a6d0-4040-8d7a-1a938dbc8adf</x:v>
      </x:c>
      <x:c r="F2010" t="str">
        <x:v>https://www.webonary.org/marubo/g57859b6a-a6d0-4040-8d7a-1a938dbc8adf/</x:v>
      </x:c>
      <x:c r="G2010" s="20" t="n">
        <x:v>46003.93497596065</x:v>
      </x:c>
    </x:row>
    <x:row r="2011">
      <x:c r="A2011" t="str">
        <x:v>S/A&gt;A.SIM</x:v>
      </x:c>
      <x:c r="B2011" t="str">
        <x:v>1</x:v>
      </x:c>
      <x:c r="C2011" t="str">
        <x:v>s</x:v>
      </x:c>
      <x:c r="D2011" t="str">
        <x:v>gb71e5a1a-3456-42a1-bf7c-9e369cd601dc</x:v>
      </x:c>
      <x:c r="E2011" t="str">
        <x:v>g57859b6a-a6d0-4040-8d7a-1a938dbc8adf</x:v>
      </x:c>
      <x:c r="F2011" t="str">
        <x:v>https://www.webonary.org/marubo/g57859b6a-a6d0-4040-8d7a-1a938dbc8adf/</x:v>
      </x:c>
      <x:c r="G2011" s="20" t="n">
        <x:v>46003.93497596065</x:v>
      </x:c>
    </x:row>
    <x:row r="2012">
      <x:c r="A2012" t="str">
        <x:v>S/A&gt;S.PREV</x:v>
      </x:c>
      <x:c r="B2012" t="str">
        <x:v>-vai</x:v>
      </x:c>
      <x:c r="C2012" t="str">
        <x:v>s</x:v>
      </x:c>
      <x:c r="D2012" t="str">
        <x:v>ge51c38dc-380b-4e64-bc70-e419ffc2c6d5</x:v>
      </x:c>
      <x:c r="E2012" t="str">
        <x:v>gfa13a5fa-47a2-48da-930c-5f72659b73af</x:v>
      </x:c>
      <x:c r="F2012" t="str">
        <x:v>https://www.webonary.org/marubo/gfa13a5fa-47a2-48da-930c-5f72659b73af/</x:v>
      </x:c>
      <x:c r="G2012" s="20" t="n">
        <x:v>46003.93497596065</x:v>
      </x:c>
    </x:row>
    <x:row r="2013">
      <x:c r="A2013" t="str">
        <x:v>S/A&gt;S.PREV</x:v>
      </x:c>
      <x:c r="B2013" t="str">
        <x:v>2</x:v>
      </x:c>
      <x:c r="C2013" t="str">
        <x:v>s</x:v>
      </x:c>
      <x:c r="D2013" t="str">
        <x:v>ge51c38dc-380b-4e64-bc70-e419ffc2c6d5</x:v>
      </x:c>
      <x:c r="E2013" t="str">
        <x:v>gfa13a5fa-47a2-48da-930c-5f72659b73af</x:v>
      </x:c>
      <x:c r="F2013" t="str">
        <x:v>https://www.webonary.org/marubo/gfa13a5fa-47a2-48da-930c-5f72659b73af/</x:v>
      </x:c>
      <x:c r="G2013" s="20" t="n">
        <x:v>46003.93497596065</x:v>
      </x:c>
    </x:row>
    <x:row r="2014">
      <x:c r="A2014" t="str">
        <x:v>S/A&gt;S.SIM</x:v>
      </x:c>
      <x:c r="B2014" t="str">
        <x:v>-í</x:v>
      </x:c>
      <x:c r="C2014" t="str">
        <x:v>s</x:v>
      </x:c>
      <x:c r="D2014" t="str">
        <x:v>ga1187ca3-c464-4bab-bb4d-747da1559224</x:v>
      </x:c>
      <x:c r="E2014" t="str">
        <x:v>ge71a50d7-fa82-4dbf-b27f-179b8f31da67</x:v>
      </x:c>
      <x:c r="F2014" t="str">
        <x:v>https://www.webonary.org/marubo/ge71a50d7-fa82-4dbf-b27f-179b8f31da67/</x:v>
      </x:c>
      <x:c r="G2014" s="20" t="n">
        <x:v>46003.93497596065</x:v>
      </x:c>
    </x:row>
    <x:row r="2015">
      <x:c r="A2015" t="str">
        <x:v>S/A&gt;S.SIM</x:v>
      </x:c>
      <x:c r="B2015" t="str">
        <x:v>1</x:v>
      </x:c>
      <x:c r="C2015" t="str">
        <x:v>s</x:v>
      </x:c>
      <x:c r="D2015" t="str">
        <x:v>ga1187ca3-c464-4bab-bb4d-747da1559224</x:v>
      </x:c>
      <x:c r="E2015" t="str">
        <x:v>ge71a50d7-fa82-4dbf-b27f-179b8f31da67</x:v>
      </x:c>
      <x:c r="F2015" t="str">
        <x:v>https://www.webonary.org/marubo/ge71a50d7-fa82-4dbf-b27f-179b8f31da67/</x:v>
      </x:c>
      <x:c r="G2015" s="20" t="n">
        <x:v>46003.93497596065</x:v>
      </x:c>
    </x:row>
    <x:row r="2016">
      <x:c r="A2016" t="str">
        <x:v>S/A&gt;S.SIM</x:v>
      </x:c>
      <x:c r="B2016" t="str">
        <x:v>-i</x:v>
      </x:c>
      <x:c r="C2016" t="str">
        <x:v>s</x:v>
      </x:c>
      <x:c r="D2016" t="str">
        <x:v>ga1187ca3-c464-4bab-bb4d-747da1559224</x:v>
      </x:c>
      <x:c r="E2016" t="str">
        <x:v>gb39124a7-2831-46c3-a6e3-145bd7a1f3fb</x:v>
      </x:c>
      <x:c r="F2016" t="str">
        <x:v>https://www.webonary.org/marubo/gb39124a7-2831-46c3-a6e3-145bd7a1f3fb/</x:v>
      </x:c>
      <x:c r="G2016" s="20" t="n">
        <x:v>46003.93497596065</x:v>
      </x:c>
    </x:row>
    <x:row r="2017">
      <x:c r="A2017" t="str">
        <x:v>S/A&gt;S.SIM</x:v>
      </x:c>
      <x:c r="B2017" t="str">
        <x:v>1</x:v>
      </x:c>
      <x:c r="C2017" t="str">
        <x:v>s</x:v>
      </x:c>
      <x:c r="D2017" t="str">
        <x:v>ga1187ca3-c464-4bab-bb4d-747da1559224</x:v>
      </x:c>
      <x:c r="E2017" t="str">
        <x:v>gb39124a7-2831-46c3-a6e3-145bd7a1f3fb</x:v>
      </x:c>
      <x:c r="F2017" t="str">
        <x:v>https://www.webonary.org/marubo/gb39124a7-2831-46c3-a6e3-145bd7a1f3fb/</x:v>
      </x:c>
      <x:c r="G2017" s="20" t="n">
        <x:v>46003.93497596065</x:v>
      </x:c>
    </x:row>
    <x:row r="2018">
      <x:c r="A2018" t="str">
        <x:v>S/A&gt;S/A.POST</x:v>
      </x:c>
      <x:c r="B2018" t="str">
        <x:v>-nosho</x:v>
      </x:c>
      <x:c r="C2018" t="str">
        <x:v>s</x:v>
      </x:c>
      <x:c r="D2018" t="str">
        <x:v>gbdb32a74-b6fd-494f-87b2-ae809326f95f</x:v>
      </x:c>
      <x:c r="E2018" t="str">
        <x:v>g8abf7c5d-fee0-422c-aa3d-e742bf77cbcf</x:v>
      </x:c>
      <x:c r="F2018" t="str">
        <x:v>https://www.webonary.org/marubo/g8abf7c5d-fee0-422c-aa3d-e742bf77cbcf/</x:v>
      </x:c>
      <x:c r="G2018" s="20" t="n">
        <x:v>46003.93497596065</x:v>
      </x:c>
    </x:row>
    <x:row r="2019">
      <x:c r="A2019" t="str">
        <x:v>S/A&gt;S/A.PREV</x:v>
      </x:c>
      <x:c r="B2019" t="str">
        <x:v>-shõ</x:v>
      </x:c>
      <x:c r="C2019" t="str">
        <x:v>s</x:v>
      </x:c>
      <x:c r="D2019" t="str">
        <x:v>ge59b39a2-71f2-4f08-92d9-3cdd7fd82ab6</x:v>
      </x:c>
      <x:c r="E2019" t="str">
        <x:v>g974cd5aa-f5a9-4325-ae84-bc8b0707d064</x:v>
      </x:c>
      <x:c r="F2019" t="str">
        <x:v>https://www.webonary.org/marubo/g974cd5aa-f5a9-4325-ae84-bc8b0707d064/</x:v>
      </x:c>
      <x:c r="G2019" s="20" t="n">
        <x:v>46003.93497596065</x:v>
      </x:c>
    </x:row>
    <x:row r="2020">
      <x:c r="A2020" t="str">
        <x:v>S/A&gt;S/A.PREV</x:v>
      </x:c>
      <x:c r="B2020" t="str">
        <x:v>1</x:v>
      </x:c>
      <x:c r="C2020" t="str">
        <x:v>s</x:v>
      </x:c>
      <x:c r="D2020" t="str">
        <x:v>ge59b39a2-71f2-4f08-92d9-3cdd7fd82ab6</x:v>
      </x:c>
      <x:c r="E2020" t="str">
        <x:v>g974cd5aa-f5a9-4325-ae84-bc8b0707d064</x:v>
      </x:c>
      <x:c r="F2020" t="str">
        <x:v>https://www.webonary.org/marubo/g974cd5aa-f5a9-4325-ae84-bc8b0707d064/</x:v>
      </x:c>
      <x:c r="G2020" s="20" t="n">
        <x:v>46003.93497596065</x:v>
      </x:c>
    </x:row>
    <x:row r="2021">
      <x:c r="A2021" t="str">
        <x:v>S/A&gt;S/A.PREV</x:v>
      </x:c>
      <x:c r="B2021" t="str">
        <x:v>-sho</x:v>
      </x:c>
      <x:c r="C2021" t="str">
        <x:v>s</x:v>
      </x:c>
      <x:c r="D2021" t="str">
        <x:v>ge59b39a2-71f2-4f08-92d9-3cdd7fd82ab6</x:v>
      </x:c>
      <x:c r="E2021" t="str">
        <x:v>gba6da962-1876-4c9a-9f8e-0fc50348316b</x:v>
      </x:c>
      <x:c r="F2021" t="str">
        <x:v>https://www.webonary.org/marubo/gba6da962-1876-4c9a-9f8e-0fc50348316b/</x:v>
      </x:c>
      <x:c r="G2021" s="20" t="n">
        <x:v>46003.93497596065</x:v>
      </x:c>
    </x:row>
    <x:row r="2022">
      <x:c r="A2022" t="str">
        <x:v>S/A&gt;S/A.PREV</x:v>
      </x:c>
      <x:c r="B2022" t="str">
        <x:v>1</x:v>
      </x:c>
      <x:c r="C2022" t="str">
        <x:v>s</x:v>
      </x:c>
      <x:c r="D2022" t="str">
        <x:v>ge59b39a2-71f2-4f08-92d9-3cdd7fd82ab6</x:v>
      </x:c>
      <x:c r="E2022" t="str">
        <x:v>gba6da962-1876-4c9a-9f8e-0fc50348316b</x:v>
      </x:c>
      <x:c r="F2022" t="str">
        <x:v>https://www.webonary.org/marubo/gba6da962-1876-4c9a-9f8e-0fc50348316b/</x:v>
      </x:c>
      <x:c r="G2022" s="20" t="n">
        <x:v>46003.93497596065</x:v>
      </x:c>
    </x:row>
    <x:row r="2023">
      <x:c r="A2023" t="str">
        <x:v>sabão</x:v>
      </x:c>
      <x:c r="B2023" t="str">
        <x:v>avo</x:v>
      </x:c>
      <x:c r="C2023" t="str">
        <x:v>s</x:v>
      </x:c>
      <x:c r="D2023" t="str">
        <x:v>g51505d9b-e79a-4628-845e-f59825613b26</x:v>
      </x:c>
      <x:c r="E2023" t="str">
        <x:v>gddd859cb-6095-4db1-8cf4-c9f1bc6f4040</x:v>
      </x:c>
      <x:c r="F2023" t="str">
        <x:v>https://www.webonary.org/marubo/gddd859cb-6095-4db1-8cf4-c9f1bc6f4040/</x:v>
      </x:c>
      <x:c r="G2023" s="20" t="n">
        <x:v>46003.93497596065</x:v>
      </x:c>
    </x:row>
    <x:row r="2024">
      <x:c r="A2024" t="str">
        <x:v>sabor</x:v>
      </x:c>
      <x:c r="B2024" t="str">
        <x:v>aneka</x:v>
      </x:c>
      <x:c r="C2024" t="str">
        <x:v>s</x:v>
      </x:c>
      <x:c r="D2024" t="str">
        <x:v>g940f4199-3cab-4cf8-9963-a7eeb717c59b</x:v>
      </x:c>
      <x:c r="E2024" t="str">
        <x:v>g58646c53-506b-40fe-88bf-f3d833918dd5</x:v>
      </x:c>
      <x:c r="F2024" t="str">
        <x:v>https://www.webonary.org/marubo/g58646c53-506b-40fe-88bf-f3d833918dd5/</x:v>
      </x:c>
      <x:c r="G2024" s="20" t="n">
        <x:v>46003.93497596065</x:v>
      </x:c>
    </x:row>
    <x:row r="2025">
      <x:c r="A2025" t="str">
        <x:v>saco</x:v>
      </x:c>
      <x:c r="B2025" t="str">
        <x:v>koróti</x:v>
      </x:c>
      <x:c r="C2025" t="str">
        <x:v>s</x:v>
      </x:c>
      <x:c r="D2025" t="str">
        <x:v>g394e3777-506d-4d90-815c-aca9f9bdaa13</x:v>
      </x:c>
      <x:c r="E2025" t="str">
        <x:v>g69141961-8815-49e7-890b-e1c5f8af3037</x:v>
      </x:c>
      <x:c r="F2025" t="str">
        <x:v>https://www.webonary.org/marubo/g69141961-8815-49e7-890b-e1c5f8af3037/</x:v>
      </x:c>
      <x:c r="G2025" s="20" t="n">
        <x:v>46003.93497596065</x:v>
      </x:c>
    </x:row>
    <x:row r="2026">
      <x:c r="A2026" t="str">
        <x:v>saco de plástico</x:v>
      </x:c>
      <x:c r="B2026" t="str">
        <x:v>papíri mochika</x:v>
      </x:c>
      <x:c r="C2026" t="str">
        <x:v>s</x:v>
      </x:c>
      <x:c r="D2026" t="str">
        <x:v>g2dfb41d9-20ef-4048-add6-859de0b1cd45</x:v>
      </x:c>
      <x:c r="E2026" t="str">
        <x:v>g2fdc9683-5e50-4d63-a34d-2e6b7fca2ce2</x:v>
      </x:c>
      <x:c r="F2026" t="str">
        <x:v>https://www.webonary.org/marubo/g2fdc9683-5e50-4d63-a34d-2e6b7fca2ce2/</x:v>
      </x:c>
      <x:c r="G2026" s="20" t="n">
        <x:v>46003.93497596065</x:v>
      </x:c>
    </x:row>
    <x:row r="2027">
      <x:c r="A2027" t="str">
        <x:v>sacudir</x:v>
      </x:c>
      <x:c r="B2027" t="str">
        <x:v>tashti kewã</x:v>
      </x:c>
      <x:c r="C2027" t="str">
        <x:v>s</x:v>
      </x:c>
      <x:c r="D2027" t="str">
        <x:v>g18ef6c62-f99b-47da-9ee1-f9294d5c6848</x:v>
      </x:c>
      <x:c r="E2027" t="str">
        <x:v>g7be0dabf-30d6-41fa-a2d0-06365c0c3a58</x:v>
      </x:c>
      <x:c r="F2027" t="str">
        <x:v>https://www.webonary.org/marubo/g7be0dabf-30d6-41fa-a2d0-06365c0c3a58/</x:v>
      </x:c>
      <x:c r="G2027" s="20" t="n">
        <x:v>46003.93497596065</x:v>
      </x:c>
    </x:row>
    <x:row r="2028">
      <x:c r="A2028" t="str">
        <x:v>saia</x:v>
      </x:c>
      <x:c r="B2028" t="str">
        <x:v>vatxi</x:v>
      </x:c>
      <x:c r="C2028" t="str">
        <x:v>s</x:v>
      </x:c>
      <x:c r="D2028" t="str">
        <x:v>gdf2a4b07-ed55-4b96-a00a-54ebaf83c7b6</x:v>
      </x:c>
      <x:c r="E2028" t="str">
        <x:v>g4b20876b-f0e0-4758-929b-6398fd05f067</x:v>
      </x:c>
      <x:c r="F2028" t="str">
        <x:v>https://www.webonary.org/marubo/g4b20876b-f0e0-4758-929b-6398fd05f067/</x:v>
      </x:c>
      <x:c r="G2028" s="20" t="n">
        <x:v>46003.93497596065</x:v>
      </x:c>
    </x:row>
    <x:row r="2029">
      <x:c r="A2029" t="str">
        <x:v>saia curta</x:v>
      </x:c>
      <x:c r="B2029" t="str">
        <x:v>txeshte</x:v>
      </x:c>
      <x:c r="C2029" t="str">
        <x:v>s</x:v>
      </x:c>
      <x:c r="D2029" t="str">
        <x:v>ge6df01db-b00d-408c-a635-afeff90cb4ee</x:v>
      </x:c>
      <x:c r="E2029" t="str">
        <x:v>gd93b4cda-b91c-41e5-b36e-106413520b84</x:v>
      </x:c>
      <x:c r="F2029" t="str">
        <x:v>https://www.webonary.org/marubo/gd93b4cda-b91c-41e5-b36e-106413520b84/</x:v>
      </x:c>
      <x:c r="G2029" s="20" t="n">
        <x:v>46003.93497596065</x:v>
      </x:c>
    </x:row>
    <x:row r="2030">
      <x:c r="A2030" t="str">
        <x:v>sal</x:v>
      </x:c>
      <x:c r="B2030" t="str">
        <x:v>katxi</x:v>
      </x:c>
      <x:c r="C2030" t="str">
        <x:v>s</x:v>
      </x:c>
      <x:c r="D2030" t="str">
        <x:v>gc9309c03-1f1a-4855-a262-21bb4fc4db4f</x:v>
      </x:c>
      <x:c r="E2030" t="str">
        <x:v>g6e9dcb8b-929e-4591-942a-6c46050e134c</x:v>
      </x:c>
      <x:c r="F2030" t="str">
        <x:v>https://www.webonary.org/marubo/g6e9dcb8b-929e-4591-942a-6c46050e134c/</x:v>
      </x:c>
      <x:c r="G2030" s="20" t="n">
        <x:v>46003.93497596065</x:v>
      </x:c>
    </x:row>
    <x:row r="2031">
      <x:c r="A2031" t="str">
        <x:v>salgado</x:v>
      </x:c>
      <x:c r="B2031" t="str">
        <x:v>katxivátaka</x:v>
      </x:c>
      <x:c r="C2031" t="str">
        <x:v>s</x:v>
      </x:c>
      <x:c r="D2031" t="str">
        <x:v>g9694a31f-8cc6-4a08-883f-e59e1fe67e91</x:v>
      </x:c>
      <x:c r="E2031" t="str">
        <x:v>g6d61f93a-5851-4cef-9a37-f62fc1b62103</x:v>
      </x:c>
      <x:c r="F2031" t="str">
        <x:v>https://www.webonary.org/marubo/g6d61f93a-5851-4cef-9a37-f62fc1b62103/</x:v>
      </x:c>
      <x:c r="G2031" s="20" t="n">
        <x:v>46003.93497596065</x:v>
      </x:c>
    </x:row>
    <x:row r="2032">
      <x:c r="A2032" t="str">
        <x:v>saliva</x:v>
      </x:c>
      <x:c r="B2032" t="str">
        <x:v>siso</x:v>
      </x:c>
      <x:c r="C2032" t="str">
        <x:v>s</x:v>
      </x:c>
      <x:c r="D2032" t="str">
        <x:v>gf79b332c-5f8f-48fc-8c78-3d91893ccbb1</x:v>
      </x:c>
      <x:c r="E2032" t="str">
        <x:v>g27c75303-2836-4e71-8d1d-49a01b635c53</x:v>
      </x:c>
      <x:c r="F2032" t="str">
        <x:v>https://www.webonary.org/marubo/g27c75303-2836-4e71-8d1d-49a01b635c53/</x:v>
      </x:c>
      <x:c r="G2032" s="20" t="n">
        <x:v>46003.93497596065</x:v>
      </x:c>
    </x:row>
    <x:row r="2033">
      <x:c r="A2033" t="str">
        <x:v>saliva</x:v>
      </x:c>
      <x:c r="B2033" t="str">
        <x:v>keyõ</x:v>
      </x:c>
      <x:c r="C2033" t="str">
        <x:v>s</x:v>
      </x:c>
      <x:c r="D2033" t="str">
        <x:v>gf79b332c-5f8f-48fc-8c78-3d91893ccbb1</x:v>
      </x:c>
      <x:c r="E2033" t="str">
        <x:v>gb1241e12-2abc-4e20-95d2-9586598e8920</x:v>
      </x:c>
      <x:c r="F2033" t="str">
        <x:v>https://www.webonary.org/marubo/gb1241e12-2abc-4e20-95d2-9586598e8920/</x:v>
      </x:c>
      <x:c r="G2033" s="20" t="n">
        <x:v>46003.93497596065</x:v>
      </x:c>
    </x:row>
    <x:row r="2034">
      <x:c r="A2034" t="str">
        <x:v>saliva</x:v>
      </x:c>
      <x:c r="B2034" t="str">
        <x:v>kemo</x:v>
      </x:c>
      <x:c r="C2034" t="str">
        <x:v>s</x:v>
      </x:c>
      <x:c r="D2034" t="str">
        <x:v>gf79b332c-5f8f-48fc-8c78-3d91893ccbb1</x:v>
      </x:c>
      <x:c r="E2034" t="str">
        <x:v>gfbcbcbd2-5dae-4d87-9425-9dd5cef15b77</x:v>
      </x:c>
      <x:c r="F2034" t="str">
        <x:v>https://www.webonary.org/marubo/gfbcbcbd2-5dae-4d87-9425-9dd5cef15b77/</x:v>
      </x:c>
      <x:c r="G2034" s="20" t="n">
        <x:v>46003.93497596065</x:v>
      </x:c>
    </x:row>
    <x:row r="2035">
      <x:c r="A2035" t="str">
        <x:v>sangrar</x:v>
      </x:c>
      <x:c r="B2035" t="str">
        <x:v>imi ikí</x:v>
      </x:c>
      <x:c r="C2035" t="str">
        <x:v>s</x:v>
      </x:c>
      <x:c r="D2035" t="str">
        <x:v>g4c7fba23-f8b8-46b2-8a54-b31adb16fbbf</x:v>
      </x:c>
      <x:c r="E2035" t="str">
        <x:v>g390354ce-861c-4bf9-8149-2a4f434d62f6</x:v>
      </x:c>
      <x:c r="F2035" t="str">
        <x:v>https://www.webonary.org/marubo/g390354ce-861c-4bf9-8149-2a4f434d62f6/</x:v>
      </x:c>
      <x:c r="G2035" s="20" t="n">
        <x:v>46003.93497596065</x:v>
      </x:c>
    </x:row>
    <x:row r="2036">
      <x:c r="A2036" t="str">
        <x:v>sangue</x:v>
      </x:c>
      <x:c r="B2036" t="str">
        <x:v>imi</x:v>
      </x:c>
      <x:c r="C2036" t="str">
        <x:v>s</x:v>
      </x:c>
      <x:c r="D2036" t="str">
        <x:v>gd55e8e8f-1e8b-41da-bb9d-388027da1fa8</x:v>
      </x:c>
      <x:c r="E2036" t="str">
        <x:v>g9f596d4a-4993-4e62-a849-f28fccf5ae23</x:v>
      </x:c>
      <x:c r="F2036" t="str">
        <x:v>https://www.webonary.org/marubo/g9f596d4a-4993-4e62-a849-f28fccf5ae23/</x:v>
      </x:c>
      <x:c r="G2036" s="20" t="n">
        <x:v>46003.93497596065</x:v>
      </x:c>
    </x:row>
    <x:row r="2037">
      <x:c r="A2037" t="str">
        <x:v>sapato)</x:v>
      </x:c>
      <x:c r="B2037" t="str">
        <x:v>poskea</x:v>
      </x:c>
      <x:c r="C2037" t="str">
        <x:v>s</x:v>
      </x:c>
      <x:c r="D2037" t="str">
        <x:v>gcbb09cf4-99b6-469a-87ed-04200f5f9db8</x:v>
      </x:c>
      <x:c r="E2037" t="str">
        <x:v>g9a5f6dea-213e-4430-8c58-ed729dbd0e28</x:v>
      </x:c>
      <x:c r="F2037" t="str">
        <x:v>https://www.webonary.org/marubo/g9a5f6dea-213e-4430-8c58-ed729dbd0e28/</x:v>
      </x:c>
      <x:c r="G2037" s="20" t="n">
        <x:v>46003.93497596065</x:v>
      </x:c>
    </x:row>
    <x:row r="2038">
      <x:c r="A2038" t="str">
        <x:v>sapo bufo</x:v>
      </x:c>
      <x:c r="B2038" t="str">
        <x:v>tokore</x:v>
      </x:c>
      <x:c r="C2038" t="str">
        <x:v>s</x:v>
      </x:c>
      <x:c r="D2038" t="str">
        <x:v>g81d704f8-8078-4b7c-bc64-ee7dddb084fc</x:v>
      </x:c>
      <x:c r="E2038" t="str">
        <x:v>gd4a91a33-e23d-468e-82f7-c3cebf07aeb1</x:v>
      </x:c>
      <x:c r="F2038" t="str">
        <x:v>https://www.webonary.org/marubo/gd4a91a33-e23d-468e-82f7-c3cebf07aeb1/</x:v>
      </x:c>
      <x:c r="G2038" s="20" t="n">
        <x:v>46003.93497596065</x:v>
      </x:c>
    </x:row>
    <x:row r="2039">
      <x:c r="A2039" t="str">
        <x:v>sapo perereca</x:v>
      </x:c>
      <x:c r="B2039" t="str">
        <x:v>txaki</x:v>
      </x:c>
      <x:c r="C2039" t="str">
        <x:v>s</x:v>
      </x:c>
      <x:c r="D2039" t="str">
        <x:v>g9c68a84a-92ec-4902-b0a3-e29cd91e6fc8</x:v>
      </x:c>
      <x:c r="E2039" t="str">
        <x:v>gdc6d0e9d-db72-4eab-a358-49579692e5b1</x:v>
      </x:c>
      <x:c r="F2039" t="str">
        <x:v>https://www.webonary.org/marubo/gdc6d0e9d-db72-4eab-a358-49579692e5b1/</x:v>
      </x:c>
      <x:c r="G2039" s="20" t="n">
        <x:v>46003.93497596065</x:v>
      </x:c>
    </x:row>
    <x:row r="2040">
      <x:c r="A2040" t="str">
        <x:v>sapo perereca</x:v>
      </x:c>
      <x:c r="B2040" t="str">
        <x:v>txẽkéshe</x:v>
      </x:c>
      <x:c r="C2040" t="str">
        <x:v>s</x:v>
      </x:c>
      <x:c r="D2040" t="str">
        <x:v>g9c68a84a-92ec-4902-b0a3-e29cd91e6fc8</x:v>
      </x:c>
      <x:c r="E2040" t="str">
        <x:v>g930b878b-72aa-4ced-ad57-60ccbc195d7e</x:v>
      </x:c>
      <x:c r="F2040" t="str">
        <x:v>https://www.webonary.org/marubo/g930b878b-72aa-4ced-ad57-60ccbc195d7e/</x:v>
      </x:c>
      <x:c r="G2040" s="20" t="n">
        <x:v>46003.93497596065</x:v>
      </x:c>
    </x:row>
    <x:row r="2041">
      <x:c r="A2041" t="str">
        <x:v>sapo phyllomedusa bicolor</x:v>
      </x:c>
      <x:c r="B2041" t="str">
        <x:v>kãpó</x:v>
      </x:c>
      <x:c r="C2041" t="str">
        <x:v>s</x:v>
      </x:c>
      <x:c r="D2041" t="str">
        <x:v>g3533ba2b-b5e6-408a-88b7-fb531fddd90f</x:v>
      </x:c>
      <x:c r="E2041" t="str">
        <x:v>gc09d5225-cd05-4ffe-b1cd-ddc162b72d52</x:v>
      </x:c>
      <x:c r="F2041" t="str">
        <x:v>https://www.webonary.org/marubo/gc09d5225-cd05-4ffe-b1cd-ddc162b72d52/</x:v>
      </x:c>
      <x:c r="G2041" s="20" t="n">
        <x:v>46003.93497596065</x:v>
      </x:c>
    </x:row>
    <x:row r="2042">
      <x:c r="A2042" t="str">
        <x:v>sapopemba</x:v>
      </x:c>
      <x:c r="B2042" t="str">
        <x:v>iwi vema</x:v>
      </x:c>
      <x:c r="C2042" t="str">
        <x:v>s</x:v>
      </x:c>
      <x:c r="D2042" t="str">
        <x:v>g7da0e2a9-b987-4df5-b8ca-5ad835cfe729</x:v>
      </x:c>
      <x:c r="E2042" t="str">
        <x:v>gcabbf17d-5181-42a1-9f42-04659923ed89</x:v>
      </x:c>
      <x:c r="F2042" t="str">
        <x:v>https://www.webonary.org/marubo/gcabbf17d-5181-42a1-9f42-04659923ed89/</x:v>
      </x:c>
      <x:c r="G2042" s="20" t="n">
        <x:v>46003.93497596065</x:v>
      </x:c>
    </x:row>
    <x:row r="2043">
      <x:c r="A2043" t="str">
        <x:v>sapóta</x:v>
      </x:c>
      <x:c r="B2043" t="str">
        <x:v>itxivi</x:v>
      </x:c>
      <x:c r="C2043" t="str">
        <x:v>s</x:v>
      </x:c>
      <x:c r="D2043" t="str">
        <x:v>gaac9e419-48e8-4649-be46-12b9919de9fb</x:v>
      </x:c>
      <x:c r="E2043" t="str">
        <x:v>gb85516ae-57bf-45a0-8bbc-beaa0112c7a8</x:v>
      </x:c>
      <x:c r="F2043" t="str">
        <x:v>https://www.webonary.org/marubo/gb85516ae-57bf-45a0-8bbc-beaa0112c7a8/</x:v>
      </x:c>
      <x:c r="G2043" s="20" t="n">
        <x:v>46003.93497596065</x:v>
      </x:c>
    </x:row>
    <x:row r="2044">
      <x:c r="A2044" t="str">
        <x:v>saracura</x:v>
      </x:c>
      <x:c r="B2044" t="str">
        <x:v>txashkõ</x:v>
      </x:c>
      <x:c r="C2044" t="str">
        <x:v>s</x:v>
      </x:c>
      <x:c r="D2044" t="str">
        <x:v>g61acdeb0-7d72-4919-9772-6f0eef6fce79</x:v>
      </x:c>
      <x:c r="E2044" t="str">
        <x:v>gfb595f66-dea5-4917-a9ee-75dc9fc348d1</x:v>
      </x:c>
      <x:c r="F2044" t="str">
        <x:v>https://www.webonary.org/marubo/gfb595f66-dea5-4917-a9ee-75dc9fc348d1/</x:v>
      </x:c>
      <x:c r="G2044" s="20" t="n">
        <x:v>46003.93497596065</x:v>
      </x:c>
    </x:row>
    <x:row r="2045">
      <x:c r="A2045" t="str">
        <x:v>sarar</x:v>
      </x:c>
      <x:c r="B2045" t="str">
        <x:v>voa</x:v>
      </x:c>
      <x:c r="C2045" t="str">
        <x:v>s</x:v>
      </x:c>
      <x:c r="D2045" t="str">
        <x:v>g6c4f1bf0-2214-4133-80e2-98d40968aa8c</x:v>
      </x:c>
      <x:c r="E2045" t="str">
        <x:v>gb8f7a8bb-2cff-457c-8d32-5d116b6b1ddb</x:v>
      </x:c>
      <x:c r="F2045" t="str">
        <x:v>https://www.webonary.org/marubo/gb8f7a8bb-2cff-457c-8d32-5d116b6b1ddb/</x:v>
      </x:c>
      <x:c r="G2045" s="20" t="n">
        <x:v>46003.93497596065</x:v>
      </x:c>
    </x:row>
    <x:row r="2046">
      <x:c r="A2046" t="str">
        <x:v>sarar</x:v>
      </x:c>
      <x:c r="B2046" t="str">
        <x:v>1</x:v>
      </x:c>
      <x:c r="C2046" t="str">
        <x:v>s</x:v>
      </x:c>
      <x:c r="D2046" t="str">
        <x:v>g6c4f1bf0-2214-4133-80e2-98d40968aa8c</x:v>
      </x:c>
      <x:c r="E2046" t="str">
        <x:v>gb8f7a8bb-2cff-457c-8d32-5d116b6b1ddb</x:v>
      </x:c>
      <x:c r="F2046" t="str">
        <x:v>https://www.webonary.org/marubo/gb8f7a8bb-2cff-457c-8d32-5d116b6b1ddb/</x:v>
      </x:c>
      <x:c r="G2046" s="20" t="n">
        <x:v>46003.93497596065</x:v>
      </x:c>
    </x:row>
    <x:row r="2047">
      <x:c r="A2047" t="str">
        <x:v>satisfeito</x:v>
      </x:c>
      <x:c r="B2047" t="str">
        <x:v>yanika</x:v>
      </x:c>
      <x:c r="C2047" t="str">
        <x:v>s</x:v>
      </x:c>
      <x:c r="D2047" t="str">
        <x:v>g67227efc-0461-40a2-b5e3-4327161173d8</x:v>
      </x:c>
      <x:c r="E2047" t="str">
        <x:v>gf9518fda-8717-46a9-a5b6-80d743bb332f</x:v>
      </x:c>
      <x:c r="F2047" t="str">
        <x:v>https://www.webonary.org/marubo/gf9518fda-8717-46a9-a5b6-80d743bb332f/</x:v>
      </x:c>
      <x:c r="G2047" s="20" t="n">
        <x:v>46003.93498275463</x:v>
      </x:c>
    </x:row>
    <x:row r="2048">
      <x:c r="A2048" t="str">
        <x:v>saúva</x:v>
      </x:c>
      <x:c r="B2048" t="str">
        <x:v>chichi</x:v>
      </x:c>
      <x:c r="C2048" t="str">
        <x:v>s</x:v>
      </x:c>
      <x:c r="D2048" t="str">
        <x:v>g7e32a6cc-f501-4ba5-903b-fc2f78d1e0ce</x:v>
      </x:c>
      <x:c r="E2048" t="str">
        <x:v>g17ea03a8-4e08-4bd7-805c-b2c58b7e54ca</x:v>
      </x:c>
      <x:c r="F2048" t="str">
        <x:v>https://www.webonary.org/marubo/g17ea03a8-4e08-4bd7-805c-b2c58b7e54ca/</x:v>
      </x:c>
      <x:c r="G2048" s="20" t="n">
        <x:v>46003.93498275463</x:v>
      </x:c>
    </x:row>
    <x:row r="2049">
      <x:c r="A2049" t="str">
        <x:v>saúva</x:v>
      </x:c>
      <x:c r="B2049" t="str">
        <x:v>1</x:v>
      </x:c>
      <x:c r="C2049" t="str">
        <x:v>s</x:v>
      </x:c>
      <x:c r="D2049" t="str">
        <x:v>g7e32a6cc-f501-4ba5-903b-fc2f78d1e0ce</x:v>
      </x:c>
      <x:c r="E2049" t="str">
        <x:v>g17ea03a8-4e08-4bd7-805c-b2c58b7e54ca</x:v>
      </x:c>
      <x:c r="F2049" t="str">
        <x:v>https://www.webonary.org/marubo/g17ea03a8-4e08-4bd7-805c-b2c58b7e54ca/</x:v>
      </x:c>
      <x:c r="G2049" s="20" t="n">
        <x:v>46003.93498275463</x:v>
      </x:c>
    </x:row>
    <x:row r="2050">
      <x:c r="A2050" t="str">
        <x:v>saúva comestível</x:v>
      </x:c>
      <x:c r="B2050" t="str">
        <x:v>chichĩ ewa</x:v>
      </x:c>
      <x:c r="C2050" t="str">
        <x:v>s</x:v>
      </x:c>
      <x:c r="D2050" t="str">
        <x:v>g7c9ce76b-3eab-4987-ab21-83df73c8e7db</x:v>
      </x:c>
      <x:c r="E2050" t="str">
        <x:v>g9fe20cf3-d81b-4fe7-b3b4-0a060cd75f6a</x:v>
      </x:c>
      <x:c r="F2050" t="str">
        <x:v>https://www.webonary.org/marubo/g9fe20cf3-d81b-4fe7-b3b4-0a060cd75f6a/</x:v>
      </x:c>
      <x:c r="G2050" s="20" t="n">
        <x:v>46003.93498275463</x:v>
      </x:c>
    </x:row>
    <x:row r="2051">
      <x:c r="A2051" t="str">
        <x:v>saúva voadora</x:v>
      </x:c>
      <x:c r="B2051" t="str">
        <x:v>chipĩwa</x:v>
      </x:c>
      <x:c r="C2051" t="str">
        <x:v>s</x:v>
      </x:c>
      <x:c r="D2051" t="str">
        <x:v>g071808eb-bdb7-4225-b7d9-843128b9ac46</x:v>
      </x:c>
      <x:c r="E2051" t="str">
        <x:v>g50e22609-e0e1-409e-a415-d432700190fd</x:v>
      </x:c>
      <x:c r="F2051" t="str">
        <x:v>https://www.webonary.org/marubo/g50e22609-e0e1-409e-a415-d432700190fd/</x:v>
      </x:c>
      <x:c r="G2051" s="20" t="n">
        <x:v>46003.93498275463</x:v>
      </x:c>
    </x:row>
    <x:row r="2052">
      <x:c r="A2052" t="str">
        <x:v>saúva voadora</x:v>
      </x:c>
      <x:c r="B2052" t="str">
        <x:v>1</x:v>
      </x:c>
      <x:c r="C2052" t="str">
        <x:v>s</x:v>
      </x:c>
      <x:c r="D2052" t="str">
        <x:v>g071808eb-bdb7-4225-b7d9-843128b9ac46</x:v>
      </x:c>
      <x:c r="E2052" t="str">
        <x:v>g50e22609-e0e1-409e-a415-d432700190fd</x:v>
      </x:c>
      <x:c r="F2052" t="str">
        <x:v>https://www.webonary.org/marubo/g50e22609-e0e1-409e-a415-d432700190fd/</x:v>
      </x:c>
      <x:c r="G2052" s="20" t="n">
        <x:v>46003.93498275463</x:v>
      </x:c>
    </x:row>
    <x:row r="2053">
      <x:c r="A2053" t="str">
        <x:v>SD</x:v>
      </x:c>
      <x:c r="B2053" t="str">
        <x:v>-tõsho</x:v>
      </x:c>
      <x:c r="C2053" t="str">
        <x:v>s</x:v>
      </x:c>
      <x:c r="D2053" t="str">
        <x:v>g52247745-c1b8-4a97-82e8-ece9b35decda</x:v>
      </x:c>
      <x:c r="E2053" t="str">
        <x:v>g7d79d60e-7635-4cfe-a5ce-15ee9544b0fa</x:v>
      </x:c>
      <x:c r="F2053" t="str">
        <x:v>https://www.webonary.org/marubo/g7d79d60e-7635-4cfe-a5ce-15ee9544b0fa/</x:v>
      </x:c>
      <x:c r="G2053" s="20" t="n">
        <x:v>46003.93498275463</x:v>
      </x:c>
    </x:row>
    <x:row r="2054">
      <x:c r="A2054" t="str">
        <x:v>SD</x:v>
      </x:c>
      <x:c r="B2054" t="str">
        <x:v>-maĩnõ</x:v>
      </x:c>
      <x:c r="C2054" t="str">
        <x:v>s</x:v>
      </x:c>
      <x:c r="D2054" t="str">
        <x:v>g52247745-c1b8-4a97-82e8-ece9b35decda</x:v>
      </x:c>
      <x:c r="E2054" t="str">
        <x:v>gbd28cf07-9757-4bf7-9557-d5eac9099cd0</x:v>
      </x:c>
      <x:c r="F2054" t="str">
        <x:v>https://www.webonary.org/marubo/gbd28cf07-9757-4bf7-9557-d5eac9099cd0/</x:v>
      </x:c>
      <x:c r="G2054" s="20" t="n">
        <x:v>46003.93498275463</x:v>
      </x:c>
    </x:row>
    <x:row r="2055">
      <x:c r="A2055" t="str">
        <x:v>se perder</x:v>
      </x:c>
      <x:c r="B2055" t="str">
        <x:v>venóa</x:v>
      </x:c>
      <x:c r="C2055" t="str">
        <x:v>s</x:v>
      </x:c>
      <x:c r="D2055" t="str">
        <x:v>g6d58f315-854b-4205-bd76-b52efa35011a</x:v>
      </x:c>
      <x:c r="E2055" t="str">
        <x:v>g0db671cf-6d63-449c-8ab4-b454911f0cfe</x:v>
      </x:c>
      <x:c r="F2055" t="str">
        <x:v>https://www.webonary.org/marubo/g0db671cf-6d63-449c-8ab4-b454911f0cfe/</x:v>
      </x:c>
      <x:c r="G2055" s="20" t="n">
        <x:v>46003.93498275463</x:v>
      </x:c>
    </x:row>
    <x:row r="2056">
      <x:c r="A2056" t="str">
        <x:v>se prostrar no chão</x:v>
      </x:c>
      <x:c r="B2056" t="str">
        <x:v>vetseki ipá</x:v>
      </x:c>
      <x:c r="C2056" t="str">
        <x:v>s</x:v>
      </x:c>
      <x:c r="D2056" t="str">
        <x:v>g112137b4-b7b9-44df-bb1c-b5e0fd5b340d</x:v>
      </x:c>
      <x:c r="E2056" t="str">
        <x:v>g122a14bb-a9a1-4043-8ed8-c8fcfbc448c8</x:v>
      </x:c>
      <x:c r="F2056" t="str">
        <x:v>https://www.webonary.org/marubo/g122a14bb-a9a1-4043-8ed8-c8fcfbc448c8/</x:v>
      </x:c>
      <x:c r="G2056" s="20" t="n">
        <x:v>46003.93498275463</x:v>
      </x:c>
    </x:row>
    <x:row r="2057">
      <x:c r="A2057" t="str">
        <x:v>secador de mãos? toalhas de papel?</x:v>
      </x:c>
      <x:c r="B2057" t="str">
        <x:v>meskiti</x:v>
      </x:c>
      <x:c r="C2057" t="str">
        <x:v>s</x:v>
      </x:c>
      <x:c r="D2057" t="str">
        <x:v>gc91f7d76-79b4-47be-bb06-6c1a37b43f15</x:v>
      </x:c>
      <x:c r="E2057" t="str">
        <x:v>gc78b0753-14ea-4691-bb5a-94bce518c813</x:v>
      </x:c>
      <x:c r="F2057" t="str">
        <x:v>https://www.webonary.org/marubo/gc78b0753-14ea-4691-bb5a-94bce518c813/</x:v>
      </x:c>
      <x:c r="G2057" s="20" t="n">
        <x:v>46003.93498275463</x:v>
      </x:c>
    </x:row>
    <x:row r="2058">
      <x:c r="A2058" t="str">
        <x:v>secar</x:v>
      </x:c>
      <x:c r="B2058" t="str">
        <x:v>toá</x:v>
      </x:c>
      <x:c r="C2058" t="str">
        <x:v>s</x:v>
      </x:c>
      <x:c r="D2058" t="str">
        <x:v>ge7be0cac-eeba-4229-9866-7cc71b5b28e5</x:v>
      </x:c>
      <x:c r="E2058" t="str">
        <x:v>g6170b7e9-8e89-4d0e-a310-cdbe44505f6e</x:v>
      </x:c>
      <x:c r="F2058" t="str">
        <x:v>https://www.webonary.org/marubo/g6170b7e9-8e89-4d0e-a310-cdbe44505f6e/</x:v>
      </x:c>
      <x:c r="G2058" s="20" t="n">
        <x:v>46003.93498275463</x:v>
      </x:c>
    </x:row>
    <x:row r="2059">
      <x:c r="A2059" t="str">
        <x:v>secar</x:v>
      </x:c>
      <x:c r="B2059" t="str">
        <x:v>1</x:v>
      </x:c>
      <x:c r="C2059" t="str">
        <x:v>s</x:v>
      </x:c>
      <x:c r="D2059" t="str">
        <x:v>ge7be0cac-eeba-4229-9866-7cc71b5b28e5</x:v>
      </x:c>
      <x:c r="E2059" t="str">
        <x:v>g6170b7e9-8e89-4d0e-a310-cdbe44505f6e</x:v>
      </x:c>
      <x:c r="F2059" t="str">
        <x:v>https://www.webonary.org/marubo/g6170b7e9-8e89-4d0e-a310-cdbe44505f6e/</x:v>
      </x:c>
      <x:c r="G2059" s="20" t="n">
        <x:v>46003.93498275463</x:v>
      </x:c>
    </x:row>
    <x:row r="2060">
      <x:c r="A2060" t="str">
        <x:v>secar</x:v>
      </x:c>
      <x:c r="B2060" t="str">
        <x:v>eshtá aká</x:v>
      </x:c>
      <x:c r="C2060" t="str">
        <x:v>s</x:v>
      </x:c>
      <x:c r="D2060" t="str">
        <x:v>ge7be0cac-eeba-4229-9866-7cc71b5b28e5</x:v>
      </x:c>
      <x:c r="E2060" t="str">
        <x:v>gb0058595-0870-422a-9e16-542c48bc9795</x:v>
      </x:c>
      <x:c r="F2060" t="str">
        <x:v>https://www.webonary.org/marubo/gb0058595-0870-422a-9e16-542c48bc9795/</x:v>
      </x:c>
      <x:c r="G2060" s="20" t="n">
        <x:v>46003.93498275463</x:v>
      </x:c>
    </x:row>
    <x:row r="2061">
      <x:c r="A2061" t="str">
        <x:v>seco</x:v>
      </x:c>
      <x:c r="B2061" t="str">
        <x:v>txokoma</x:v>
      </x:c>
      <x:c r="C2061" t="str">
        <x:v>s</x:v>
      </x:c>
      <x:c r="D2061" t="str">
        <x:v>gd18552ee-0262-4dc4-8697-c113fe5879e8</x:v>
      </x:c>
      <x:c r="E2061" t="str">
        <x:v>g7803ba99-b934-4279-9993-111e5b2a9ec4</x:v>
      </x:c>
      <x:c r="F2061" t="str">
        <x:v>https://www.webonary.org/marubo/g7803ba99-b934-4279-9993-111e5b2a9ec4/</x:v>
      </x:c>
      <x:c r="G2061" s="20" t="n">
        <x:v>46003.93498275463</x:v>
      </x:c>
    </x:row>
    <x:row r="2062">
      <x:c r="A2062" t="str">
        <x:v>sedento/a</x:v>
      </x:c>
      <x:c r="B2062" t="str">
        <x:v>wakapasha vetsoa</x:v>
      </x:c>
      <x:c r="C2062" t="str">
        <x:v>s</x:v>
      </x:c>
      <x:c r="D2062" t="str">
        <x:v>g45ac9981-5597-420a-9813-fc2c37d2cc94</x:v>
      </x:c>
      <x:c r="E2062" t="str">
        <x:v>g136fecac-ce1d-422b-b9c8-124cd4ddb57f</x:v>
      </x:c>
      <x:c r="F2062" t="str">
        <x:v>https://www.webonary.org/marubo/g136fecac-ce1d-422b-b9c8-124cd4ddb57f/</x:v>
      </x:c>
      <x:c r="G2062" s="20" t="n">
        <x:v>46003.93498275463</x:v>
      </x:c>
    </x:row>
    <x:row r="2063">
      <x:c r="A2063" t="str">
        <x:v>seguir</x:v>
      </x:c>
      <x:c r="B2063" t="str">
        <x:v>txipoa</x:v>
      </x:c>
      <x:c r="C2063" t="str">
        <x:v>s</x:v>
      </x:c>
      <x:c r="D2063" t="str">
        <x:v>g1cde8dd8-6893-4758-a80a-337497d6fcc2</x:v>
      </x:c>
      <x:c r="E2063" t="str">
        <x:v>g655cb6e1-1f95-4d33-a34f-0b65eff0b788</x:v>
      </x:c>
      <x:c r="F2063" t="str">
        <x:v>https://www.webonary.org/marubo/g655cb6e1-1f95-4d33-a34f-0b65eff0b788/</x:v>
      </x:c>
      <x:c r="G2063" s="20" t="n">
        <x:v>46003.93498275463</x:v>
      </x:c>
    </x:row>
    <x:row r="2064">
      <x:c r="A2064" t="str">
        <x:v>seguir</x:v>
      </x:c>
      <x:c r="B2064" t="str">
        <x:v>-txõ</x:v>
      </x:c>
      <x:c r="C2064" t="str">
        <x:v>s</x:v>
      </x:c>
      <x:c r="D2064" t="str">
        <x:v>g1cde8dd8-6893-4758-a80a-337497d6fcc2</x:v>
      </x:c>
      <x:c r="E2064" t="str">
        <x:v>gf840c6f6-75d9-4a88-a6db-65acfb5acb02</x:v>
      </x:c>
      <x:c r="F2064" t="str">
        <x:v>https://www.webonary.org/marubo/gf840c6f6-75d9-4a88-a6db-65acfb5acb02/</x:v>
      </x:c>
      <x:c r="G2064" s="20" t="n">
        <x:v>46003.93498275463</x:v>
      </x:c>
    </x:row>
    <x:row r="2065">
      <x:c r="A2065" t="str">
        <x:v>segurar a mão</x:v>
      </x:c>
      <x:c r="B2065" t="str">
        <x:v>mepá</x:v>
      </x:c>
      <x:c r="C2065" t="str">
        <x:v>s</x:v>
      </x:c>
      <x:c r="D2065" t="str">
        <x:v>g5fb2622e-b685-4900-bfa9-2bf9c1080d88</x:v>
      </x:c>
      <x:c r="E2065" t="str">
        <x:v>g737cec1d-7d25-40cd-91be-9a0d722e26ad</x:v>
      </x:c>
      <x:c r="F2065" t="str">
        <x:v>https://www.webonary.org/marubo/g737cec1d-7d25-40cd-91be-9a0d722e26ad/</x:v>
      </x:c>
      <x:c r="G2065" s="20" t="n">
        <x:v>46003.93498275463</x:v>
      </x:c>
    </x:row>
    <x:row r="2066">
      <x:c r="A2066" t="str">
        <x:v>segurar com mãos</x:v>
      </x:c>
      <x:c r="B2066" t="str">
        <x:v>mepi ina</x:v>
      </x:c>
      <x:c r="C2066" t="str">
        <x:v>s</x:v>
      </x:c>
      <x:c r="D2066" t="str">
        <x:v>g6d43154f-8bee-4a5b-a84b-6155a1be7a12</x:v>
      </x:c>
      <x:c r="E2066" t="str">
        <x:v>gc4d52527-9413-4d45-9671-39dba0061ebe</x:v>
      </x:c>
      <x:c r="F2066" t="str">
        <x:v>https://www.webonary.org/marubo/gc4d52527-9413-4d45-9671-39dba0061ebe/</x:v>
      </x:c>
      <x:c r="G2066" s="20" t="n">
        <x:v>46003.93498275463</x:v>
      </x:c>
    </x:row>
    <x:row r="2067">
      <x:c r="A2067" t="str">
        <x:v>segurar na boca</x:v>
      </x:c>
      <x:c r="B2067" t="str">
        <x:v>kochkivakĩa</x:v>
      </x:c>
      <x:c r="C2067" t="str">
        <x:v>s</x:v>
      </x:c>
      <x:c r="D2067" t="str">
        <x:v>g6b0ba95c-bb01-48fd-bf33-0efea7c57757</x:v>
      </x:c>
      <x:c r="E2067" t="str">
        <x:v>g0dcfe1ba-9ff6-41c2-a654-31cd23b293bd</x:v>
      </x:c>
      <x:c r="F2067" t="str">
        <x:v>https://www.webonary.org/marubo/g0dcfe1ba-9ff6-41c2-a654-31cd23b293bd/</x:v>
      </x:c>
      <x:c r="G2067" s="20" t="n">
        <x:v>46003.93498275463</x:v>
      </x:c>
    </x:row>
    <x:row r="2068">
      <x:c r="A2068" t="str">
        <x:v>segurar nos braços</x:v>
      </x:c>
      <x:c r="B2068" t="str">
        <x:v>ikóa</x:v>
      </x:c>
      <x:c r="C2068" t="str">
        <x:v>s</x:v>
      </x:c>
      <x:c r="D2068" t="str">
        <x:v>g9e4968cd-70c7-4f45-91a0-dbb0e3e57f13</x:v>
      </x:c>
      <x:c r="E2068" t="str">
        <x:v>ge078a071-a4bf-46a4-86b7-0d802e615ee1</x:v>
      </x:c>
      <x:c r="F2068" t="str">
        <x:v>https://www.webonary.org/marubo/ge078a071-a4bf-46a4-86b7-0d802e615ee1/</x:v>
      </x:c>
      <x:c r="G2068" s="20" t="n">
        <x:v>46003.93498275463</x:v>
      </x:c>
    </x:row>
    <x:row r="2069">
      <x:c r="A2069" t="str">
        <x:v>sem dentes</x:v>
      </x:c>
      <x:c r="B2069" t="str">
        <x:v>aroka</x:v>
      </x:c>
      <x:c r="C2069" t="str">
        <x:v>s</x:v>
      </x:c>
      <x:c r="D2069" t="str">
        <x:v>ga969b4a6-a709-441f-9088-e21c14e7239a</x:v>
      </x:c>
      <x:c r="E2069" t="str">
        <x:v>gb3fd9626-fe0b-4205-9e4f-e8c8a67acd6b</x:v>
      </x:c>
      <x:c r="F2069" t="str">
        <x:v>https://www.webonary.org/marubo/gb3fd9626-fe0b-4205-9e4f-e8c8a67acd6b/</x:v>
      </x:c>
      <x:c r="G2069" s="20" t="n">
        <x:v>46003.93498275463</x:v>
      </x:c>
    </x:row>
    <x:row r="2070">
      <x:c r="A2070" t="str">
        <x:v>sem gosto</x:v>
      </x:c>
      <x:c r="B2070" t="str">
        <x:v>orãka</x:v>
      </x:c>
      <x:c r="C2070" t="str">
        <x:v>s</x:v>
      </x:c>
      <x:c r="D2070" t="str">
        <x:v>g624cd21c-30f1-4f06-9bf6-e9b4638774e1</x:v>
      </x:c>
      <x:c r="E2070" t="str">
        <x:v>gc0d3b38f-0e1e-4a67-86c7-2aa0f0c863b8</x:v>
      </x:c>
      <x:c r="F2070" t="str">
        <x:v>https://www.webonary.org/marubo/gc0d3b38f-0e1e-4a67-86c7-2aa0f0c863b8/</x:v>
      </x:c>
      <x:c r="G2070" s="20" t="n">
        <x:v>46003.93498275463</x:v>
      </x:c>
    </x:row>
    <x:row r="2071">
      <x:c r="A2071" t="str">
        <x:v>sem gosto</x:v>
      </x:c>
      <x:c r="B2071" t="str">
        <x:v>2</x:v>
      </x:c>
      <x:c r="C2071" t="str">
        <x:v>s</x:v>
      </x:c>
      <x:c r="D2071" t="str">
        <x:v>g624cd21c-30f1-4f06-9bf6-e9b4638774e1</x:v>
      </x:c>
      <x:c r="E2071" t="str">
        <x:v>gc0d3b38f-0e1e-4a67-86c7-2aa0f0c863b8</x:v>
      </x:c>
      <x:c r="F2071" t="str">
        <x:v>https://www.webonary.org/marubo/gc0d3b38f-0e1e-4a67-86c7-2aa0f0c863b8/</x:v>
      </x:c>
      <x:c r="G2071" s="20" t="n">
        <x:v>46003.93498275463</x:v>
      </x:c>
    </x:row>
    <x:row r="2072">
      <x:c r="A2072" t="str">
        <x:v>sem sal</x:v>
      </x:c>
      <x:c r="B2072" t="str">
        <x:v>orãka</x:v>
      </x:c>
      <x:c r="C2072" t="str">
        <x:v>s</x:v>
      </x:c>
      <x:c r="D2072" t="str">
        <x:v>g1ab762ca-f8cc-4cd5-9cb2-e2b9a91ee0ba</x:v>
      </x:c>
      <x:c r="E2072" t="str">
        <x:v>g2b774fcb-cee3-48e2-98ca-499f14c3c73b</x:v>
      </x:c>
      <x:c r="F2072" t="str">
        <x:v>https://www.webonary.org/marubo/g2b774fcb-cee3-48e2-98ca-499f14c3c73b/</x:v>
      </x:c>
      <x:c r="G2072" s="20" t="n">
        <x:v>46003.93498275463</x:v>
      </x:c>
    </x:row>
    <x:row r="2073">
      <x:c r="A2073" t="str">
        <x:v>sem sal</x:v>
      </x:c>
      <x:c r="B2073" t="str">
        <x:v>1</x:v>
      </x:c>
      <x:c r="C2073" t="str">
        <x:v>s</x:v>
      </x:c>
      <x:c r="D2073" t="str">
        <x:v>g1ab762ca-f8cc-4cd5-9cb2-e2b9a91ee0ba</x:v>
      </x:c>
      <x:c r="E2073" t="str">
        <x:v>g2b774fcb-cee3-48e2-98ca-499f14c3c73b</x:v>
      </x:c>
      <x:c r="F2073" t="str">
        <x:v>https://www.webonary.org/marubo/g2b774fcb-cee3-48e2-98ca-499f14c3c73b/</x:v>
      </x:c>
      <x:c r="G2073" s="20" t="n">
        <x:v>46003.93498275463</x:v>
      </x:c>
    </x:row>
    <x:row r="2074">
      <x:c r="A2074" t="str">
        <x:v>sêmen</x:v>
      </x:c>
      <x:c r="B2074" t="str">
        <x:v>ere</x:v>
      </x:c>
      <x:c r="C2074" t="str">
        <x:v>s</x:v>
      </x:c>
      <x:c r="D2074" t="str">
        <x:v>g048c58f4-676c-4ef4-8ea5-12d2d1b99f25</x:v>
      </x:c>
      <x:c r="E2074" t="str">
        <x:v>g443e97df-6af0-4e4f-abb8-9a0ab87fdf00</x:v>
      </x:c>
      <x:c r="F2074" t="str">
        <x:v>https://www.webonary.org/marubo/g443e97df-6af0-4e4f-abb8-9a0ab87fdf00/</x:v>
      </x:c>
      <x:c r="G2074" s="20" t="n">
        <x:v>46003.93498275463</x:v>
      </x:c>
    </x:row>
    <x:row r="2075">
      <x:c r="A2075" t="str">
        <x:v>semente</x:v>
      </x:c>
      <x:c r="B2075" t="str">
        <x:v>eshe</x:v>
      </x:c>
      <x:c r="C2075" t="str">
        <x:v>s</x:v>
      </x:c>
      <x:c r="D2075" t="str">
        <x:v>g690efbc0-62e9-468b-bfaf-b3f2ebed9a59</x:v>
      </x:c>
      <x:c r="E2075" t="str">
        <x:v>gddbd84c9-2acd-43e4-a55e-0badb3d5d574</x:v>
      </x:c>
      <x:c r="F2075" t="str">
        <x:v>https://www.webonary.org/marubo/gddbd84c9-2acd-43e4-a55e-0badb3d5d574/</x:v>
      </x:c>
      <x:c r="G2075" s="20" t="n">
        <x:v>46003.93498275463</x:v>
      </x:c>
    </x:row>
    <x:row r="2076">
      <x:c r="A2076" t="str">
        <x:v>sentado</x:v>
      </x:c>
      <x:c r="B2076" t="str">
        <x:v>kãtxía</x:v>
      </x:c>
      <x:c r="C2076" t="str">
        <x:v>s</x:v>
      </x:c>
      <x:c r="D2076" t="str">
        <x:v>g039a809e-1a84-45fd-8424-cd1142d83842</x:v>
      </x:c>
      <x:c r="E2076" t="str">
        <x:v>gd4b4ad3e-0b78-43c5-8c8c-a257520c2d1a</x:v>
      </x:c>
      <x:c r="F2076" t="str">
        <x:v>https://www.webonary.org/marubo/gd4b4ad3e-0b78-43c5-8c8c-a257520c2d1a/</x:v>
      </x:c>
      <x:c r="G2076" s="20" t="n">
        <x:v>46003.93498275463</x:v>
      </x:c>
    </x:row>
    <x:row r="2077">
      <x:c r="A2077" t="str">
        <x:v>sentado com pernas cruzadas</x:v>
      </x:c>
      <x:c r="B2077" t="str">
        <x:v>oshkéa</x:v>
      </x:c>
      <x:c r="C2077" t="str">
        <x:v>s</x:v>
      </x:c>
      <x:c r="D2077" t="str">
        <x:v>g8ff7804f-6db4-4169-bc63-6aaa164d604f</x:v>
      </x:c>
      <x:c r="E2077" t="str">
        <x:v>gda16f21e-b08b-47c5-8366-60cd927515e7</x:v>
      </x:c>
      <x:c r="F2077" t="str">
        <x:v>https://www.webonary.org/marubo/gda16f21e-b08b-47c5-8366-60cd927515e7/</x:v>
      </x:c>
      <x:c r="G2077" s="20" t="n">
        <x:v>46003.93498275463</x:v>
      </x:c>
    </x:row>
    <x:row r="2078">
      <x:c r="A2078" t="str">
        <x:v>sentado sem mexer</x:v>
      </x:c>
      <x:c r="B2078" t="str">
        <x:v>vorokase tsaoa</x:v>
      </x:c>
      <x:c r="C2078" t="str">
        <x:v>s</x:v>
      </x:c>
      <x:c r="D2078" t="str">
        <x:v>g51ab0baf-8a45-4134-92b9-373efe51930e</x:v>
      </x:c>
      <x:c r="E2078" t="str">
        <x:v>g7eea5a75-630a-4668-bbe6-5c3d592f0474</x:v>
      </x:c>
      <x:c r="F2078" t="str">
        <x:v>https://www.webonary.org/marubo/g7eea5a75-630a-4668-bbe6-5c3d592f0474/</x:v>
      </x:c>
      <x:c r="G2078" s="20" t="n">
        <x:v>46003.93498275463</x:v>
      </x:c>
    </x:row>
    <x:row r="2079">
      <x:c r="A2079" t="str">
        <x:v>sentados juntos</x:v>
      </x:c>
      <x:c r="B2079" t="str">
        <x:v>setéa</x:v>
      </x:c>
      <x:c r="C2079" t="str">
        <x:v>s</x:v>
      </x:c>
      <x:c r="D2079" t="str">
        <x:v>g55ce9f0c-1b14-4835-b6c4-8de0dffc6917</x:v>
      </x:c>
      <x:c r="E2079" t="str">
        <x:v>ga2ad51be-ff19-4bbe-bc57-746465fc8c44</x:v>
      </x:c>
      <x:c r="F2079" t="str">
        <x:v>https://www.webonary.org/marubo/ga2ad51be-ff19-4bbe-bc57-746465fc8c44/</x:v>
      </x:c>
      <x:c r="G2079" s="20" t="n">
        <x:v>46003.93498275463</x:v>
      </x:c>
    </x:row>
    <x:row r="2080">
      <x:c r="A2080" t="str">
        <x:v>sentar</x:v>
      </x:c>
      <x:c r="B2080" t="str">
        <x:v>tsaóa</x:v>
      </x:c>
      <x:c r="C2080" t="str">
        <x:v>s</x:v>
      </x:c>
      <x:c r="D2080" t="str">
        <x:v>g85448f58-7329-41b9-a321-1ecd34e9b86d</x:v>
      </x:c>
      <x:c r="E2080" t="str">
        <x:v>g017559ae-ff86-4f34-851b-e8a9153292d0</x:v>
      </x:c>
      <x:c r="F2080" t="str">
        <x:v>https://www.webonary.org/marubo/g017559ae-ff86-4f34-851b-e8a9153292d0/</x:v>
      </x:c>
      <x:c r="G2080" s="20" t="n">
        <x:v>46003.93498275463</x:v>
      </x:c>
    </x:row>
    <x:row r="2081">
      <x:c r="A2081" t="str">
        <x:v>sentar-se (na rede)</x:v>
      </x:c>
      <x:c r="B2081" t="str">
        <x:v>wii ina</x:v>
      </x:c>
      <x:c r="C2081" t="str">
        <x:v>s</x:v>
      </x:c>
      <x:c r="D2081" t="str">
        <x:v>gba21dbe0-8f37-43f3-b01d-693f6a405402</x:v>
      </x:c>
      <x:c r="E2081" t="str">
        <x:v>ga0dba918-1b31-4f48-ad8e-995ced07947b</x:v>
      </x:c>
      <x:c r="F2081" t="str">
        <x:v>https://www.webonary.org/marubo/ga0dba918-1b31-4f48-ad8e-995ced07947b/</x:v>
      </x:c>
      <x:c r="G2081" s="20" t="n">
        <x:v>46003.93498275463</x:v>
      </x:c>
    </x:row>
    <x:row r="2082">
      <x:c r="A2082" t="str">
        <x:v>separar</x:v>
      </x:c>
      <x:c r="B2082" t="str">
        <x:v>pashkákea</x:v>
      </x:c>
      <x:c r="C2082" t="str">
        <x:v>s</x:v>
      </x:c>
      <x:c r="D2082" t="str">
        <x:v>gd96b7738-fadb-45d8-abb4-8ff7627ca039</x:v>
      </x:c>
      <x:c r="E2082" t="str">
        <x:v>g847cc3c2-1b6f-4656-997e-d88e01c9f21d</x:v>
      </x:c>
      <x:c r="F2082" t="str">
        <x:v>https://www.webonary.org/marubo/g847cc3c2-1b6f-4656-997e-d88e01c9f21d/</x:v>
      </x:c>
      <x:c r="G2082" s="20" t="n">
        <x:v>46003.93498275463</x:v>
      </x:c>
    </x:row>
    <x:row r="2083">
      <x:c r="A2083" t="str">
        <x:v>ser assustado</x:v>
      </x:c>
      <x:c r="B2083" t="str">
        <x:v>rakéa</x:v>
      </x:c>
      <x:c r="C2083" t="str">
        <x:v>s</x:v>
      </x:c>
      <x:c r="D2083" t="str">
        <x:v>g23ae0cf2-7c22-4a0c-93ba-5fd44e60c813</x:v>
      </x:c>
      <x:c r="E2083" t="str">
        <x:v>g9a460203-0d28-43d9-b609-b24a787a9e34</x:v>
      </x:c>
      <x:c r="F2083" t="str">
        <x:v>https://www.webonary.org/marubo/g9a460203-0d28-43d9-b609-b24a787a9e34/</x:v>
      </x:c>
      <x:c r="G2083" s="20" t="n">
        <x:v>46003.93498275463</x:v>
      </x:c>
    </x:row>
    <x:row r="2084">
      <x:c r="A2084" t="str">
        <x:v>ser batizado</x:v>
      </x:c>
      <x:c r="B2084" t="str">
        <x:v>morich aka</x:v>
      </x:c>
      <x:c r="C2084" t="str">
        <x:v>s</x:v>
      </x:c>
      <x:c r="D2084" t="str">
        <x:v>g17e4c83a-5df7-4f4f-b564-41adf89a45dd</x:v>
      </x:c>
      <x:c r="E2084" t="str">
        <x:v>g760e4237-6944-466b-8767-d70d00427edc</x:v>
      </x:c>
      <x:c r="F2084" t="str">
        <x:v>https://www.webonary.org/marubo/g760e4237-6944-466b-8767-d70d00427edc/</x:v>
      </x:c>
      <x:c r="G2084" s="20" t="n">
        <x:v>46003.93498275463</x:v>
      </x:c>
    </x:row>
    <x:row r="2085">
      <x:c r="A2085" t="str">
        <x:v>ser derrubado</x:v>
      </x:c>
      <x:c r="B2085" t="str">
        <x:v>voskéa</x:v>
      </x:c>
      <x:c r="C2085" t="str">
        <x:v>s</x:v>
      </x:c>
      <x:c r="D2085" t="str">
        <x:v>gf0a63c03-02d4-4e89-a071-bddf5026c7c6</x:v>
      </x:c>
      <x:c r="E2085" t="str">
        <x:v>gf5a1dda6-aa9b-474f-9dde-91396dc62457</x:v>
      </x:c>
      <x:c r="F2085" t="str">
        <x:v>https://www.webonary.org/marubo/gf5a1dda6-aa9b-474f-9dde-91396dc62457/</x:v>
      </x:c>
      <x:c r="G2085" s="20" t="n">
        <x:v>46003.93498275463</x:v>
      </x:c>
    </x:row>
    <x:row r="2086">
      <x:c r="A2086" t="str">
        <x:v>ser que criou a terra mal em cima da terra boa</x:v>
      </x:c>
      <x:c r="B2086" t="str">
        <x:v>Kanã Marí</x:v>
      </x:c>
      <x:c r="C2086" t="str">
        <x:v>s</x:v>
      </x:c>
      <x:c r="D2086" t="str">
        <x:v>g8862c04d-7733-4d21-9542-eda7ba66b261</x:v>
      </x:c>
      <x:c r="E2086" t="str">
        <x:v>g62f48470-f34c-4e08-9732-6a76f0783188</x:v>
      </x:c>
      <x:c r="F2086" t="str">
        <x:v>https://www.webonary.org/marubo/g62f48470-f34c-4e08-9732-6a76f0783188/</x:v>
      </x:c>
      <x:c r="G2086" s="20" t="n">
        <x:v>46003.93498275463</x:v>
      </x:c>
    </x:row>
    <x:row r="2087">
      <x:c r="A2087" t="str">
        <x:v>ser verdade</x:v>
      </x:c>
      <x:c r="B2087" t="str">
        <x:v>anõa</x:v>
      </x:c>
      <x:c r="C2087" t="str">
        <x:v>s</x:v>
      </x:c>
      <x:c r="D2087" t="str">
        <x:v>g413203b0-47af-47d1-bb87-903c796cfaab</x:v>
      </x:c>
      <x:c r="E2087" t="str">
        <x:v>gb9469958-c5cd-4506-9342-41be1c1b2567</x:v>
      </x:c>
      <x:c r="F2087" t="str">
        <x:v>https://www.webonary.org/marubo/gb9469958-c5cd-4506-9342-41be1c1b2567/</x:v>
      </x:c>
      <x:c r="G2087" s="20" t="n">
        <x:v>46003.93498275463</x:v>
      </x:c>
    </x:row>
    <x:row r="2088">
      <x:c r="A2088" t="str">
        <x:v>ser verdade</x:v>
      </x:c>
      <x:c r="B2088" t="str">
        <x:v>1</x:v>
      </x:c>
      <x:c r="C2088" t="str">
        <x:v>s</x:v>
      </x:c>
      <x:c r="D2088" t="str">
        <x:v>g413203b0-47af-47d1-bb87-903c796cfaab</x:v>
      </x:c>
      <x:c r="E2088" t="str">
        <x:v>gb9469958-c5cd-4506-9342-41be1c1b2567</x:v>
      </x:c>
      <x:c r="F2088" t="str">
        <x:v>https://www.webonary.org/marubo/gb9469958-c5cd-4506-9342-41be1c1b2567/</x:v>
      </x:c>
      <x:c r="G2088" s="20" t="n">
        <x:v>46003.93498275463</x:v>
      </x:c>
    </x:row>
    <x:row r="2089">
      <x:c r="A2089" t="str">
        <x:v>serrote</x:v>
      </x:c>
      <x:c r="B2089" t="str">
        <x:v>nisati</x:v>
      </x:c>
      <x:c r="C2089" t="str">
        <x:v>s</x:v>
      </x:c>
      <x:c r="D2089" t="str">
        <x:v>ga9df8003-9b0a-4244-8a67-09ee2476dc7d</x:v>
      </x:c>
      <x:c r="E2089" t="str">
        <x:v>g5fbc0849-8c81-4c5b-ae6c-3cccf1e978a7</x:v>
      </x:c>
      <x:c r="F2089" t="str">
        <x:v>https://www.webonary.org/marubo/g5fbc0849-8c81-4c5b-ae6c-3cccf1e978a7/</x:v>
      </x:c>
      <x:c r="G2089" s="20" t="n">
        <x:v>46003.93498275463</x:v>
      </x:c>
    </x:row>
    <x:row r="2090">
      <x:c r="A2090" t="str">
        <x:v>Sim</x:v>
      </x:c>
      <x:c r="B2090" t="str">
        <x:v>aase</x:v>
      </x:c>
      <x:c r="C2090" t="str">
        <x:v>s</x:v>
      </x:c>
      <x:c r="D2090" t="str">
        <x:v>g7a3aa72c-5df1-4a02-a8a4-b2a6f9517c96</x:v>
      </x:c>
      <x:c r="E2090" t="str">
        <x:v>g86cf4a32-67e7-4d6d-a09c-b1a0d6556471</x:v>
      </x:c>
      <x:c r="F2090" t="str">
        <x:v>https://www.webonary.org/marubo/g86cf4a32-67e7-4d6d-a09c-b1a0d6556471/</x:v>
      </x:c>
      <x:c r="G2090" s="20" t="n">
        <x:v>46003.93498275463</x:v>
      </x:c>
    </x:row>
    <x:row r="2091">
      <x:c r="A2091" t="str">
        <x:v>similar</x:v>
      </x:c>
      <x:c r="B2091" t="str">
        <x:v>keská</x:v>
      </x:c>
      <x:c r="C2091" t="str">
        <x:v>s</x:v>
      </x:c>
      <x:c r="D2091" t="str">
        <x:v>g47c0b14d-941f-4a0d-b615-774119dcfe09</x:v>
      </x:c>
      <x:c r="E2091" t="str">
        <x:v>gdad193db-4974-40ab-94be-211147e06626</x:v>
      </x:c>
      <x:c r="F2091" t="str">
        <x:v>https://www.webonary.org/marubo/gdad193db-4974-40ab-94be-211147e06626/</x:v>
      </x:c>
      <x:c r="G2091" s="20" t="n">
        <x:v>46003.93498275463</x:v>
      </x:c>
    </x:row>
    <x:row r="2092">
      <x:c r="A2092" t="str">
        <x:v>sinal</x:v>
      </x:c>
      <x:c r="B2092" t="str">
        <x:v>tachi</x:v>
      </x:c>
      <x:c r="C2092" t="str">
        <x:v>s</x:v>
      </x:c>
      <x:c r="D2092" t="str">
        <x:v>g851e5bda-87d8-493b-b93a-36cfbae67fcc</x:v>
      </x:c>
      <x:c r="E2092" t="str">
        <x:v>ge07bb4fd-2397-4645-8c93-d13a16102d4f</x:v>
      </x:c>
      <x:c r="F2092" t="str">
        <x:v>https://www.webonary.org/marubo/ge07bb4fd-2397-4645-8c93-d13a16102d4f/</x:v>
      </x:c>
      <x:c r="G2092" s="20" t="n">
        <x:v>46003.93498275463</x:v>
      </x:c>
    </x:row>
    <x:row r="2093">
      <x:c r="A2093" t="str">
        <x:v>sinal</x:v>
      </x:c>
      <x:c r="B2093" t="str">
        <x:v>2</x:v>
      </x:c>
      <x:c r="C2093" t="str">
        <x:v>s</x:v>
      </x:c>
      <x:c r="D2093" t="str">
        <x:v>g851e5bda-87d8-493b-b93a-36cfbae67fcc</x:v>
      </x:c>
      <x:c r="E2093" t="str">
        <x:v>ge07bb4fd-2397-4645-8c93-d13a16102d4f</x:v>
      </x:c>
      <x:c r="F2093" t="str">
        <x:v>https://www.webonary.org/marubo/ge07bb4fd-2397-4645-8c93-d13a16102d4f/</x:v>
      </x:c>
      <x:c r="G2093" s="20" t="n">
        <x:v>46003.93498275463</x:v>
      </x:c>
    </x:row>
    <x:row r="2094">
      <x:c r="A2094" t="str">
        <x:v>sinónimo para saiti</x:v>
      </x:c>
      <x:c r="B2094" t="str">
        <x:v>yoã vana</x:v>
      </x:c>
      <x:c r="C2094" t="str">
        <x:v>s</x:v>
      </x:c>
      <x:c r="D2094" t="str">
        <x:v>g02f972f7-fae3-4498-a5d9-0b682b5e504e</x:v>
      </x:c>
      <x:c r="E2094" t="str">
        <x:v>gd35a697d-8f1d-49eb-80fb-785d411e35f6</x:v>
      </x:c>
      <x:c r="F2094" t="str">
        <x:v>https://www.webonary.org/marubo/gd35a697d-8f1d-49eb-80fb-785d411e35f6/</x:v>
      </x:c>
      <x:c r="G2094" s="20" t="n">
        <x:v>46003.93498275463</x:v>
      </x:c>
    </x:row>
    <x:row r="2095">
      <x:c r="A2095" t="str">
        <x:v>sobrancelha</x:v>
      </x:c>
      <x:c r="B2095" t="str">
        <x:v>vero kẽpe rani</x:v>
      </x:c>
      <x:c r="C2095" t="str">
        <x:v>s</x:v>
      </x:c>
      <x:c r="D2095" t="str">
        <x:v>g4dc150bf-58bf-4de3-a2d2-663b249aba11</x:v>
      </x:c>
      <x:c r="E2095" t="str">
        <x:v>g04930df0-1e98-4cb5-a44b-f3c2b87eb455</x:v>
      </x:c>
      <x:c r="F2095" t="str">
        <x:v>https://www.webonary.org/marubo/g04930df0-1e98-4cb5-a44b-f3c2b87eb455/</x:v>
      </x:c>
      <x:c r="G2095" s="20" t="n">
        <x:v>46003.93498275463</x:v>
      </x:c>
    </x:row>
    <x:row r="2096">
      <x:c r="A2096" t="str">
        <x:v>sobrar</x:v>
      </x:c>
      <x:c r="B2096" t="str">
        <x:v>teshea</x:v>
      </x:c>
      <x:c r="C2096" t="str">
        <x:v>s</x:v>
      </x:c>
      <x:c r="D2096" t="str">
        <x:v>g05d99bf5-7f63-41b0-8cd1-52cad0fbb8f8</x:v>
      </x:c>
      <x:c r="E2096" t="str">
        <x:v>gec9f1eb9-de32-48ab-8929-49c8737351b7</x:v>
      </x:c>
      <x:c r="F2096" t="str">
        <x:v>https://www.webonary.org/marubo/gec9f1eb9-de32-48ab-8929-49c8737351b7/</x:v>
      </x:c>
      <x:c r="G2096" s="20" t="n">
        <x:v>46003.93498275463</x:v>
      </x:c>
    </x:row>
    <x:row r="2097">
      <x:c r="A2097" t="str">
        <x:v>sobrar</x:v>
      </x:c>
      <x:c r="B2097" t="str">
        <x:v>2</x:v>
      </x:c>
      <x:c r="C2097" t="str">
        <x:v>s</x:v>
      </x:c>
      <x:c r="D2097" t="str">
        <x:v>g05d99bf5-7f63-41b0-8cd1-52cad0fbb8f8</x:v>
      </x:c>
      <x:c r="E2097" t="str">
        <x:v>gec9f1eb9-de32-48ab-8929-49c8737351b7</x:v>
      </x:c>
      <x:c r="F2097" t="str">
        <x:v>https://www.webonary.org/marubo/gec9f1eb9-de32-48ab-8929-49c8737351b7/</x:v>
      </x:c>
      <x:c r="G2097" s="20" t="n">
        <x:v>46003.93498275463</x:v>
      </x:c>
    </x:row>
    <x:row r="2098">
      <x:c r="A2098" t="str">
        <x:v>sobrinha</x:v>
      </x:c>
      <x:c r="B2098" t="str">
        <x:v>ewashko</x:v>
      </x:c>
      <x:c r="C2098" t="str">
        <x:v>s</x:v>
      </x:c>
      <x:c r="D2098" t="str">
        <x:v>g7726781f-c9bd-45d2-a3a8-6a2ae161ff36</x:v>
      </x:c>
      <x:c r="E2098" t="str">
        <x:v>gb1271da1-6a0a-4d27-8cec-3c4f206b00cd</x:v>
      </x:c>
      <x:c r="F2098" t="str">
        <x:v>https://www.webonary.org/marubo/gb1271da1-6a0a-4d27-8cec-3c4f206b00cd/</x:v>
      </x:c>
      <x:c r="G2098" s="20" t="n">
        <x:v>46003.93498275463</x:v>
      </x:c>
    </x:row>
    <x:row r="2099">
      <x:c r="A2099" t="str">
        <x:v>sobrinha</x:v>
      </x:c>
      <x:c r="B2099" t="str">
        <x:v>pãteti</x:v>
      </x:c>
      <x:c r="C2099" t="str">
        <x:v>s</x:v>
      </x:c>
      <x:c r="D2099" t="str">
        <x:v>g7726781f-c9bd-45d2-a3a8-6a2ae161ff36</x:v>
      </x:c>
      <x:c r="E2099" t="str">
        <x:v>g121ea82a-07d6-4e0d-8b78-97c3f2fdb7ea</x:v>
      </x:c>
      <x:c r="F2099" t="str">
        <x:v>https://www.webonary.org/marubo/g121ea82a-07d6-4e0d-8b78-97c3f2fdb7ea/</x:v>
      </x:c>
      <x:c r="G2099" s="20" t="n">
        <x:v>46003.93498275463</x:v>
      </x:c>
    </x:row>
    <x:row r="2100">
      <x:c r="A2100" t="str">
        <x:v>sobrinha</x:v>
      </x:c>
      <x:c r="B2100" t="str">
        <x:v>natxichko</x:v>
      </x:c>
      <x:c r="C2100" t="str">
        <x:v>s</x:v>
      </x:c>
      <x:c r="D2100" t="str">
        <x:v>g7726781f-c9bd-45d2-a3a8-6a2ae161ff36</x:v>
      </x:c>
      <x:c r="E2100" t="str">
        <x:v>g6d329751-1f45-4f6c-885e-a2c69325696f</x:v>
      </x:c>
      <x:c r="F2100" t="str">
        <x:v>https://www.webonary.org/marubo/g6d329751-1f45-4f6c-885e-a2c69325696f/</x:v>
      </x:c>
      <x:c r="G2100" s="20" t="n">
        <x:v>46003.93498275463</x:v>
      </x:c>
    </x:row>
    <x:row r="2101">
      <x:c r="A2101" t="str">
        <x:v>sobrinho ou sobrinha</x:v>
      </x:c>
      <x:c r="B2101" t="str">
        <x:v>takẽ vake</x:v>
      </x:c>
      <x:c r="C2101" t="str">
        <x:v>s</x:v>
      </x:c>
      <x:c r="D2101" t="str">
        <x:v>ga9125067-cb9e-4a09-b615-155f809d1a36</x:v>
      </x:c>
      <x:c r="E2101" t="str">
        <x:v>gea6fc86e-560e-4b4c-a8c4-8dd2a97aa426</x:v>
      </x:c>
      <x:c r="F2101" t="str">
        <x:v>https://www.webonary.org/marubo/gea6fc86e-560e-4b4c-a8c4-8dd2a97aa426/</x:v>
      </x:c>
      <x:c r="G2101" s="20" t="n">
        <x:v>46003.93498275463</x:v>
      </x:c>
    </x:row>
    <x:row r="2102">
      <x:c r="A2102" t="str">
        <x:v>socar</x:v>
      </x:c>
      <x:c r="B2102" t="str">
        <x:v>tii aká</x:v>
      </x:c>
      <x:c r="C2102" t="str">
        <x:v>s</x:v>
      </x:c>
      <x:c r="D2102" t="str">
        <x:v>g309a5513-b813-449e-8978-ee09f3be8eda</x:v>
      </x:c>
      <x:c r="E2102" t="str">
        <x:v>g713175f9-358c-4fad-ad33-2d9c63516b8f</x:v>
      </x:c>
      <x:c r="F2102" t="str">
        <x:v>https://www.webonary.org/marubo/g713175f9-358c-4fad-ad33-2d9c63516b8f/</x:v>
      </x:c>
      <x:c r="G2102" s="20" t="n">
        <x:v>46003.93498275463</x:v>
      </x:c>
    </x:row>
    <x:row r="2103">
      <x:c r="A2103" t="str">
        <x:v>socó</x:v>
      </x:c>
      <x:c r="B2103" t="str">
        <x:v>aka</x:v>
      </x:c>
      <x:c r="C2103" t="str">
        <x:v>s</x:v>
      </x:c>
      <x:c r="D2103" t="str">
        <x:v>g1b626cc5-a842-4190-a415-3af9bb1b7dcc</x:v>
      </x:c>
      <x:c r="E2103" t="str">
        <x:v>g80023363-b837-4d0a-a748-f256f76ab2e6</x:v>
      </x:c>
      <x:c r="F2103" t="str">
        <x:v>https://www.webonary.org/marubo/g80023363-b837-4d0a-a748-f256f76ab2e6/</x:v>
      </x:c>
      <x:c r="G2103" s="20" t="n">
        <x:v>46003.93498275463</x:v>
      </x:c>
    </x:row>
    <x:row r="2104">
      <x:c r="A2104" t="str">
        <x:v>socó</x:v>
      </x:c>
      <x:c r="B2104" t="str">
        <x:v>1</x:v>
      </x:c>
      <x:c r="C2104" t="str">
        <x:v>s</x:v>
      </x:c>
      <x:c r="D2104" t="str">
        <x:v>g1b626cc5-a842-4190-a415-3af9bb1b7dcc</x:v>
      </x:c>
      <x:c r="E2104" t="str">
        <x:v>g80023363-b837-4d0a-a748-f256f76ab2e6</x:v>
      </x:c>
      <x:c r="F2104" t="str">
        <x:v>https://www.webonary.org/marubo/g80023363-b837-4d0a-a748-f256f76ab2e6/</x:v>
      </x:c>
      <x:c r="G2104" s="20" t="n">
        <x:v>46003.93498275463</x:v>
      </x:c>
    </x:row>
    <x:row r="2105">
      <x:c r="A2105" t="str">
        <x:v>sogra</x:v>
      </x:c>
      <x:c r="B2105" t="str">
        <x:v>raiyose aĩvo</x:v>
      </x:c>
      <x:c r="C2105" t="str">
        <x:v>s</x:v>
      </x:c>
      <x:c r="D2105" t="str">
        <x:v>g4240516b-6f38-4cbc-8080-9170026fdb86</x:v>
      </x:c>
      <x:c r="E2105" t="str">
        <x:v>gcff99a7b-392d-4770-b337-4f8e3f48915f</x:v>
      </x:c>
      <x:c r="F2105" t="str">
        <x:v>https://www.webonary.org/marubo/gcff99a7b-392d-4770-b337-4f8e3f48915f/</x:v>
      </x:c>
      <x:c r="G2105" s="20" t="n">
        <x:v>46003.93498275463</x:v>
      </x:c>
    </x:row>
    <x:row r="2106">
      <x:c r="A2106" t="str">
        <x:v>sogro</x:v>
      </x:c>
      <x:c r="B2106" t="str">
        <x:v>rayose</x:v>
      </x:c>
      <x:c r="C2106" t="str">
        <x:v>s</x:v>
      </x:c>
      <x:c r="D2106" t="str">
        <x:v>gaaef6860-f0a8-46c4-b74c-88b6b1de2584</x:v>
      </x:c>
      <x:c r="E2106" t="str">
        <x:v>g9dddc3eb-5863-4f6d-9011-90bb7e79873f</x:v>
      </x:c>
      <x:c r="F2106" t="str">
        <x:v>https://www.webonary.org/marubo/g9dddc3eb-5863-4f6d-9011-90bb7e79873f/</x:v>
      </x:c>
      <x:c r="G2106" s="20" t="n">
        <x:v>46003.93498275463</x:v>
      </x:c>
    </x:row>
    <x:row r="2107">
      <x:c r="A2107" t="str">
        <x:v>sol</x:v>
      </x:c>
      <x:c r="B2107" t="str">
        <x:v>varika</x:v>
      </x:c>
      <x:c r="C2107" t="str">
        <x:v>s</x:v>
      </x:c>
      <x:c r="D2107" t="str">
        <x:v>ge774dd79-2ffb-4d71-9edf-534ab9c64364</x:v>
      </x:c>
      <x:c r="E2107" t="str">
        <x:v>g593bf684-01ce-4872-bbe9-729feab6f7ba</x:v>
      </x:c>
      <x:c r="F2107" t="str">
        <x:v>https://www.webonary.org/marubo/g593bf684-01ce-4872-bbe9-729feab6f7ba/</x:v>
      </x:c>
      <x:c r="G2107" s="20" t="n">
        <x:v>46003.93498275463</x:v>
      </x:c>
    </x:row>
    <x:row r="2108">
      <x:c r="A2108" t="str">
        <x:v>sol</x:v>
      </x:c>
      <x:c r="B2108" t="str">
        <x:v>vari</x:v>
      </x:c>
      <x:c r="C2108" t="str">
        <x:v>s</x:v>
      </x:c>
      <x:c r="D2108" t="str">
        <x:v>ge774dd79-2ffb-4d71-9edf-534ab9c64364</x:v>
      </x:c>
      <x:c r="E2108" t="str">
        <x:v>gaa061f79-4b8c-476b-939e-561aa91e277a</x:v>
      </x:c>
      <x:c r="F2108" t="str">
        <x:v>https://www.webonary.org/marubo/gaa061f79-4b8c-476b-939e-561aa91e277a/</x:v>
      </x:c>
      <x:c r="G2108" s="20" t="n">
        <x:v>46003.93498275463</x:v>
      </x:c>
    </x:row>
    <x:row r="2109">
      <x:c r="A2109" t="str">
        <x:v>sola</x:v>
      </x:c>
      <x:c r="B2109" t="str">
        <x:v>tae napáshe</x:v>
      </x:c>
      <x:c r="C2109" t="str">
        <x:v>s</x:v>
      </x:c>
      <x:c r="D2109" t="str">
        <x:v>g579a0daf-dd72-4b98-916f-65b69c1f558e</x:v>
      </x:c>
      <x:c r="E2109" t="str">
        <x:v>gf295e7a4-598f-4258-b49e-7019492de101</x:v>
      </x:c>
      <x:c r="F2109" t="str">
        <x:v>https://www.webonary.org/marubo/gf295e7a4-598f-4258-b49e-7019492de101/</x:v>
      </x:c>
      <x:c r="G2109" s="20" t="n">
        <x:v>46003.93498275463</x:v>
      </x:c>
    </x:row>
    <x:row r="2110">
      <x:c r="A2110" t="str">
        <x:v>soldado</x:v>
      </x:c>
      <x:c r="B2110" t="str">
        <x:v>teskekáya</x:v>
      </x:c>
      <x:c r="C2110" t="str">
        <x:v>s</x:v>
      </x:c>
      <x:c r="D2110" t="str">
        <x:v>g4fdcfa4a-7d5c-49ca-b257-a5d78393074e</x:v>
      </x:c>
      <x:c r="E2110" t="str">
        <x:v>g76ae508c-279f-475e-a899-b8d463db34a1</x:v>
      </x:c>
      <x:c r="F2110" t="str">
        <x:v>https://www.webonary.org/marubo/g76ae508c-279f-475e-a899-b8d463db34a1/</x:v>
      </x:c>
      <x:c r="G2110" s="20" t="n">
        <x:v>46003.93498275463</x:v>
      </x:c>
    </x:row>
    <x:row r="2111">
      <x:c r="A2111" t="str">
        <x:v>solteira</x:v>
      </x:c>
      <x:c r="B2111" t="str">
        <x:v>venema</x:v>
      </x:c>
      <x:c r="C2111" t="str">
        <x:v>s</x:v>
      </x:c>
      <x:c r="D2111" t="str">
        <x:v>g24da0802-c578-4527-b61d-ced034774187</x:v>
      </x:c>
      <x:c r="E2111" t="str">
        <x:v>ga7bba455-dd35-4da8-a5ef-ccb1b5d2ce3b</x:v>
      </x:c>
      <x:c r="F2111" t="str">
        <x:v>https://www.webonary.org/marubo/ga7bba455-dd35-4da8-a5ef-ccb1b5d2ce3b/</x:v>
      </x:c>
      <x:c r="G2111" s="20" t="n">
        <x:v>46003.93498275463</x:v>
      </x:c>
    </x:row>
    <x:row r="2112">
      <x:c r="A2112" t="str">
        <x:v>soluçar</x:v>
      </x:c>
      <x:c r="B2112" t="str">
        <x:v>tsekoa</x:v>
      </x:c>
      <x:c r="C2112" t="str">
        <x:v>s</x:v>
      </x:c>
      <x:c r="D2112" t="str">
        <x:v>g3e21d158-b95a-4a2a-879a-2643d227cbe6</x:v>
      </x:c>
      <x:c r="E2112" t="str">
        <x:v>g74f9d3b1-a7e6-48b0-9440-a226056a8c3d</x:v>
      </x:c>
      <x:c r="F2112" t="str">
        <x:v>https://www.webonary.org/marubo/g74f9d3b1-a7e6-48b0-9440-a226056a8c3d/</x:v>
      </x:c>
      <x:c r="G2112" s="20" t="n">
        <x:v>46003.934988796296</x:v>
      </x:c>
    </x:row>
    <x:row r="2113">
      <x:c r="A2113" t="str">
        <x:v>som simbolico golpear</x:v>
      </x:c>
      <x:c r="B2113" t="str">
        <x:v>tsase</x:v>
      </x:c>
      <x:c r="C2113" t="str">
        <x:v>s</x:v>
      </x:c>
      <x:c r="D2113" t="str">
        <x:v>g36608e05-05d9-4600-b527-b400718fb6b8</x:v>
      </x:c>
      <x:c r="E2113" t="str">
        <x:v>gefd32030-e2f4-4ebe-a991-64562be08710</x:v>
      </x:c>
      <x:c r="F2113" t="str">
        <x:v>https://www.webonary.org/marubo/gefd32030-e2f4-4ebe-a991-64562be08710/</x:v>
      </x:c>
      <x:c r="G2113" s="20" t="n">
        <x:v>46003.934988796296</x:v>
      </x:c>
    </x:row>
    <x:row r="2114">
      <x:c r="A2114" t="str">
        <x:v>sombra</x:v>
      </x:c>
      <x:c r="B2114" t="str">
        <x:v>vari pãtéa</x:v>
      </x:c>
      <x:c r="C2114" t="str">
        <x:v>s</x:v>
      </x:c>
      <x:c r="D2114" t="str">
        <x:v>g74479437-afcd-41aa-84db-e32f62d23537</x:v>
      </x:c>
      <x:c r="E2114" t="str">
        <x:v>g29ebe138-7e46-48df-a1af-3e6fcce353d8</x:v>
      </x:c>
      <x:c r="F2114" t="str">
        <x:v>https://www.webonary.org/marubo/g29ebe138-7e46-48df-a1af-3e6fcce353d8/</x:v>
      </x:c>
      <x:c r="G2114" s="20" t="n">
        <x:v>46003.934988796296</x:v>
      </x:c>
    </x:row>
    <x:row r="2115">
      <x:c r="A2115" t="str">
        <x:v>sombra</x:v>
      </x:c>
      <x:c r="B2115" t="str">
        <x:v>pãté</x:v>
      </x:c>
      <x:c r="C2115" t="str">
        <x:v>s</x:v>
      </x:c>
      <x:c r="D2115" t="str">
        <x:v>g74479437-afcd-41aa-84db-e32f62d23537</x:v>
      </x:c>
      <x:c r="E2115" t="str">
        <x:v>g8f935ae4-e1e2-42c8-aec0-918899005ff7</x:v>
      </x:c>
      <x:c r="F2115" t="str">
        <x:v>https://www.webonary.org/marubo/g8f935ae4-e1e2-42c8-aec0-918899005ff7/</x:v>
      </x:c>
      <x:c r="G2115" s="20" t="n">
        <x:v>46003.934988796296</x:v>
      </x:c>
    </x:row>
    <x:row r="2116">
      <x:c r="A2116" t="str">
        <x:v>sombrinha</x:v>
      </x:c>
      <x:c r="B2116" t="str">
        <x:v>iwáti</x:v>
      </x:c>
      <x:c r="C2116" t="str">
        <x:v>s</x:v>
      </x:c>
      <x:c r="D2116" t="str">
        <x:v>g6b745620-ec67-4d0d-b415-5796e67a2273</x:v>
      </x:c>
      <x:c r="E2116" t="str">
        <x:v>gc8954199-0748-4fa6-9308-0703848af7ae</x:v>
      </x:c>
      <x:c r="F2116" t="str">
        <x:v>https://www.webonary.org/marubo/gc8954199-0748-4fa6-9308-0703848af7ae/</x:v>
      </x:c>
      <x:c r="G2116" s="20" t="n">
        <x:v>46003.934988796296</x:v>
      </x:c>
    </x:row>
    <x:row r="2117">
      <x:c r="A2117" t="str">
        <x:v>sonâmbular</x:v>
      </x:c>
      <x:c r="B2117" t="str">
        <x:v>vevéa</x:v>
      </x:c>
      <x:c r="C2117" t="str">
        <x:v>s</x:v>
      </x:c>
      <x:c r="D2117" t="str">
        <x:v>g7f851ce4-e293-40de-9d29-d094de035986</x:v>
      </x:c>
      <x:c r="E2117" t="str">
        <x:v>g66e52793-86c3-45ff-bc48-d55e1894b8d6</x:v>
      </x:c>
      <x:c r="F2117" t="str">
        <x:v>https://www.webonary.org/marubo/g66e52793-86c3-45ff-bc48-d55e1894b8d6/</x:v>
      </x:c>
      <x:c r="G2117" s="20" t="n">
        <x:v>46003.934988796296</x:v>
      </x:c>
    </x:row>
    <x:row r="2118">
      <x:c r="A2118" t="str">
        <x:v>sonho</x:v>
      </x:c>
      <x:c r="B2118" t="str">
        <x:v>namá</x:v>
      </x:c>
      <x:c r="C2118" t="str">
        <x:v>s</x:v>
      </x:c>
      <x:c r="D2118" t="str">
        <x:v>g27007ab2-3e14-45ae-973f-412f4e8a6cc9</x:v>
      </x:c>
      <x:c r="E2118" t="str">
        <x:v>g03af69d0-b732-4f45-b354-f4816a21e406</x:v>
      </x:c>
      <x:c r="F2118" t="str">
        <x:v>https://www.webonary.org/marubo/g03af69d0-b732-4f45-b354-f4816a21e406/</x:v>
      </x:c>
      <x:c r="G2118" s="20" t="n">
        <x:v>46003.934988796296</x:v>
      </x:c>
    </x:row>
    <x:row r="2119">
      <x:c r="A2119" t="str">
        <x:v>sopa</x:v>
      </x:c>
      <x:c r="B2119" t="str">
        <x:v>pasa</x:v>
      </x:c>
      <x:c r="C2119" t="str">
        <x:v>s</x:v>
      </x:c>
      <x:c r="D2119" t="str">
        <x:v>gbe4bcb44-ae10-4712-9cf7-442b33750da0</x:v>
      </x:c>
      <x:c r="E2119" t="str">
        <x:v>gce0ab33d-1949-4f5f-80bb-9fb88b853c7c</x:v>
      </x:c>
      <x:c r="F2119" t="str">
        <x:v>https://www.webonary.org/marubo/gce0ab33d-1949-4f5f-80bb-9fb88b853c7c/</x:v>
      </x:c>
      <x:c r="G2119" s="20" t="n">
        <x:v>46003.934988796296</x:v>
      </x:c>
    </x:row>
    <x:row r="2120">
      <x:c r="A2120" t="str">
        <x:v>sopa com pedaços de mandioca</x:v>
      </x:c>
      <x:c r="B2120" t="str">
        <x:v>chirõp aká</x:v>
      </x:c>
      <x:c r="C2120" t="str">
        <x:v>s</x:v>
      </x:c>
      <x:c r="D2120" t="str">
        <x:v>g3d70cf66-18a7-4008-9920-8acf75822b96</x:v>
      </x:c>
      <x:c r="E2120" t="str">
        <x:v>g305c55a9-b796-4ec6-8eb3-75b0a31b3ed7</x:v>
      </x:c>
      <x:c r="F2120" t="str">
        <x:v>https://www.webonary.org/marubo/g305c55a9-b796-4ec6-8eb3-75b0a31b3ed7/</x:v>
      </x:c>
      <x:c r="G2120" s="20" t="n">
        <x:v>46003.934988796296</x:v>
      </x:c>
    </x:row>
    <x:row r="2121">
      <x:c r="A2121" t="str">
        <x:v>sopa sem carne</x:v>
      </x:c>
      <x:c r="B2121" t="str">
        <x:v>veyõ</x:v>
      </x:c>
      <x:c r="C2121" t="str">
        <x:v>s</x:v>
      </x:c>
      <x:c r="D2121" t="str">
        <x:v>g88cdf49c-33a1-49ca-8e07-9c298b6deaca</x:v>
      </x:c>
      <x:c r="E2121" t="str">
        <x:v>g93841f10-2696-4a8a-9ad8-b3a32b9ab68e</x:v>
      </x:c>
      <x:c r="F2121" t="str">
        <x:v>https://www.webonary.org/marubo/g93841f10-2696-4a8a-9ad8-b3a32b9ab68e/</x:v>
      </x:c>
      <x:c r="G2121" s="20" t="n">
        <x:v>46003.934988796296</x:v>
      </x:c>
    </x:row>
    <x:row r="2122">
      <x:c r="A2122" t="str">
        <x:v>soprar</x:v>
      </x:c>
      <x:c r="B2122" t="str">
        <x:v>veshõ ikí</x:v>
      </x:c>
      <x:c r="C2122" t="str">
        <x:v>s</x:v>
      </x:c>
      <x:c r="D2122" t="str">
        <x:v>g5285242a-8edd-4e07-be15-2693bfae65a6</x:v>
      </x:c>
      <x:c r="E2122" t="str">
        <x:v>g4aee1217-e3df-49cf-bb70-09af31a8f948</x:v>
      </x:c>
      <x:c r="F2122" t="str">
        <x:v>https://www.webonary.org/marubo/g4aee1217-e3df-49cf-bb70-09af31a8f948/</x:v>
      </x:c>
      <x:c r="G2122" s="20" t="n">
        <x:v>46003.934988796296</x:v>
      </x:c>
    </x:row>
    <x:row r="2123">
      <x:c r="A2123" t="str">
        <x:v>soprar</x:v>
      </x:c>
      <x:c r="B2123" t="str">
        <x:v>veshõ aká</x:v>
      </x:c>
      <x:c r="C2123" t="str">
        <x:v>s</x:v>
      </x:c>
      <x:c r="D2123" t="str">
        <x:v>g5285242a-8edd-4e07-be15-2693bfae65a6</x:v>
      </x:c>
      <x:c r="E2123" t="str">
        <x:v>gfd3f1935-7bd1-494f-af6c-97af1b5c0053</x:v>
      </x:c>
      <x:c r="F2123" t="str">
        <x:v>https://www.webonary.org/marubo/gfd3f1935-7bd1-494f-af6c-97af1b5c0053/</x:v>
      </x:c>
      <x:c r="G2123" s="20" t="n">
        <x:v>46003.934988796296</x:v>
      </x:c>
    </x:row>
    <x:row r="2124">
      <x:c r="A2124" t="str">
        <x:v>soprar fumaça da boca</x:v>
      </x:c>
      <x:c r="B2124" t="str">
        <x:v>poa ikí</x:v>
      </x:c>
      <x:c r="C2124" t="str">
        <x:v>s</x:v>
      </x:c>
      <x:c r="D2124" t="str">
        <x:v>g26c91ed1-6a8a-4b38-b9e7-071685639b39</x:v>
      </x:c>
      <x:c r="E2124" t="str">
        <x:v>g70ae5d97-26ad-4d55-b3f2-07ab217162e1</x:v>
      </x:c>
      <x:c r="F2124" t="str">
        <x:v>https://www.webonary.org/marubo/g70ae5d97-26ad-4d55-b3f2-07ab217162e1/</x:v>
      </x:c>
      <x:c r="G2124" s="20" t="n">
        <x:v>46003.934988796296</x:v>
      </x:c>
    </x:row>
    <x:row r="2125">
      <x:c r="A2125" t="str">
        <x:v>soprocantar</x:v>
      </x:c>
      <x:c r="B2125" t="str">
        <x:v>shõ iki</x:v>
      </x:c>
      <x:c r="C2125" t="str">
        <x:v>s</x:v>
      </x:c>
      <x:c r="D2125" t="str">
        <x:v>gdb65abb6-9393-475d-b7b2-507e5669960e</x:v>
      </x:c>
      <x:c r="E2125" t="str">
        <x:v>g7d272d1b-43f7-42de-8669-3bdeef9af7cf</x:v>
      </x:c>
      <x:c r="F2125" t="str">
        <x:v>https://www.webonary.org/marubo/g7d272d1b-43f7-42de-8669-3bdeef9af7cf/</x:v>
      </x:c>
      <x:c r="G2125" s="20" t="n">
        <x:v>46003.934988796296</x:v>
      </x:c>
    </x:row>
    <x:row r="2126">
      <x:c r="A2126" t="str">
        <x:v>sorrir</x:v>
      </x:c>
      <x:c r="B2126" t="str">
        <x:v>osã iki</x:v>
      </x:c>
      <x:c r="C2126" t="str">
        <x:v>s</x:v>
      </x:c>
      <x:c r="D2126" t="str">
        <x:v>g887fc41a-b1d9-4538-b20b-ca45fc85319b</x:v>
      </x:c>
      <x:c r="E2126" t="str">
        <x:v>gccd2054e-a27a-4d13-9d81-00ad8a040b0b</x:v>
      </x:c>
      <x:c r="F2126" t="str">
        <x:v>https://www.webonary.org/marubo/gccd2054e-a27a-4d13-9d81-00ad8a040b0b/</x:v>
      </x:c>
      <x:c r="G2126" s="20" t="n">
        <x:v>46003.934988796296</x:v>
      </x:c>
    </x:row>
    <x:row r="2127">
      <x:c r="A2127" t="str">
        <x:v>sovaco</x:v>
      </x:c>
      <x:c r="B2127" t="str">
        <x:v>pichkĩ</x:v>
      </x:c>
      <x:c r="C2127" t="str">
        <x:v>s</x:v>
      </x:c>
      <x:c r="D2127" t="str">
        <x:v>g5aae1a96-0426-4bb4-b045-62e6c7ece1b9</x:v>
      </x:c>
      <x:c r="E2127" t="str">
        <x:v>g45ad8723-7eec-447c-bdce-9385f2229b00</x:v>
      </x:c>
      <x:c r="F2127" t="str">
        <x:v>https://www.webonary.org/marubo/g45ad8723-7eec-447c-bdce-9385f2229b00/</x:v>
      </x:c>
      <x:c r="G2127" s="20" t="n">
        <x:v>46003.934988796296</x:v>
      </x:c>
    </x:row>
    <x:row r="2128">
      <x:c r="A2128" t="str">
        <x:v>stem</x:v>
      </x:c>
      <x:c r="B2128" t="str">
        <x:v>tasho</x:v>
      </x:c>
      <x:c r="C2128" t="str">
        <x:v>s</x:v>
      </x:c>
      <x:c r="D2128" t="str">
        <x:v>gc373c406-2dd6-45d2-89e3-1918dcac524e</x:v>
      </x:c>
      <x:c r="E2128" t="str">
        <x:v>g0884d225-a189-470f-8fa8-893aea3296fe</x:v>
      </x:c>
      <x:c r="F2128" t="str">
        <x:v>https://www.webonary.org/marubo/g0884d225-a189-470f-8fa8-893aea3296fe/</x:v>
      </x:c>
      <x:c r="G2128" s="20" t="n">
        <x:v>46003.934988796296</x:v>
      </x:c>
    </x:row>
    <x:row r="2129">
      <x:c r="A2129" t="str">
        <x:v>subir</x:v>
      </x:c>
      <x:c r="B2129" t="str">
        <x:v>nee iná</x:v>
      </x:c>
      <x:c r="C2129" t="str">
        <x:v>s</x:v>
      </x:c>
      <x:c r="D2129" t="str">
        <x:v>g6372aa32-6c46-49ec-abe0-6dfe03e8d9d1</x:v>
      </x:c>
      <x:c r="E2129" t="str">
        <x:v>gd967ab72-331e-4910-bce3-7413bbef4988</x:v>
      </x:c>
      <x:c r="F2129" t="str">
        <x:v>https://www.webonary.org/marubo/gd967ab72-331e-4910-bce3-7413bbef4988/</x:v>
      </x:c>
      <x:c r="G2129" s="20" t="n">
        <x:v>46003.934988796296</x:v>
      </x:c>
    </x:row>
    <x:row r="2130">
      <x:c r="A2130" t="str">
        <x:v>substancia como breu</x:v>
      </x:c>
      <x:c r="B2130" t="str">
        <x:v>sẽpa</x:v>
      </x:c>
      <x:c r="C2130" t="str">
        <x:v>s</x:v>
      </x:c>
      <x:c r="D2130" t="str">
        <x:v>ga9dc33e6-07f1-4956-92b5-1ee0fe559e58</x:v>
      </x:c>
      <x:c r="E2130" t="str">
        <x:v>g8255e8be-c6bc-413e-8fd7-0bd2bf471258</x:v>
      </x:c>
      <x:c r="F2130" t="str">
        <x:v>https://www.webonary.org/marubo/g8255e8be-c6bc-413e-8fd7-0bd2bf471258/</x:v>
      </x:c>
      <x:c r="G2130" s="20" t="n">
        <x:v>46003.934988796296</x:v>
      </x:c>
    </x:row>
    <x:row r="2131">
      <x:c r="A2131" t="str">
        <x:v>sucuri</x:v>
      </x:c>
      <x:c r="B2131" t="str">
        <x:v>vẽsha</x:v>
      </x:c>
      <x:c r="C2131" t="str">
        <x:v>s</x:v>
      </x:c>
      <x:c r="D2131" t="str">
        <x:v>gae791ba6-7d31-4161-9a99-bc18af7c7659</x:v>
      </x:c>
      <x:c r="E2131" t="str">
        <x:v>g22d764ec-d163-43e7-8014-f986b3ef6050</x:v>
      </x:c>
      <x:c r="F2131" t="str">
        <x:v>https://www.webonary.org/marubo/g22d764ec-d163-43e7-8014-f986b3ef6050/</x:v>
      </x:c>
      <x:c r="G2131" s="20" t="n">
        <x:v>46003.934988796296</x:v>
      </x:c>
    </x:row>
    <x:row r="2132">
      <x:c r="A2132" t="str">
        <x:v>sufocar?</x:v>
      </x:c>
      <x:c r="B2132" t="str">
        <x:v>tekóimisi</x:v>
      </x:c>
      <x:c r="C2132" t="str">
        <x:v>s</x:v>
      </x:c>
      <x:c r="D2132" t="str">
        <x:v>ga137bab2-270c-4ec6-970f-b31835cd85f4</x:v>
      </x:c>
      <x:c r="E2132" t="str">
        <x:v>g80ac72bd-e4d8-43f9-9619-ff214433bb42</x:v>
      </x:c>
      <x:c r="F2132" t="str">
        <x:v>https://www.webonary.org/marubo/g80ac72bd-e4d8-43f9-9619-ff214433bb42/</x:v>
      </x:c>
      <x:c r="G2132" s="20" t="n">
        <x:v>46003.934988796296</x:v>
      </x:c>
    </x:row>
    <x:row r="2133">
      <x:c r="A2133" t="str">
        <x:v>sujar outro (no final de festa)</x:v>
      </x:c>
      <x:c r="B2133" t="str">
        <x:v>vechtá</x:v>
      </x:c>
      <x:c r="C2133" t="str">
        <x:v>s</x:v>
      </x:c>
      <x:c r="D2133" t="str">
        <x:v>g0ee860d0-b164-456d-af91-2d4075b50ad7</x:v>
      </x:c>
      <x:c r="E2133" t="str">
        <x:v>g1afade2a-e2b1-4289-941f-80ef27e5e768</x:v>
      </x:c>
      <x:c r="F2133" t="str">
        <x:v>https://www.webonary.org/marubo/g1afade2a-e2b1-4289-941f-80ef27e5e768/</x:v>
      </x:c>
      <x:c r="G2133" s="20" t="n">
        <x:v>46003.934988796296</x:v>
      </x:c>
    </x:row>
    <x:row r="2134">
      <x:c r="A2134" t="str">
        <x:v>sujo</x:v>
      </x:c>
      <x:c r="B2134" t="str">
        <x:v>txochtaka</x:v>
      </x:c>
      <x:c r="C2134" t="str">
        <x:v>s</x:v>
      </x:c>
      <x:c r="D2134" t="str">
        <x:v>g7251f0df-0359-4363-a11f-8043b2d4d911</x:v>
      </x:c>
      <x:c r="E2134" t="str">
        <x:v>ge31b5606-1194-4c61-ba47-c84311c75fee</x:v>
      </x:c>
      <x:c r="F2134" t="str">
        <x:v>https://www.webonary.org/marubo/ge31b5606-1194-4c61-ba47-c84311c75fee/</x:v>
      </x:c>
      <x:c r="G2134" s="20" t="n">
        <x:v>46003.934988796296</x:v>
      </x:c>
    </x:row>
    <x:row r="2135">
      <x:c r="A2135" t="str">
        <x:v>superficie com recesso</x:v>
      </x:c>
      <x:c r="B2135" t="str">
        <x:v>txõkẽ́ka (tamo tõpi)</x:v>
      </x:c>
      <x:c r="C2135" t="str">
        <x:v>s</x:v>
      </x:c>
      <x:c r="D2135" t="str">
        <x:v>g4b0cd4f8-442e-4ffe-a777-dcfeebdb2054</x:v>
      </x:c>
      <x:c r="E2135" t="str">
        <x:v>g3f3f8c87-599d-4dc0-8f2b-45c48af185ae</x:v>
      </x:c>
      <x:c r="F2135" t="str">
        <x:v>https://www.webonary.org/marubo/g3f3f8c87-599d-4dc0-8f2b-45c48af185ae/</x:v>
      </x:c>
      <x:c r="G2135" s="20" t="n">
        <x:v>46003.934988796296</x:v>
      </x:c>
    </x:row>
    <x:row r="2136">
      <x:c r="A2136" t="str">
        <x:v>suporte para os bancos paralelos</x:v>
      </x:c>
      <x:c r="B2136" t="str">
        <x:v>kenã vesokti</x:v>
      </x:c>
      <x:c r="C2136" t="str">
        <x:v>s</x:v>
      </x:c>
      <x:c r="D2136" t="str">
        <x:v>g73caeb16-0e23-4a1f-94a0-d66e1e7e24f9</x:v>
      </x:c>
      <x:c r="E2136" t="str">
        <x:v>g89f0fe8b-bfa6-4b63-a801-7eeca2268883</x:v>
      </x:c>
      <x:c r="F2136" t="str">
        <x:v>https://www.webonary.org/marubo/g89f0fe8b-bfa6-4b63-a801-7eeca2268883/</x:v>
      </x:c>
      <x:c r="G2136" s="20" t="n">
        <x:v>46003.934988796296</x:v>
      </x:c>
    </x:row>
    <x:row r="2137">
      <x:c r="A2137" t="str">
        <x:v>surdo</x:v>
      </x:c>
      <x:c r="B2137" t="str">
        <x:v>pasto</x:v>
      </x:c>
      <x:c r="C2137" t="str">
        <x:v>s</x:v>
      </x:c>
      <x:c r="D2137" t="str">
        <x:v>g64a9bd5c-d814-4e5e-b7da-90dee1d69fe3</x:v>
      </x:c>
      <x:c r="E2137" t="str">
        <x:v>ge8118289-67c2-40bf-928b-0f80e24892a8</x:v>
      </x:c>
      <x:c r="F2137" t="str">
        <x:v>https://www.webonary.org/marubo/ge8118289-67c2-40bf-928b-0f80e24892a8/</x:v>
      </x:c>
      <x:c r="G2137" s="20" t="n">
        <x:v>46003.934988796296</x:v>
      </x:c>
    </x:row>
    <x:row r="2138">
      <x:c r="A2138" t="str">
        <x:v>surucucu</x:v>
      </x:c>
      <x:c r="B2138" t="str">
        <x:v>kamóshe</x:v>
      </x:c>
      <x:c r="C2138" t="str">
        <x:v>s</x:v>
      </x:c>
      <x:c r="D2138" t="str">
        <x:v>g89bf3bef-4dc0-40cd-b76b-0d8f3ed0c94e</x:v>
      </x:c>
      <x:c r="E2138" t="str">
        <x:v>g92edcac2-4726-430e-8af2-cb98989fbd9f</x:v>
      </x:c>
      <x:c r="F2138" t="str">
        <x:v>https://www.webonary.org/marubo/g92edcac2-4726-430e-8af2-cb98989fbd9f/</x:v>
      </x:c>
      <x:c r="G2138" s="20" t="n">
        <x:v>46003.934988796296</x:v>
      </x:c>
    </x:row>
    <x:row r="2139">
      <x:c r="A2139" t="str">
        <x:v>surucucu</x:v>
      </x:c>
      <x:c r="B2139" t="str">
        <x:v>1</x:v>
      </x:c>
      <x:c r="C2139" t="str">
        <x:v>s</x:v>
      </x:c>
      <x:c r="D2139" t="str">
        <x:v>g89bf3bef-4dc0-40cd-b76b-0d8f3ed0c94e</x:v>
      </x:c>
      <x:c r="E2139" t="str">
        <x:v>g92edcac2-4726-430e-8af2-cb98989fbd9f</x:v>
      </x:c>
      <x:c r="F2139" t="str">
        <x:v>https://www.webonary.org/marubo/g92edcac2-4726-430e-8af2-cb98989fbd9f/</x:v>
      </x:c>
      <x:c r="G2139" s="20" t="n">
        <x:v>46003.934988796296</x:v>
      </x:c>
    </x:row>
    <x:row r="2140">
      <x:c r="A2140" t="str">
        <x:v>surucucu</x:v>
      </x:c>
      <x:c r="B2140" t="str">
        <x:v>chanó</x:v>
      </x:c>
      <x:c r="C2140" t="str">
        <x:v>s</x:v>
      </x:c>
      <x:c r="D2140" t="str">
        <x:v>g89bf3bef-4dc0-40cd-b76b-0d8f3ed0c94e</x:v>
      </x:c>
      <x:c r="E2140" t="str">
        <x:v>g4158ad3b-2413-4489-9d29-1596ed5cc527</x:v>
      </x:c>
      <x:c r="F2140" t="str">
        <x:v>https://www.webonary.org/marubo/g4158ad3b-2413-4489-9d29-1596ed5cc527/</x:v>
      </x:c>
      <x:c r="G2140" s="20" t="n">
        <x:v>46003.934988796296</x:v>
      </x:c>
    </x:row>
    <x:row r="2141">
      <x:c r="A2141" t="str">
        <x:v>surucucu</x:v>
      </x:c>
      <x:c r="B2141" t="str">
        <x:v>mana chano</x:v>
      </x:c>
      <x:c r="C2141" t="str">
        <x:v>s</x:v>
      </x:c>
      <x:c r="D2141" t="str">
        <x:v>g89bf3bef-4dc0-40cd-b76b-0d8f3ed0c94e</x:v>
      </x:c>
      <x:c r="E2141" t="str">
        <x:v>g65455372-b3e6-4a53-b661-ed05f24dbe8f</x:v>
      </x:c>
      <x:c r="F2141" t="str">
        <x:v>https://www.webonary.org/marubo/g65455372-b3e6-4a53-b661-ed05f24dbe8f/</x:v>
      </x:c>
      <x:c r="G2141" s="20" t="n">
        <x:v>46003.934988796296</x:v>
      </x:c>
    </x:row>
    <x:row r="2142">
      <x:c r="A2142" t="str">
        <x:v>surucucu macho</x:v>
      </x:c>
      <x:c r="B2142" t="str">
        <x:v>chanó pono</x:v>
      </x:c>
      <x:c r="C2142" t="str">
        <x:v>s</x:v>
      </x:c>
      <x:c r="D2142" t="str">
        <x:v>g74cda873-31d1-4d86-a0dd-d7c158403249</x:v>
      </x:c>
      <x:c r="E2142" t="str">
        <x:v>g92801927-7c07-495e-89f0-d20676ca4bff</x:v>
      </x:c>
      <x:c r="F2142" t="str">
        <x:v>https://www.webonary.org/marubo/g92801927-7c07-495e-89f0-d20676ca4bff/</x:v>
      </x:c>
      <x:c r="G2142" s="20" t="n">
        <x:v>46003.934988796296</x:v>
      </x:c>
    </x:row>
    <x:row r="2143">
      <x:c r="A2143" t="str">
        <x:v>sussurar</x:v>
      </x:c>
      <x:c r="B2143" t="str">
        <x:v>vashesha</x:v>
      </x:c>
      <x:c r="C2143" t="str">
        <x:v>s</x:v>
      </x:c>
      <x:c r="D2143" t="str">
        <x:v>g6b2a951f-1db7-4c3a-b62e-451f042df17f</x:v>
      </x:c>
      <x:c r="E2143" t="str">
        <x:v>g14f43a7b-3c6a-452d-8b13-f9ffd7b49c66</x:v>
      </x:c>
      <x:c r="F2143" t="str">
        <x:v>https://www.webonary.org/marubo/g14f43a7b-3c6a-452d-8b13-f9ffd7b49c66/</x:v>
      </x:c>
      <x:c r="G2143" s="20" t="n">
        <x:v>46003.934988796296</x:v>
      </x:c>
    </x:row>
    <x:row r="2144">
      <x:c r="A2144" t="str">
        <x:v>sutiã</x:v>
      </x:c>
      <x:c r="B2144" t="str">
        <x:v>shoma rakoti</x:v>
      </x:c>
      <x:c r="C2144" t="str">
        <x:v>s</x:v>
      </x:c>
      <x:c r="D2144" t="str">
        <x:v>g7affa5cd-88b8-43dd-b843-592690fda204</x:v>
      </x:c>
      <x:c r="E2144" t="str">
        <x:v>gb0111b05-f8ff-483d-801e-129a89bbe7e4</x:v>
      </x:c>
      <x:c r="F2144" t="str">
        <x:v>https://www.webonary.org/marubo/gb0111b05-f8ff-483d-801e-129a89bbe7e4/</x:v>
      </x:c>
      <x:c r="G2144" s="20" t="n">
        <x:v>46003.934988796296</x:v>
      </x:c>
    </x:row>
    <x:row r="2145">
      <x:c r="A2145" t="str">
        <x:v>tabaco</x:v>
      </x:c>
      <x:c r="B2145" t="str">
        <x:v>rome</x:v>
      </x:c>
      <x:c r="C2145" t="str">
        <x:v>t</x:v>
      </x:c>
      <x:c r="D2145" t="str">
        <x:v>g0a6504d1-1574-4b66-ab3f-2d2ea4b413f7</x:v>
      </x:c>
      <x:c r="E2145" t="str">
        <x:v>gc03d3c1b-3d52-49f2-8179-e3d23f405f4e</x:v>
      </x:c>
      <x:c r="F2145" t="str">
        <x:v>https://www.webonary.org/marubo/gc03d3c1b-3d52-49f2-8179-e3d23f405f4e/</x:v>
      </x:c>
      <x:c r="G2145" s="20" t="n">
        <x:v>46003.934988796296</x:v>
      </x:c>
    </x:row>
    <x:row r="2146">
      <x:c r="A2146" t="str">
        <x:v>talco</x:v>
      </x:c>
      <x:c r="B2146" t="str">
        <x:v>poto</x:v>
      </x:c>
      <x:c r="C2146" t="str">
        <x:v>t</x:v>
      </x:c>
      <x:c r="D2146" t="str">
        <x:v>g73273dd2-78f2-495c-96f7-75f2cbd3bfc2</x:v>
      </x:c>
      <x:c r="E2146" t="str">
        <x:v>g301962c9-e716-4b10-a08a-f5265dece1c7</x:v>
      </x:c>
      <x:c r="F2146" t="str">
        <x:v>https://www.webonary.org/marubo/g301962c9-e716-4b10-a08a-f5265dece1c7/</x:v>
      </x:c>
      <x:c r="G2146" s="20" t="n">
        <x:v>46003.934988796296</x:v>
      </x:c>
    </x:row>
    <x:row r="2147">
      <x:c r="A2147" t="str">
        <x:v>tamandua</x:v>
      </x:c>
      <x:c r="B2147" t="str">
        <x:v>shae</x:v>
      </x:c>
      <x:c r="C2147" t="str">
        <x:v>t</x:v>
      </x:c>
      <x:c r="D2147" t="str">
        <x:v>g95f37bfe-e908-4dbc-a221-00638e899862</x:v>
      </x:c>
      <x:c r="E2147" t="str">
        <x:v>g6252ba12-2dc8-42ae-aa13-9554109a6374</x:v>
      </x:c>
      <x:c r="F2147" t="str">
        <x:v>https://www.webonary.org/marubo/g6252ba12-2dc8-42ae-aa13-9554109a6374/</x:v>
      </x:c>
      <x:c r="G2147" s="20" t="n">
        <x:v>46003.934988796296</x:v>
      </x:c>
    </x:row>
    <x:row r="2148">
      <x:c r="A2148" t="str">
        <x:v>tamandua</x:v>
      </x:c>
      <x:c r="B2148" t="str">
        <x:v>1</x:v>
      </x:c>
      <x:c r="C2148" t="str">
        <x:v>t</x:v>
      </x:c>
      <x:c r="D2148" t="str">
        <x:v>g95f37bfe-e908-4dbc-a221-00638e899862</x:v>
      </x:c>
      <x:c r="E2148" t="str">
        <x:v>g6252ba12-2dc8-42ae-aa13-9554109a6374</x:v>
      </x:c>
      <x:c r="F2148" t="str">
        <x:v>https://www.webonary.org/marubo/g6252ba12-2dc8-42ae-aa13-9554109a6374/</x:v>
      </x:c>
      <x:c r="G2148" s="20" t="n">
        <x:v>46003.934988796296</x:v>
      </x:c>
    </x:row>
    <x:row r="2149">
      <x:c r="A2149" t="str">
        <x:v>tamanduá pequena</x:v>
      </x:c>
      <x:c r="B2149" t="str">
        <x:v>vii</x:v>
      </x:c>
      <x:c r="C2149" t="str">
        <x:v>t</x:v>
      </x:c>
      <x:c r="D2149" t="str">
        <x:v>ge4590add-decc-4e76-90bd-911967828890</x:v>
      </x:c>
      <x:c r="E2149" t="str">
        <x:v>g6021dde6-eddb-4dc8-8012-66983d28432d</x:v>
      </x:c>
      <x:c r="F2149" t="str">
        <x:v>https://www.webonary.org/marubo/g6021dde6-eddb-4dc8-8012-66983d28432d/</x:v>
      </x:c>
      <x:c r="G2149" s="20" t="n">
        <x:v>46003.934988796296</x:v>
      </x:c>
    </x:row>
    <x:row r="2150">
      <x:c r="A2150" t="str">
        <x:v>também</x:v>
      </x:c>
      <x:c r="B2150" t="str">
        <x:v>aká</x:v>
      </x:c>
      <x:c r="C2150" t="str">
        <x:v>t</x:v>
      </x:c>
      <x:c r="D2150" t="str">
        <x:v>g4ca1baf1-27d3-4a4a-adb3-6851eef48833</x:v>
      </x:c>
      <x:c r="E2150" t="str">
        <x:v>gf9d7b8a7-70aa-4581-912e-81e681caae61</x:v>
      </x:c>
      <x:c r="F2150" t="str">
        <x:v>https://www.webonary.org/marubo/gf9d7b8a7-70aa-4581-912e-81e681caae61/</x:v>
      </x:c>
      <x:c r="G2150" s="20" t="n">
        <x:v>46003.934988796296</x:v>
      </x:c>
    </x:row>
    <x:row r="2151">
      <x:c r="A2151" t="str">
        <x:v>também</x:v>
      </x:c>
      <x:c r="B2151" t="str">
        <x:v>5</x:v>
      </x:c>
      <x:c r="C2151" t="str">
        <x:v>t</x:v>
      </x:c>
      <x:c r="D2151" t="str">
        <x:v>g4ca1baf1-27d3-4a4a-adb3-6851eef48833</x:v>
      </x:c>
      <x:c r="E2151" t="str">
        <x:v>gf9d7b8a7-70aa-4581-912e-81e681caae61</x:v>
      </x:c>
      <x:c r="F2151" t="str">
        <x:v>https://www.webonary.org/marubo/gf9d7b8a7-70aa-4581-912e-81e681caae61/</x:v>
      </x:c>
      <x:c r="G2151" s="20" t="n">
        <x:v>46003.934988796296</x:v>
      </x:c>
    </x:row>
    <x:row r="2152">
      <x:c r="A2152" t="str">
        <x:v>tamboatá peixe</x:v>
      </x:c>
      <x:c r="B2152" t="str">
        <x:v>esko</x:v>
      </x:c>
      <x:c r="C2152" t="str">
        <x:v>t</x:v>
      </x:c>
      <x:c r="D2152" t="str">
        <x:v>g8f131fae-8e74-4bd1-bbd2-1c6dd8b63aa0</x:v>
      </x:c>
      <x:c r="E2152" t="str">
        <x:v>g58e728c5-f58d-469c-9d65-fb603da99174</x:v>
      </x:c>
      <x:c r="F2152" t="str">
        <x:v>https://www.webonary.org/marubo/g58e728c5-f58d-469c-9d65-fb603da99174/</x:v>
      </x:c>
      <x:c r="G2152" s="20" t="n">
        <x:v>46003.934988796296</x:v>
      </x:c>
    </x:row>
    <x:row r="2153">
      <x:c r="A2153" t="str">
        <x:v>tampa</x:v>
      </x:c>
      <x:c r="B2153" t="str">
        <x:v>vetashti</x:v>
      </x:c>
      <x:c r="C2153" t="str">
        <x:v>t</x:v>
      </x:c>
      <x:c r="D2153" t="str">
        <x:v>ga356480b-dd16-4a5e-ae9b-6fbc1fbacf06</x:v>
      </x:c>
      <x:c r="E2153" t="str">
        <x:v>gdadd5f59-1a85-492c-8648-67e0517bcc44</x:v>
      </x:c>
      <x:c r="F2153" t="str">
        <x:v>https://www.webonary.org/marubo/gdadd5f59-1a85-492c-8648-67e0517bcc44/</x:v>
      </x:c>
      <x:c r="G2153" s="20" t="n">
        <x:v>46003.934988796296</x:v>
      </x:c>
    </x:row>
    <x:row r="2154">
      <x:c r="A2154" t="str">
        <x:v>tampar</x:v>
      </x:c>
      <x:c r="B2154" t="str">
        <x:v>vestoa</x:v>
      </x:c>
      <x:c r="C2154" t="str">
        <x:v>t</x:v>
      </x:c>
      <x:c r="D2154" t="str">
        <x:v>gcb2b8416-67c6-49c1-9940-8a4aead5e223</x:v>
      </x:c>
      <x:c r="E2154" t="str">
        <x:v>g35729221-edda-409f-a8c9-01e72a8b9f37</x:v>
      </x:c>
      <x:c r="F2154" t="str">
        <x:v>https://www.webonary.org/marubo/g35729221-edda-409f-a8c9-01e72a8b9f37/</x:v>
      </x:c>
      <x:c r="G2154" s="20" t="n">
        <x:v>46003.934988796296</x:v>
      </x:c>
    </x:row>
    <x:row r="2155">
      <x:c r="A2155" t="str">
        <x:v>tampar</x:v>
      </x:c>
      <x:c r="B2155" t="str">
        <x:v>vetásha</x:v>
      </x:c>
      <x:c r="C2155" t="str">
        <x:v>t</x:v>
      </x:c>
      <x:c r="D2155" t="str">
        <x:v>gcb2b8416-67c6-49c1-9940-8a4aead5e223</x:v>
      </x:c>
      <x:c r="E2155" t="str">
        <x:v>g322602b0-21c3-4b92-a746-11bb863d8059</x:v>
      </x:c>
      <x:c r="F2155" t="str">
        <x:v>https://www.webonary.org/marubo/g322602b0-21c3-4b92-a746-11bb863d8059/</x:v>
      </x:c>
      <x:c r="G2155" s="20" t="n">
        <x:v>46003.934988796296</x:v>
      </x:c>
    </x:row>
    <x:row r="2156">
      <x:c r="A2156" t="str">
        <x:v>tampar buraco da popa de canoa</x:v>
      </x:c>
      <x:c r="B2156" t="str">
        <x:v>tsivésa</x:v>
      </x:c>
      <x:c r="C2156" t="str">
        <x:v>t</x:v>
      </x:c>
      <x:c r="D2156" t="str">
        <x:v>g302d1a01-d6ea-4e73-a6b0-1a6c37fca14f</x:v>
      </x:c>
      <x:c r="E2156" t="str">
        <x:v>g4eb9d07d-aa25-46ed-a239-bcc7026b4345</x:v>
      </x:c>
      <x:c r="F2156" t="str">
        <x:v>https://www.webonary.org/marubo/g4eb9d07d-aa25-46ed-a239-bcc7026b4345/</x:v>
      </x:c>
      <x:c r="G2156" s="20" t="n">
        <x:v>46003.934988796296</x:v>
      </x:c>
    </x:row>
    <x:row r="2157">
      <x:c r="A2157" t="str">
        <x:v>tanama</x:v>
      </x:c>
      <x:c r="B2157" t="str">
        <x:v>yatí ikí</x:v>
      </x:c>
      <x:c r="C2157" t="str">
        <x:v>t</x:v>
      </x:c>
      <x:c r="D2157" t="str">
        <x:v>g4e5afd48-cd8f-4d29-96a8-952a41530e46</x:v>
      </x:c>
      <x:c r="E2157" t="str">
        <x:v>g708f4c7e-9f7c-4796-81fc-0495d3f2f425</x:v>
      </x:c>
      <x:c r="F2157" t="str">
        <x:v>https://www.webonary.org/marubo/g708f4c7e-9f7c-4796-81fc-0495d3f2f425/</x:v>
      </x:c>
      <x:c r="G2157" s="20" t="n">
        <x:v>46003.934988796296</x:v>
      </x:c>
    </x:row>
    <x:row r="2158">
      <x:c r="A2158" t="str">
        <x:v>tanama</x:v>
      </x:c>
      <x:c r="B2158" t="str">
        <x:v>yateke aká</x:v>
      </x:c>
      <x:c r="C2158" t="str">
        <x:v>t</x:v>
      </x:c>
      <x:c r="D2158" t="str">
        <x:v>g4e5afd48-cd8f-4d29-96a8-952a41530e46</x:v>
      </x:c>
      <x:c r="E2158" t="str">
        <x:v>g9d4a5694-845e-41f8-9500-510bb8e80cd6</x:v>
      </x:c>
      <x:c r="F2158" t="str">
        <x:v>https://www.webonary.org/marubo/g9d4a5694-845e-41f8-9500-510bb8e80cd6/</x:v>
      </x:c>
      <x:c r="G2158" s="20" t="n">
        <x:v>46003.934988796296</x:v>
      </x:c>
    </x:row>
    <x:row r="2159">
      <x:c r="A2159" t="str">
        <x:v>tanamaexpressão de</x:v>
      </x:c>
      <x:c r="B2159" t="str">
        <x:v>yaí</x:v>
      </x:c>
      <x:c r="C2159" t="str">
        <x:v>t</x:v>
      </x:c>
      <x:c r="D2159" t="str">
        <x:v>g6a41d4ea-1a44-40de-83bc-701e0545b76d</x:v>
      </x:c>
      <x:c r="E2159" t="str">
        <x:v>gb3672560-4695-4060-9b58-774dce316eb6</x:v>
      </x:c>
      <x:c r="F2159" t="str">
        <x:v>https://www.webonary.org/marubo/gb3672560-4695-4060-9b58-774dce316eb6/</x:v>
      </x:c>
      <x:c r="G2159" s="20" t="n">
        <x:v>46003.934988796296</x:v>
      </x:c>
    </x:row>
    <x:row r="2160">
      <x:c r="A2160" t="str">
        <x:v>tanamak</x:v>
      </x:c>
      <x:c r="B2160" t="str">
        <x:v>txonã meshti</x:v>
      </x:c>
      <x:c r="C2160" t="str">
        <x:v>t</x:v>
      </x:c>
      <x:c r="D2160" t="str">
        <x:v>g378e693c-8c6b-40cc-9c96-1d4e8e2f8d57</x:v>
      </x:c>
      <x:c r="E2160" t="str">
        <x:v>g78aa6c38-16ea-4b70-9a56-d609389c1e2e</x:v>
      </x:c>
      <x:c r="F2160" t="str">
        <x:v>https://www.webonary.org/marubo/g78aa6c38-16ea-4b70-9a56-d609389c1e2e/</x:v>
      </x:c>
      <x:c r="G2160" s="20" t="n">
        <x:v>46003.934988796296</x:v>
      </x:c>
    </x:row>
    <x:row r="2161">
      <x:c r="A2161" t="str">
        <x:v>tanga</x:v>
      </x:c>
      <x:c r="B2161" t="str">
        <x:v>vokã mani</x:v>
      </x:c>
      <x:c r="C2161" t="str">
        <x:v>t</x:v>
      </x:c>
      <x:c r="D2161" t="str">
        <x:v>g633eb49a-a26f-4610-af25-9d3bc4da9ce7</x:v>
      </x:c>
      <x:c r="E2161" t="str">
        <x:v>g73d41511-fdaa-45f8-927f-7316b7d64f65</x:v>
      </x:c>
      <x:c r="F2161" t="str">
        <x:v>https://www.webonary.org/marubo/g73d41511-fdaa-45f8-927f-7316b7d64f65/</x:v>
      </x:c>
      <x:c r="G2161" s="20" t="n">
        <x:v>46003.934988796296</x:v>
      </x:c>
    </x:row>
    <x:row r="2162">
      <x:c r="A2162" t="str">
        <x:v>tapete trançado</x:v>
      </x:c>
      <x:c r="B2162" t="str">
        <x:v>pichĩ</x:v>
      </x:c>
      <x:c r="C2162" t="str">
        <x:v>t</x:v>
      </x:c>
      <x:c r="D2162" t="str">
        <x:v>gc420739a-a854-439b-afc8-32998b51b5f7</x:v>
      </x:c>
      <x:c r="E2162" t="str">
        <x:v>g36fc45b2-9ea1-4ada-898e-4efbd538c48c</x:v>
      </x:c>
      <x:c r="F2162" t="str">
        <x:v>https://www.webonary.org/marubo/g36fc45b2-9ea1-4ada-898e-4efbd538c48c/</x:v>
      </x:c>
      <x:c r="G2162" s="20" t="n">
        <x:v>46003.934988796296</x:v>
      </x:c>
    </x:row>
    <x:row r="2163">
      <x:c r="A2163" t="str">
        <x:v>tapiri</x:v>
      </x:c>
      <x:c r="B2163" t="str">
        <x:v>tapo</x:v>
      </x:c>
      <x:c r="C2163" t="str">
        <x:v>t</x:v>
      </x:c>
      <x:c r="D2163" t="str">
        <x:v>g91802cf5-17c4-4680-ae32-ee33f3966329</x:v>
      </x:c>
      <x:c r="E2163" t="str">
        <x:v>g45e8b4f0-84ae-401a-ac31-c79c8ddaa7e2</x:v>
      </x:c>
      <x:c r="F2163" t="str">
        <x:v>https://www.webonary.org/marubo/g45e8b4f0-84ae-401a-ac31-c79c8ddaa7e2/</x:v>
      </x:c>
      <x:c r="G2163" s="20" t="n">
        <x:v>46003.934988796296</x:v>
      </x:c>
    </x:row>
    <x:row r="2164">
      <x:c r="A2164" t="str">
        <x:v>tapuru</x:v>
      </x:c>
      <x:c r="B2164" t="str">
        <x:v>shena</x:v>
      </x:c>
      <x:c r="C2164" t="str">
        <x:v>t</x:v>
      </x:c>
      <x:c r="D2164" t="str">
        <x:v>g212dd2f6-280b-4eeb-8f82-951d1dd94aba</x:v>
      </x:c>
      <x:c r="E2164" t="str">
        <x:v>g92023afe-e3ef-4140-b6e4-bb74cb4889cb</x:v>
      </x:c>
      <x:c r="F2164" t="str">
        <x:v>https://www.webonary.org/marubo/g92023afe-e3ef-4140-b6e4-bb74cb4889cb/</x:v>
      </x:c>
      <x:c r="G2164" s="20" t="n">
        <x:v>46003.934988796296</x:v>
      </x:c>
    </x:row>
    <x:row r="2165">
      <x:c r="A2165" t="str">
        <x:v>tapuru</x:v>
      </x:c>
      <x:c r="B2165" t="str">
        <x:v>mako</x:v>
      </x:c>
      <x:c r="C2165" t="str">
        <x:v>t</x:v>
      </x:c>
      <x:c r="D2165" t="str">
        <x:v>g212dd2f6-280b-4eeb-8f82-951d1dd94aba</x:v>
      </x:c>
      <x:c r="E2165" t="str">
        <x:v>g617b35fb-d76e-40d2-8604-0cb3905d3abc</x:v>
      </x:c>
      <x:c r="F2165" t="str">
        <x:v>https://www.webonary.org/marubo/g617b35fb-d76e-40d2-8604-0cb3905d3abc/</x:v>
      </x:c>
      <x:c r="G2165" s="20" t="n">
        <x:v>46003.934988796296</x:v>
      </x:c>
    </x:row>
    <x:row r="2166">
      <x:c r="A2166" t="str">
        <x:v>tarantula</x:v>
      </x:c>
      <x:c r="B2166" t="str">
        <x:v>yotá</x:v>
      </x:c>
      <x:c r="C2166" t="str">
        <x:v>t</x:v>
      </x:c>
      <x:c r="D2166" t="str">
        <x:v>gc38db4cc-f18d-4cff-9dad-d8c24a94aadc</x:v>
      </x:c>
      <x:c r="E2166" t="str">
        <x:v>gd747878a-d9e3-4286-bddf-3d6bf4f719e0</x:v>
      </x:c>
      <x:c r="F2166" t="str">
        <x:v>https://www.webonary.org/marubo/gd747878a-d9e3-4286-bddf-3d6bf4f719e0/</x:v>
      </x:c>
      <x:c r="G2166" s="20" t="n">
        <x:v>46003.934988796296</x:v>
      </x:c>
    </x:row>
    <x:row r="2167">
      <x:c r="A2167" t="str">
        <x:v>tarde</x:v>
      </x:c>
      <x:c r="B2167" t="str">
        <x:v>yãtã</x:v>
      </x:c>
      <x:c r="C2167" t="str">
        <x:v>t</x:v>
      </x:c>
      <x:c r="D2167" t="str">
        <x:v>ga0967fdc-2298-4d04-a45b-0743851cf8f9</x:v>
      </x:c>
      <x:c r="E2167" t="str">
        <x:v>g0e396f7d-ebca-4a38-88d0-c1cdbed1e2f1</x:v>
      </x:c>
      <x:c r="F2167" t="str">
        <x:v>https://www.webonary.org/marubo/g0e396f7d-ebca-4a38-88d0-c1cdbed1e2f1/</x:v>
      </x:c>
      <x:c r="G2167" s="20" t="n">
        <x:v>46003.934988796296</x:v>
      </x:c>
    </x:row>
    <x:row r="2168">
      <x:c r="A2168" t="str">
        <x:v>tartaruga</x:v>
      </x:c>
      <x:c r="B2168" t="str">
        <x:v>shawẽwa</x:v>
      </x:c>
      <x:c r="C2168" t="str">
        <x:v>t</x:v>
      </x:c>
      <x:c r="D2168" t="str">
        <x:v>gfb8799a1-0393-4457-b840-ed6c4409d9c4</x:v>
      </x:c>
      <x:c r="E2168" t="str">
        <x:v>ge2225566-e062-4fea-b83f-b66c1fef1f87</x:v>
      </x:c>
      <x:c r="F2168" t="str">
        <x:v>https://www.webonary.org/marubo/ge2225566-e062-4fea-b83f-b66c1fef1f87/</x:v>
      </x:c>
      <x:c r="G2168" s="20" t="n">
        <x:v>46003.934988796296</x:v>
      </x:c>
    </x:row>
    <x:row r="2169">
      <x:c r="A2169" t="str">
        <x:v>tatu</x:v>
      </x:c>
      <x:c r="B2169" t="str">
        <x:v>yawichi</x:v>
      </x:c>
      <x:c r="C2169" t="str">
        <x:v>t</x:v>
      </x:c>
      <x:c r="D2169" t="str">
        <x:v>gda4b2920-9cc7-4ef0-9435-09328fde401b</x:v>
      </x:c>
      <x:c r="E2169" t="str">
        <x:v>g324aad90-ec6d-45be-8d01-534ebdcb5ba2</x:v>
      </x:c>
      <x:c r="F2169" t="str">
        <x:v>https://www.webonary.org/marubo/g324aad90-ec6d-45be-8d01-534ebdcb5ba2/</x:v>
      </x:c>
      <x:c r="G2169" s="20" t="n">
        <x:v>46003.934988796296</x:v>
      </x:c>
    </x:row>
    <x:row r="2170">
      <x:c r="A2170" t="str">
        <x:v>tatu canastra</x:v>
      </x:c>
      <x:c r="B2170" t="str">
        <x:v>pano</x:v>
      </x:c>
      <x:c r="C2170" t="str">
        <x:v>t</x:v>
      </x:c>
      <x:c r="D2170" t="str">
        <x:v>gad3dace6-a7f5-4211-8b57-a435805c7ea5</x:v>
      </x:c>
      <x:c r="E2170" t="str">
        <x:v>g4f3141df-3dcb-43f0-8937-1f3367623867</x:v>
      </x:c>
      <x:c r="F2170" t="str">
        <x:v>https://www.webonary.org/marubo/g4f3141df-3dcb-43f0-8937-1f3367623867/</x:v>
      </x:c>
      <x:c r="G2170" s="20" t="n">
        <x:v>46003.934988796296</x:v>
      </x:c>
    </x:row>
    <x:row r="2171">
      <x:c r="A2171" t="str">
        <x:v>tatu de nove faixas</x:v>
      </x:c>
      <x:c r="B2171" t="str">
        <x:v>waka yawichi</x:v>
      </x:c>
      <x:c r="C2171" t="str">
        <x:v>t</x:v>
      </x:c>
      <x:c r="D2171" t="str">
        <x:v>gb8336922-53be-4592-88b7-e7cdbe9b38fa</x:v>
      </x:c>
      <x:c r="E2171" t="str">
        <x:v>gbb6c3b30-4850-4a54-8d69-ff8a56236b21</x:v>
      </x:c>
      <x:c r="F2171" t="str">
        <x:v>https://www.webonary.org/marubo/gbb6c3b30-4850-4a54-8d69-ff8a56236b21/</x:v>
      </x:c>
      <x:c r="G2171" s="20" t="n">
        <x:v>46003.934988796296</x:v>
      </x:c>
    </x:row>
    <x:row r="2172">
      <x:c r="A2172" t="str">
        <x:v>tatuagem do rosto típico dos marubos</x:v>
      </x:c>
      <x:c r="B2172" t="str">
        <x:v>tsitsa</x:v>
      </x:c>
      <x:c r="C2172" t="str">
        <x:v>t</x:v>
      </x:c>
      <x:c r="D2172" t="str">
        <x:v>g4aaf9c6d-e4a6-4ca8-b249-091c131dbb79</x:v>
      </x:c>
      <x:c r="E2172" t="str">
        <x:v>gd2f31392-fc0a-4cd5-984c-3d98f12e3abe</x:v>
      </x:c>
      <x:c r="F2172" t="str">
        <x:v>https://www.webonary.org/marubo/gd2f31392-fc0a-4cd5-984c-3d98f12e3abe/</x:v>
      </x:c>
      <x:c r="G2172" s="20" t="n">
        <x:v>46003.93499537037</x:v>
      </x:c>
    </x:row>
    <x:row r="2173">
      <x:c r="A2173" t="str">
        <x:v>teia de aranha ?</x:v>
      </x:c>
      <x:c r="B2173" t="str">
        <x:v>wasnõ</x:v>
      </x:c>
      <x:c r="C2173" t="str">
        <x:v>t</x:v>
      </x:c>
      <x:c r="D2173" t="str">
        <x:v>ga41bcde1-48f3-4a8f-bd21-a74096fae2d3</x:v>
      </x:c>
      <x:c r="E2173" t="str">
        <x:v>g4aa65223-3a13-4096-8df9-5f22d0bb34ea</x:v>
      </x:c>
      <x:c r="F2173" t="str">
        <x:v>https://www.webonary.org/marubo/g4aa65223-3a13-4096-8df9-5f22d0bb34ea/</x:v>
      </x:c>
      <x:c r="G2173" s="20" t="n">
        <x:v>46003.93499537037</x:v>
      </x:c>
    </x:row>
    <x:row r="2174">
      <x:c r="A2174" t="str">
        <x:v>tela</x:v>
      </x:c>
      <x:c r="B2174" t="str">
        <x:v>veisti</x:v>
      </x:c>
      <x:c r="C2174" t="str">
        <x:v>t</x:v>
      </x:c>
      <x:c r="D2174" t="str">
        <x:v>ga23f50b5-31a0-41a2-b136-c6b7db36945f</x:v>
      </x:c>
      <x:c r="E2174" t="str">
        <x:v>g47d979d6-1533-4f01-b45b-837b874e675e</x:v>
      </x:c>
      <x:c r="F2174" t="str">
        <x:v>https://www.webonary.org/marubo/g47d979d6-1533-4f01-b45b-837b874e675e/</x:v>
      </x:c>
      <x:c r="G2174" s="20" t="n">
        <x:v>46003.93499537037</x:v>
      </x:c>
    </x:row>
    <x:row r="2175">
      <x:c r="A2175" t="str">
        <x:v>tempo de chuva</x:v>
      </x:c>
      <x:c r="B2175" t="str">
        <x:v>oi txinĩ</x:v>
      </x:c>
      <x:c r="C2175" t="str">
        <x:v>t</x:v>
      </x:c>
      <x:c r="D2175" t="str">
        <x:v>g5a14d143-ad82-476f-af2c-cbd6489b24fc</x:v>
      </x:c>
      <x:c r="E2175" t="str">
        <x:v>gd9917c15-553a-471b-9261-5f1ab262d06b</x:v>
      </x:c>
      <x:c r="F2175" t="str">
        <x:v>https://www.webonary.org/marubo/gd9917c15-553a-471b-9261-5f1ab262d06b/</x:v>
      </x:c>
      <x:c r="G2175" s="20" t="n">
        <x:v>46003.93499537037</x:v>
      </x:c>
    </x:row>
    <x:row r="2176">
      <x:c r="A2176" t="str">
        <x:v>têmpora</x:v>
      </x:c>
      <x:c r="B2176" t="str">
        <x:v>ismane</x:v>
      </x:c>
      <x:c r="C2176" t="str">
        <x:v>t</x:v>
      </x:c>
      <x:c r="D2176" t="str">
        <x:v>g0d9e0f3e-eb00-42f2-b7f4-f77a80af9e60</x:v>
      </x:c>
      <x:c r="E2176" t="str">
        <x:v>g4d9103e2-9caa-448d-8280-af1dd1579b75</x:v>
      </x:c>
      <x:c r="F2176" t="str">
        <x:v>https://www.webonary.org/marubo/g4d9103e2-9caa-448d-8280-af1dd1579b75/</x:v>
      </x:c>
      <x:c r="G2176" s="20" t="n">
        <x:v>46003.93499537037</x:v>
      </x:c>
    </x:row>
    <x:row r="2177">
      <x:c r="A2177" t="str">
        <x:v>tendão de Aquiles</x:v>
      </x:c>
      <x:c r="B2177" t="str">
        <x:v>tẽwã</x:v>
      </x:c>
      <x:c r="C2177" t="str">
        <x:v>t</x:v>
      </x:c>
      <x:c r="D2177" t="str">
        <x:v>gdc9459c6-fd3d-42cc-bec0-6a27d9f7c2ad</x:v>
      </x:c>
      <x:c r="E2177" t="str">
        <x:v>gf9c01f0c-8f9d-4013-bf99-496a9f4c3e63</x:v>
      </x:c>
      <x:c r="F2177" t="str">
        <x:v>https://www.webonary.org/marubo/gf9c01f0c-8f9d-4013-bf99-496a9f4c3e63/</x:v>
      </x:c>
      <x:c r="G2177" s="20" t="n">
        <x:v>46003.93499537037</x:v>
      </x:c>
    </x:row>
    <x:row r="2178">
      <x:c r="A2178" t="str">
        <x:v>ter ciume</x:v>
      </x:c>
      <x:c r="B2178" t="str">
        <x:v>siná</x:v>
      </x:c>
      <x:c r="C2178" t="str">
        <x:v>t</x:v>
      </x:c>
      <x:c r="D2178" t="str">
        <x:v>ge1177140-0fca-4c4c-bf63-ac5dc4a157bc</x:v>
      </x:c>
      <x:c r="E2178" t="str">
        <x:v>gd84c24c9-9a0f-4024-9f43-c8bda53dc58e</x:v>
      </x:c>
      <x:c r="F2178" t="str">
        <x:v>https://www.webonary.org/marubo/gd84c24c9-9a0f-4024-9f43-c8bda53dc58e/</x:v>
      </x:c>
      <x:c r="G2178" s="20" t="n">
        <x:v>46003.93499537037</x:v>
      </x:c>
    </x:row>
    <x:row r="2179">
      <x:c r="A2179" t="str">
        <x:v>ter conjuntivite</x:v>
      </x:c>
      <x:c r="B2179" t="str">
        <x:v>veroai</x:v>
      </x:c>
      <x:c r="C2179" t="str">
        <x:v>t</x:v>
      </x:c>
      <x:c r="D2179" t="str">
        <x:v>gba16fec4-eef0-4e5b-a223-cd286bda457e</x:v>
      </x:c>
      <x:c r="E2179" t="str">
        <x:v>gf370c0b8-1b2d-46ae-9735-966204876707</x:v>
      </x:c>
      <x:c r="F2179" t="str">
        <x:v>https://www.webonary.org/marubo/gf370c0b8-1b2d-46ae-9735-966204876707/</x:v>
      </x:c>
      <x:c r="G2179" s="20" t="n">
        <x:v>46003.93499537037</x:v>
      </x:c>
    </x:row>
    <x:row r="2180">
      <x:c r="A2180" t="str">
        <x:v>ter diarreia</x:v>
      </x:c>
      <x:c r="B2180" t="str">
        <x:v>txeshóa</x:v>
      </x:c>
      <x:c r="C2180" t="str">
        <x:v>t</x:v>
      </x:c>
      <x:c r="D2180" t="str">
        <x:v>g4186586a-7470-4c43-a275-733fc08b63dc</x:v>
      </x:c>
      <x:c r="E2180" t="str">
        <x:v>ga08caa76-2ba5-4533-b9a9-c8e4dc15b3d8</x:v>
      </x:c>
      <x:c r="F2180" t="str">
        <x:v>https://www.webonary.org/marubo/ga08caa76-2ba5-4533-b9a9-c8e4dc15b3d8/</x:v>
      </x:c>
      <x:c r="G2180" s="20" t="n">
        <x:v>46003.93499537037</x:v>
      </x:c>
    </x:row>
    <x:row r="2181">
      <x:c r="A2181" t="str">
        <x:v>ter diarreia</x:v>
      </x:c>
      <x:c r="B2181" t="str">
        <x:v>yotoa</x:v>
      </x:c>
      <x:c r="C2181" t="str">
        <x:v>t</x:v>
      </x:c>
      <x:c r="D2181" t="str">
        <x:v>g4186586a-7470-4c43-a275-733fc08b63dc</x:v>
      </x:c>
      <x:c r="E2181" t="str">
        <x:v>g1cf96b2a-3714-42df-aa0d-b4fb70771bab</x:v>
      </x:c>
      <x:c r="F2181" t="str">
        <x:v>https://www.webonary.org/marubo/g1cf96b2a-3714-42df-aa0d-b4fb70771bab/</x:v>
      </x:c>
      <x:c r="G2181" s="20" t="n">
        <x:v>46003.93499537037</x:v>
      </x:c>
    </x:row>
    <x:row r="2182">
      <x:c r="A2182" t="str">
        <x:v>ter febre</x:v>
      </x:c>
      <x:c r="B2182" t="str">
        <x:v>yoná</x:v>
      </x:c>
      <x:c r="C2182" t="str">
        <x:v>t</x:v>
      </x:c>
      <x:c r="D2182" t="str">
        <x:v>gaf4a405d-426d-4827-8460-dd744db0853f</x:v>
      </x:c>
      <x:c r="E2182" t="str">
        <x:v>g3730e107-8def-4e4d-96f3-8d3550b3154e</x:v>
      </x:c>
      <x:c r="F2182" t="str">
        <x:v>https://www.webonary.org/marubo/g3730e107-8def-4e4d-96f3-8d3550b3154e/</x:v>
      </x:c>
      <x:c r="G2182" s="20" t="n">
        <x:v>46003.93499537037</x:v>
      </x:c>
    </x:row>
    <x:row r="2183">
      <x:c r="A2183" t="str">
        <x:v>ter febre</x:v>
      </x:c>
      <x:c r="B2183" t="str">
        <x:v>2</x:v>
      </x:c>
      <x:c r="C2183" t="str">
        <x:v>t</x:v>
      </x:c>
      <x:c r="D2183" t="str">
        <x:v>gaf4a405d-426d-4827-8460-dd744db0853f</x:v>
      </x:c>
      <x:c r="E2183" t="str">
        <x:v>g3730e107-8def-4e4d-96f3-8d3550b3154e</x:v>
      </x:c>
      <x:c r="F2183" t="str">
        <x:v>https://www.webonary.org/marubo/g3730e107-8def-4e4d-96f3-8d3550b3154e/</x:v>
      </x:c>
      <x:c r="G2183" s="20" t="n">
        <x:v>46003.93499537037</x:v>
      </x:c>
    </x:row>
    <x:row r="2184">
      <x:c r="A2184" t="str">
        <x:v>ter muito peso</x:v>
      </x:c>
      <x:c r="B2184" t="str">
        <x:v>ewẽa</x:v>
      </x:c>
      <x:c r="C2184" t="str">
        <x:v>t</x:v>
      </x:c>
      <x:c r="D2184" t="str">
        <x:v>g45481096-239e-407b-9d4e-7fe8fb735ed8</x:v>
      </x:c>
      <x:c r="E2184" t="str">
        <x:v>g6db986ce-caf7-4565-957b-853c0c4ce11f</x:v>
      </x:c>
      <x:c r="F2184" t="str">
        <x:v>https://www.webonary.org/marubo/g6db986ce-caf7-4565-957b-853c0c4ce11f/</x:v>
      </x:c>
      <x:c r="G2184" s="20" t="n">
        <x:v>46003.93499537037</x:v>
      </x:c>
    </x:row>
    <x:row r="2185">
      <x:c r="A2185" t="str">
        <x:v>ter pena</x:v>
      </x:c>
      <x:c r="B2185" t="str">
        <x:v>onis aká</x:v>
      </x:c>
      <x:c r="C2185" t="str">
        <x:v>t</x:v>
      </x:c>
      <x:c r="D2185" t="str">
        <x:v>g474bd751-d90c-45bf-a6ba-8bc63841677d</x:v>
      </x:c>
      <x:c r="E2185" t="str">
        <x:v>g65785808-52a3-4b9a-ab39-9cd7e0a240b4</x:v>
      </x:c>
      <x:c r="F2185" t="str">
        <x:v>https://www.webonary.org/marubo/g65785808-52a3-4b9a-ab39-9cd7e0a240b4/</x:v>
      </x:c>
      <x:c r="G2185" s="20" t="n">
        <x:v>46003.93499537037</x:v>
      </x:c>
    </x:row>
    <x:row r="2186">
      <x:c r="A2186" t="str">
        <x:v>ter vergonha</x:v>
      </x:c>
      <x:c r="B2186" t="str">
        <x:v>ravĩa</x:v>
      </x:c>
      <x:c r="C2186" t="str">
        <x:v>t</x:v>
      </x:c>
      <x:c r="D2186" t="str">
        <x:v>g22ad328a-6967-41eb-8c4a-2265ef594802</x:v>
      </x:c>
      <x:c r="E2186" t="str">
        <x:v>g7f5befaf-6232-4a6e-8b55-c295f61236f3</x:v>
      </x:c>
      <x:c r="F2186" t="str">
        <x:v>https://www.webonary.org/marubo/g7f5befaf-6232-4a6e-8b55-c295f61236f3/</x:v>
      </x:c>
      <x:c r="G2186" s="20" t="n">
        <x:v>46003.93499537037</x:v>
      </x:c>
    </x:row>
    <x:row r="2187">
      <x:c r="A2187" t="str">
        <x:v>tercado</x:v>
      </x:c>
      <x:c r="B2187" t="str">
        <x:v>richkiti</x:v>
      </x:c>
      <x:c r="C2187" t="str">
        <x:v>t</x:v>
      </x:c>
      <x:c r="D2187" t="str">
        <x:v>gc056cc42-aec8-42ba-bbb2-32e95c4cad5b</x:v>
      </x:c>
      <x:c r="E2187" t="str">
        <x:v>ge141cef9-8c22-4bc9-8e97-443ac623b3f5</x:v>
      </x:c>
      <x:c r="F2187" t="str">
        <x:v>https://www.webonary.org/marubo/ge141cef9-8c22-4bc9-8e97-443ac623b3f5/</x:v>
      </x:c>
      <x:c r="G2187" s="20" t="n">
        <x:v>46003.93499537037</x:v>
      </x:c>
    </x:row>
    <x:row r="2188">
      <x:c r="A2188" t="str">
        <x:v>terçado</x:v>
      </x:c>
      <x:c r="B2188" t="str">
        <x:v>richkiti</x:v>
      </x:c>
      <x:c r="C2188" t="str">
        <x:v>t</x:v>
      </x:c>
      <x:c r="D2188" t="str">
        <x:v>g88fc5ae3-85c6-4a88-802b-66770c6946ae</x:v>
      </x:c>
      <x:c r="E2188" t="str">
        <x:v>ge141cef9-8c22-4bc9-8e97-443ac623b3f5</x:v>
      </x:c>
      <x:c r="F2188" t="str">
        <x:v>https://www.webonary.org/marubo/ge141cef9-8c22-4bc9-8e97-443ac623b3f5/</x:v>
      </x:c>
      <x:c r="G2188" s="20" t="n">
        <x:v>46003.93499537037</x:v>
      </x:c>
    </x:row>
    <x:row r="2189">
      <x:c r="A2189" t="str">
        <x:v>terminar</x:v>
      </x:c>
      <x:c r="B2189" t="str">
        <x:v>mashtea</x:v>
      </x:c>
      <x:c r="C2189" t="str">
        <x:v>t</x:v>
      </x:c>
      <x:c r="D2189" t="str">
        <x:v>g1655d787-2fd3-4d33-a189-303b32b1c6d6</x:v>
      </x:c>
      <x:c r="E2189" t="str">
        <x:v>g323fb096-68ac-4d14-a065-e6ef665495df</x:v>
      </x:c>
      <x:c r="F2189" t="str">
        <x:v>https://www.webonary.org/marubo/g323fb096-68ac-4d14-a065-e6ef665495df/</x:v>
      </x:c>
      <x:c r="G2189" s="20" t="n">
        <x:v>46003.93499537037</x:v>
      </x:c>
    </x:row>
    <x:row r="2190">
      <x:c r="A2190" t="str">
        <x:v>termo usado de sogra para gênro</x:v>
      </x:c>
      <x:c r="B2190" t="str">
        <x:v>michi</x:v>
      </x:c>
      <x:c r="C2190" t="str">
        <x:v>t</x:v>
      </x:c>
      <x:c r="D2190" t="str">
        <x:v>g1082c034-e819-4559-917a-a2c7b91e8e2a</x:v>
      </x:c>
      <x:c r="E2190" t="str">
        <x:v>g266f3fef-aaf5-4deb-a852-69ca6231171a</x:v>
      </x:c>
      <x:c r="F2190" t="str">
        <x:v>https://www.webonary.org/marubo/g266f3fef-aaf5-4deb-a852-69ca6231171a/</x:v>
      </x:c>
      <x:c r="G2190" s="20" t="n">
        <x:v>46003.93499537037</x:v>
      </x:c>
    </x:row>
    <x:row r="2191">
      <x:c r="A2191" t="str">
        <x:v>termo usado para filho</x:v>
      </x:c>
      <x:c r="B2191" t="str">
        <x:v>yome</x:v>
      </x:c>
      <x:c r="C2191" t="str">
        <x:v>t</x:v>
      </x:c>
      <x:c r="D2191" t="str">
        <x:v>g4de5223d-143a-4ebf-b0d5-0f8f84cf68c3</x:v>
      </x:c>
      <x:c r="E2191" t="str">
        <x:v>g7e9f75d1-ccad-4d3a-97b8-f4bc8e98270a</x:v>
      </x:c>
      <x:c r="F2191" t="str">
        <x:v>https://www.webonary.org/marubo/g7e9f75d1-ccad-4d3a-97b8-f4bc8e98270a/</x:v>
      </x:c>
      <x:c r="G2191" s="20" t="n">
        <x:v>46003.93499537037</x:v>
      </x:c>
    </x:row>
    <x:row r="2192">
      <x:c r="A2192" t="str">
        <x:v>termo usado por velhos com pessoas mais novas</x:v>
      </x:c>
      <x:c r="B2192" t="str">
        <x:v>txõpa</x:v>
      </x:c>
      <x:c r="C2192" t="str">
        <x:v>t</x:v>
      </x:c>
      <x:c r="D2192" t="str">
        <x:v>g13cd46b9-7846-47af-ab90-529cc43228b7</x:v>
      </x:c>
      <x:c r="E2192" t="str">
        <x:v>ga3738855-bc62-4952-94c3-56a5f389e873</x:v>
      </x:c>
      <x:c r="F2192" t="str">
        <x:v>https://www.webonary.org/marubo/ga3738855-bc62-4952-94c3-56a5f389e873/</x:v>
      </x:c>
      <x:c r="G2192" s="20" t="n">
        <x:v>46003.93499537037</x:v>
      </x:c>
    </x:row>
    <x:row r="2193">
      <x:c r="A2193" t="str">
        <x:v>terra</x:v>
      </x:c>
      <x:c r="B2193" t="str">
        <x:v>mai</x:v>
      </x:c>
      <x:c r="C2193" t="str">
        <x:v>t</x:v>
      </x:c>
      <x:c r="D2193" t="str">
        <x:v>g40e0abbd-049f-42a4-89d2-a2790992086c</x:v>
      </x:c>
      <x:c r="E2193" t="str">
        <x:v>gb28c8292-20ed-4cc8-b7be-cdbf5f39a7bd</x:v>
      </x:c>
      <x:c r="F2193" t="str">
        <x:v>https://www.webonary.org/marubo/gb28c8292-20ed-4cc8-b7be-cdbf5f39a7bd/</x:v>
      </x:c>
      <x:c r="G2193" s="20" t="n">
        <x:v>46003.93499537037</x:v>
      </x:c>
    </x:row>
    <x:row r="2194">
      <x:c r="A2194" t="str">
        <x:v>terra limpa</x:v>
      </x:c>
      <x:c r="B2194" t="str">
        <x:v>mãcho</x:v>
      </x:c>
      <x:c r="C2194" t="str">
        <x:v>t</x:v>
      </x:c>
      <x:c r="D2194" t="str">
        <x:v>g984c9dbe-e7d7-4af1-bf97-15ffae82b313</x:v>
      </x:c>
      <x:c r="E2194" t="str">
        <x:v>g0c040441-9a08-42e1-bc47-5dd87c419e35</x:v>
      </x:c>
      <x:c r="F2194" t="str">
        <x:v>https://www.webonary.org/marubo/g0c040441-9a08-42e1-bc47-5dd87c419e35/</x:v>
      </x:c>
      <x:c r="G2194" s="20" t="n">
        <x:v>46003.93499537037</x:v>
      </x:c>
    </x:row>
    <x:row r="2195">
      <x:c r="A2195" t="str">
        <x:v>tesoura</x:v>
      </x:c>
      <x:c r="B2195" t="str">
        <x:v>tashoti</x:v>
      </x:c>
      <x:c r="C2195" t="str">
        <x:v>t</x:v>
      </x:c>
      <x:c r="D2195" t="str">
        <x:v>gf69f67f6-8f49-4a26-88a4-ddb46b71cdfb</x:v>
      </x:c>
      <x:c r="E2195" t="str">
        <x:v>gb0fa2c02-283c-47cd-8ddc-438680e38a81</x:v>
      </x:c>
      <x:c r="F2195" t="str">
        <x:v>https://www.webonary.org/marubo/gb0fa2c02-283c-47cd-8ddc-438680e38a81/</x:v>
      </x:c>
      <x:c r="G2195" s="20" t="n">
        <x:v>46003.93499537037</x:v>
      </x:c>
    </x:row>
    <x:row r="2196">
      <x:c r="A2196" t="str">
        <x:v>testa</x:v>
      </x:c>
      <x:c r="B2196" t="str">
        <x:v>wẽshõti</x:v>
      </x:c>
      <x:c r="C2196" t="str">
        <x:v>t</x:v>
      </x:c>
      <x:c r="D2196" t="str">
        <x:v>g67dcdcc5-07a5-487a-88a4-2613e55f26b3</x:v>
      </x:c>
      <x:c r="E2196" t="str">
        <x:v>g7d76fe84-2ad7-4f78-b4a5-78e63560e586</x:v>
      </x:c>
      <x:c r="F2196" t="str">
        <x:v>https://www.webonary.org/marubo/g7d76fe84-2ad7-4f78-b4a5-78e63560e586/</x:v>
      </x:c>
      <x:c r="G2196" s="20" t="n">
        <x:v>46003.93499537037</x:v>
      </x:c>
    </x:row>
    <x:row r="2197">
      <x:c r="A2197" t="str">
        <x:v>testa</x:v>
      </x:c>
      <x:c r="B2197" t="str">
        <x:v>vemane</x:v>
      </x:c>
      <x:c r="C2197" t="str">
        <x:v>t</x:v>
      </x:c>
      <x:c r="D2197" t="str">
        <x:v>g67dcdcc5-07a5-487a-88a4-2613e55f26b3</x:v>
      </x:c>
      <x:c r="E2197" t="str">
        <x:v>g1538c4cd-a038-4fae-a7d1-007e29756616</x:v>
      </x:c>
      <x:c r="F2197" t="str">
        <x:v>https://www.webonary.org/marubo/g1538c4cd-a038-4fae-a7d1-007e29756616/</x:v>
      </x:c>
      <x:c r="G2197" s="20" t="n">
        <x:v>46003.93499537037</x:v>
      </x:c>
    </x:row>
    <x:row r="2198">
      <x:c r="A2198" t="str">
        <x:v>testículos</x:v>
      </x:c>
      <x:c r="B2198" t="str">
        <x:v>ovo</x:v>
      </x:c>
      <x:c r="C2198" t="str">
        <x:v>t</x:v>
      </x:c>
      <x:c r="D2198" t="str">
        <x:v>gdf46883c-76e1-4fe4-b189-4757e331aebc</x:v>
      </x:c>
      <x:c r="E2198" t="str">
        <x:v>gcd48d701-835e-4025-a79b-77ab66c54bea</x:v>
      </x:c>
      <x:c r="F2198" t="str">
        <x:v>https://www.webonary.org/marubo/gcd48d701-835e-4025-a79b-77ab66c54bea/</x:v>
      </x:c>
      <x:c r="G2198" s="20" t="n">
        <x:v>46003.93499537037</x:v>
      </x:c>
    </x:row>
    <x:row r="2199">
      <x:c r="A2199" t="str">
        <x:v>tia maternal</x:v>
      </x:c>
      <x:c r="B2199" t="str">
        <x:v>ewa</x:v>
      </x:c>
      <x:c r="C2199" t="str">
        <x:v>t</x:v>
      </x:c>
      <x:c r="D2199" t="str">
        <x:v>g6ae2af6c-13bb-49f5-8839-a982c99dce9b</x:v>
      </x:c>
      <x:c r="E2199" t="str">
        <x:v>g349047ed-3551-41eb-a964-08deccd21cb5</x:v>
      </x:c>
      <x:c r="F2199" t="str">
        <x:v>https://www.webonary.org/marubo/g349047ed-3551-41eb-a964-08deccd21cb5/</x:v>
      </x:c>
      <x:c r="G2199" s="20" t="n">
        <x:v>46003.93499537037</x:v>
      </x:c>
    </x:row>
    <x:row r="2200">
      <x:c r="A2200" t="str">
        <x:v>tia maternal mais nova</x:v>
      </x:c>
      <x:c r="B2200" t="str">
        <x:v>ewa txipo</x:v>
      </x:c>
      <x:c r="C2200" t="str">
        <x:v>t</x:v>
      </x:c>
      <x:c r="D2200" t="str">
        <x:v>gbcb39d4c-6ec4-4bbf-b535-a9166829b1f3</x:v>
      </x:c>
      <x:c r="E2200" t="str">
        <x:v>g455168a3-f6ca-4260-b101-f9746fa54d13</x:v>
      </x:c>
      <x:c r="F2200" t="str">
        <x:v>https://www.webonary.org/marubo/g455168a3-f6ca-4260-b101-f9746fa54d13/</x:v>
      </x:c>
      <x:c r="G2200" s="20" t="n">
        <x:v>46003.93499537037</x:v>
      </x:c>
    </x:row>
    <x:row r="2201">
      <x:c r="A2201" t="str">
        <x:v>tia paternal</x:v>
      </x:c>
      <x:c r="B2201" t="str">
        <x:v>natxi</x:v>
      </x:c>
      <x:c r="C2201" t="str">
        <x:v>t</x:v>
      </x:c>
      <x:c r="D2201" t="str">
        <x:v>ge5dc7832-319f-4652-ad9b-40bede05c91f</x:v>
      </x:c>
      <x:c r="E2201" t="str">
        <x:v>gd8dfb176-f4ce-4570-9ad2-cfb42524edf1</x:v>
      </x:c>
      <x:c r="F2201" t="str">
        <x:v>https://www.webonary.org/marubo/gd8dfb176-f4ce-4570-9ad2-cfb42524edf1/</x:v>
      </x:c>
      <x:c r="G2201" s="20" t="n">
        <x:v>46003.93499537037</x:v>
      </x:c>
    </x:row>
    <x:row r="2202">
      <x:c r="A2202" t="str">
        <x:v>tigela</x:v>
      </x:c>
      <x:c r="B2202" t="str">
        <x:v>kẽtxá</x:v>
      </x:c>
      <x:c r="C2202" t="str">
        <x:v>t</x:v>
      </x:c>
      <x:c r="D2202" t="str">
        <x:v>g93a01b1b-415f-4d2c-b247-871960605790</x:v>
      </x:c>
      <x:c r="E2202" t="str">
        <x:v>g8db5cba6-c9d2-4353-b1aa-a23c2ad3cc96</x:v>
      </x:c>
      <x:c r="F2202" t="str">
        <x:v>https://www.webonary.org/marubo/g8db5cba6-c9d2-4353-b1aa-a23c2ad3cc96/</x:v>
      </x:c>
      <x:c r="G2202" s="20" t="n">
        <x:v>46003.93499537037</x:v>
      </x:c>
    </x:row>
    <x:row r="2203">
      <x:c r="A2203" t="str">
        <x:v>tigela de barro</x:v>
      </x:c>
      <x:c r="B2203" t="str">
        <x:v>mai kẽtxá</x:v>
      </x:c>
      <x:c r="C2203" t="str">
        <x:v>t</x:v>
      </x:c>
      <x:c r="D2203" t="str">
        <x:v>gac64c3f1-09ae-4438-9cad-a4f8ebaf776f</x:v>
      </x:c>
      <x:c r="E2203" t="str">
        <x:v>g43d2810d-c990-43d7-b3f4-754a60b71c30</x:v>
      </x:c>
      <x:c r="F2203" t="str">
        <x:v>https://www.webonary.org/marubo/g43d2810d-c990-43d7-b3f4-754a60b71c30/</x:v>
      </x:c>
      <x:c r="G2203" s="20" t="n">
        <x:v>46003.93499537037</x:v>
      </x:c>
    </x:row>
    <x:row r="2204">
      <x:c r="A2204" t="str">
        <x:v>tiguan</x:v>
      </x:c>
      <x:c r="B2204" t="str">
        <x:v>txichka</x:v>
      </x:c>
      <x:c r="C2204" t="str">
        <x:v>t</x:v>
      </x:c>
      <x:c r="D2204" t="str">
        <x:v>gddab2160-68e1-4992-9bb8-659cbba8efb7</x:v>
      </x:c>
      <x:c r="E2204" t="str">
        <x:v>gb3117290-444a-4ae1-a5a4-4ba8e894b03d</x:v>
      </x:c>
      <x:c r="F2204" t="str">
        <x:v>https://www.webonary.org/marubo/gb3117290-444a-4ae1-a5a4-4ba8e894b03d/</x:v>
      </x:c>
      <x:c r="G2204" s="20" t="n">
        <x:v>46003.93499537037</x:v>
      </x:c>
    </x:row>
    <x:row r="2205">
      <x:c r="A2205" t="str">
        <x:v>timbó</x:v>
      </x:c>
      <x:c r="B2205" t="str">
        <x:v>asha</x:v>
      </x:c>
      <x:c r="C2205" t="str">
        <x:v>t</x:v>
      </x:c>
      <x:c r="D2205" t="str">
        <x:v>gceb54088-30c9-4cec-8517-35321aa225ba</x:v>
      </x:c>
      <x:c r="E2205" t="str">
        <x:v>g6ed2e7f8-3b3e-498c-b0b1-cf623af458ec</x:v>
      </x:c>
      <x:c r="F2205" t="str">
        <x:v>https://www.webonary.org/marubo/g6ed2e7f8-3b3e-498c-b0b1-cf623af458ec/</x:v>
      </x:c>
      <x:c r="G2205" s="20" t="n">
        <x:v>46003.93499537037</x:v>
      </x:c>
    </x:row>
    <x:row r="2206">
      <x:c r="A2206" t="str">
        <x:v>tímido</x:v>
      </x:c>
      <x:c r="B2206" t="str">
        <x:v>vanasma</x:v>
      </x:c>
      <x:c r="C2206" t="str">
        <x:v>t</x:v>
      </x:c>
      <x:c r="D2206" t="str">
        <x:v>g3da33f96-f47a-44a2-961f-cff7b2f4cc9e</x:v>
      </x:c>
      <x:c r="E2206" t="str">
        <x:v>g5a631aa9-c2b9-4cb3-8925-bf0615fe6a9e</x:v>
      </x:c>
      <x:c r="F2206" t="str">
        <x:v>https://www.webonary.org/marubo/g5a631aa9-c2b9-4cb3-8925-bf0615fe6a9e/</x:v>
      </x:c>
      <x:c r="G2206" s="20" t="n">
        <x:v>46003.93499537037</x:v>
      </x:c>
    </x:row>
    <x:row r="2207">
      <x:c r="A2207" t="str">
        <x:v>tinir</x:v>
      </x:c>
      <x:c r="B2207" t="str">
        <x:v>tae senã</x:v>
      </x:c>
      <x:c r="C2207" t="str">
        <x:v>t</x:v>
      </x:c>
      <x:c r="D2207" t="str">
        <x:v>gac04e047-082b-49e2-bc44-6cedf730e8a3</x:v>
      </x:c>
      <x:c r="E2207" t="str">
        <x:v>ga1591c73-3515-4724-b197-51e42a1a0b3b</x:v>
      </x:c>
      <x:c r="F2207" t="str">
        <x:v>https://www.webonary.org/marubo/ga1591c73-3515-4724-b197-51e42a1a0b3b/</x:v>
      </x:c>
      <x:c r="G2207" s="20" t="n">
        <x:v>46003.93499537037</x:v>
      </x:c>
    </x:row>
    <x:row r="2208">
      <x:c r="A2208" t="str">
        <x:v>tinta para cabelo</x:v>
      </x:c>
      <x:c r="B2208" t="str">
        <x:v>voo isoti</x:v>
      </x:c>
      <x:c r="C2208" t="str">
        <x:v>t</x:v>
      </x:c>
      <x:c r="D2208" t="str">
        <x:v>ga7fb4c68-bcc3-4f4b-8ad6-85644e25fc5b</x:v>
      </x:c>
      <x:c r="E2208" t="str">
        <x:v>g3a66940e-dc29-4b0b-9e55-8036f5e1ee8d</x:v>
      </x:c>
      <x:c r="F2208" t="str">
        <x:v>https://www.webonary.org/marubo/g3a66940e-dc29-4b0b-9e55-8036f5e1ee8d/</x:v>
      </x:c>
      <x:c r="G2208" s="20" t="n">
        <x:v>46003.93499537037</x:v>
      </x:c>
    </x:row>
    <x:row r="2209">
      <x:c r="A2209" t="str">
        <x:v>tio maternal</x:v>
      </x:c>
      <x:c r="B2209" t="str">
        <x:v>koka</x:v>
      </x:c>
      <x:c r="C2209" t="str">
        <x:v>t</x:v>
      </x:c>
      <x:c r="D2209" t="str">
        <x:v>g4c85323c-ee19-44d6-8e2c-371f257f80ce</x:v>
      </x:c>
      <x:c r="E2209" t="str">
        <x:v>g550f401b-971e-4ab3-83a6-08228ea5e531</x:v>
      </x:c>
      <x:c r="F2209" t="str">
        <x:v>https://www.webonary.org/marubo/g550f401b-971e-4ab3-83a6-08228ea5e531/</x:v>
      </x:c>
      <x:c r="G2209" s="20" t="n">
        <x:v>46003.93499537037</x:v>
      </x:c>
    </x:row>
    <x:row r="2210">
      <x:c r="A2210" t="str">
        <x:v>tio paternal</x:v>
      </x:c>
      <x:c r="B2210" t="str">
        <x:v>epa</x:v>
      </x:c>
      <x:c r="C2210" t="str">
        <x:v>t</x:v>
      </x:c>
      <x:c r="D2210" t="str">
        <x:v>g415025cb-7684-41e0-b337-ed9a94df2ddf</x:v>
      </x:c>
      <x:c r="E2210" t="str">
        <x:v>g46936ef4-5763-4b9e-9dee-cb52e2a0b8b8</x:v>
      </x:c>
      <x:c r="F2210" t="str">
        <x:v>https://www.webonary.org/marubo/g46936ef4-5763-4b9e-9dee-cb52e2a0b8b8/</x:v>
      </x:c>
      <x:c r="G2210" s="20" t="n">
        <x:v>46003.93499537037</x:v>
      </x:c>
    </x:row>
    <x:row r="2211">
      <x:c r="A2211" t="str">
        <x:v>Tio vocativo</x:v>
      </x:c>
      <x:c r="B2211" t="str">
        <x:v>epá</x:v>
      </x:c>
      <x:c r="C2211" t="str">
        <x:v>t</x:v>
      </x:c>
      <x:c r="D2211" t="str">
        <x:v>g5db58cd7-8ae1-4a24-bc78-0a4e23bea0c6</x:v>
      </x:c>
      <x:c r="E2211" t="str">
        <x:v>g348a4638-dd41-44a1-9a9d-5b4ff4b1b1c0</x:v>
      </x:c>
      <x:c r="F2211" t="str">
        <x:v>https://www.webonary.org/marubo/g348a4638-dd41-44a1-9a9d-5b4ff4b1b1c0/</x:v>
      </x:c>
      <x:c r="G2211" s="20" t="n">
        <x:v>46003.93499537037</x:v>
      </x:c>
    </x:row>
    <x:row r="2212">
      <x:c r="A2212" t="str">
        <x:v>tipo bodó</x:v>
      </x:c>
      <x:c r="B2212" t="str">
        <x:v>ichkĩ</x:v>
      </x:c>
      <x:c r="C2212" t="str">
        <x:v>t</x:v>
      </x:c>
      <x:c r="D2212" t="str">
        <x:v>gb59b3557-66c8-41b1-85ed-794530f2582c</x:v>
      </x:c>
      <x:c r="E2212" t="str">
        <x:v>gad31b3ef-6840-4967-827e-61352fb646e3</x:v>
      </x:c>
      <x:c r="F2212" t="str">
        <x:v>https://www.webonary.org/marubo/gad31b3ef-6840-4967-827e-61352fb646e3/</x:v>
      </x:c>
      <x:c r="G2212" s="20" t="n">
        <x:v>46003.93499537037</x:v>
      </x:c>
    </x:row>
    <x:row r="2213">
      <x:c r="A2213" t="str">
        <x:v>tipo de árvore</x:v>
      </x:c>
      <x:c r="B2213" t="str">
        <x:v>voi</x:v>
      </x:c>
      <x:c r="C2213" t="str">
        <x:v>t</x:v>
      </x:c>
      <x:c r="D2213" t="str">
        <x:v>gfcc51219-ca57-4c30-a183-ecef5ebfd294</x:v>
      </x:c>
      <x:c r="E2213" t="str">
        <x:v>g346afdc9-52cf-4cba-a8b2-7ba5f71b237e</x:v>
      </x:c>
      <x:c r="F2213" t="str">
        <x:v>https://www.webonary.org/marubo/g346afdc9-52cf-4cba-a8b2-7ba5f71b237e/</x:v>
      </x:c>
      <x:c r="G2213" s="20" t="n">
        <x:v>46003.93499537037</x:v>
      </x:c>
    </x:row>
    <x:row r="2214">
      <x:c r="A2214" t="str">
        <x:v>tipo de árvore</x:v>
      </x:c>
      <x:c r="B2214" t="str">
        <x:v>voni</x:v>
      </x:c>
      <x:c r="C2214" t="str">
        <x:v>t</x:v>
      </x:c>
      <x:c r="D2214" t="str">
        <x:v>gfcc51219-ca57-4c30-a183-ecef5ebfd294</x:v>
      </x:c>
      <x:c r="E2214" t="str">
        <x:v>g31ee176c-cad5-4611-9e44-e9cd4bc6e2d2</x:v>
      </x:c>
      <x:c r="F2214" t="str">
        <x:v>https://www.webonary.org/marubo/g31ee176c-cad5-4611-9e44-e9cd4bc6e2d2/</x:v>
      </x:c>
      <x:c r="G2214" s="20" t="n">
        <x:v>46003.93499537037</x:v>
      </x:c>
    </x:row>
    <x:row r="2215">
      <x:c r="A2215" t="str">
        <x:v>tipo de árvore</x:v>
      </x:c>
      <x:c r="B2215" t="str">
        <x:v>otsómei</x:v>
      </x:c>
      <x:c r="C2215" t="str">
        <x:v>t</x:v>
      </x:c>
      <x:c r="D2215" t="str">
        <x:v>gfcc51219-ca57-4c30-a183-ecef5ebfd294</x:v>
      </x:c>
      <x:c r="E2215" t="str">
        <x:v>g6852ce36-9b40-4a22-a4a1-8e7ab5d2c717</x:v>
      </x:c>
      <x:c r="F2215" t="str">
        <x:v>https://www.webonary.org/marubo/g6852ce36-9b40-4a22-a4a1-8e7ab5d2c717/</x:v>
      </x:c>
      <x:c r="G2215" s="20" t="n">
        <x:v>46003.93499537037</x:v>
      </x:c>
    </x:row>
    <x:row r="2216">
      <x:c r="A2216" t="str">
        <x:v>tipo de árvore assacú</x:v>
      </x:c>
      <x:c r="B2216" t="str">
        <x:v>aná</x:v>
      </x:c>
      <x:c r="C2216" t="str">
        <x:v>t</x:v>
      </x:c>
      <x:c r="D2216" t="str">
        <x:v>g8840edc1-bdca-4fdd-925f-777b07516ea8</x:v>
      </x:c>
      <x:c r="E2216" t="str">
        <x:v>g8cdb8611-386d-4943-97be-eb55427fef7c</x:v>
      </x:c>
      <x:c r="F2216" t="str">
        <x:v>https://www.webonary.org/marubo/g8cdb8611-386d-4943-97be-eb55427fef7c/</x:v>
      </x:c>
      <x:c r="G2216" s="20" t="n">
        <x:v>46003.93499537037</x:v>
      </x:c>
    </x:row>
    <x:row r="2217">
      <x:c r="A2217" t="str">
        <x:v>tipo de arvore com âmago</x:v>
      </x:c>
      <x:c r="B2217" t="str">
        <x:v>komã</x:v>
      </x:c>
      <x:c r="C2217" t="str">
        <x:v>t</x:v>
      </x:c>
      <x:c r="D2217" t="str">
        <x:v>g905f1abd-e3d7-4936-b457-c6bb778db8ff</x:v>
      </x:c>
      <x:c r="E2217" t="str">
        <x:v>g6d6acb85-6c44-4305-ae89-4c7f622ae5dc</x:v>
      </x:c>
      <x:c r="F2217" t="str">
        <x:v>https://www.webonary.org/marubo/g6d6acb85-6c44-4305-ae89-4c7f622ae5dc/</x:v>
      </x:c>
      <x:c r="G2217" s="20" t="n">
        <x:v>46003.93499537037</x:v>
      </x:c>
    </x:row>
    <x:row r="2218">
      <x:c r="A2218" t="str">
        <x:v>tipo de arvore ipê</x:v>
      </x:c>
      <x:c r="B2218" t="str">
        <x:v>ĩte</x:v>
      </x:c>
      <x:c r="C2218" t="str">
        <x:v>t</x:v>
      </x:c>
      <x:c r="D2218" t="str">
        <x:v>g7bac7381-9dc0-4530-a9b0-0d0f028e8748</x:v>
      </x:c>
      <x:c r="E2218" t="str">
        <x:v>g664e1c23-6201-4f6a-ae3f-5012d8524e1b</x:v>
      </x:c>
      <x:c r="F2218" t="str">
        <x:v>https://www.webonary.org/marubo/g664e1c23-6201-4f6a-ae3f-5012d8524e1b/</x:v>
      </x:c>
      <x:c r="G2218" s="20" t="n">
        <x:v>46003.93499537037</x:v>
      </x:c>
    </x:row>
    <x:row r="2219">
      <x:c r="A2219" t="str">
        <x:v>tipo de árvore maúba</x:v>
      </x:c>
      <x:c r="B2219" t="str">
        <x:v>echo</x:v>
      </x:c>
      <x:c r="C2219" t="str">
        <x:v>t</x:v>
      </x:c>
      <x:c r="D2219" t="str">
        <x:v>g506bf5f0-5bd2-4dc5-8f36-bd9de2907dd4</x:v>
      </x:c>
      <x:c r="E2219" t="str">
        <x:v>gba53c56c-3be4-4644-aeb7-cfd1169a161c</x:v>
      </x:c>
      <x:c r="F2219" t="str">
        <x:v>https://www.webonary.org/marubo/gba53c56c-3be4-4644-aeb7-cfd1169a161c/</x:v>
      </x:c>
      <x:c r="G2219" s="20" t="n">
        <x:v>46003.93499537037</x:v>
      </x:c>
    </x:row>
    <x:row r="2220">
      <x:c r="A2220" t="str">
        <x:v>tipo de ave</x:v>
      </x:c>
      <x:c r="B2220" t="str">
        <x:v>vakõ</x:v>
      </x:c>
      <x:c r="C2220" t="str">
        <x:v>t</x:v>
      </x:c>
      <x:c r="D2220" t="str">
        <x:v>gfff45ae0-180d-40ac-a7ad-790c0888c2bc</x:v>
      </x:c>
      <x:c r="E2220" t="str">
        <x:v>g780c9a46-b001-4dcd-b298-c11ba97ca00b</x:v>
      </x:c>
      <x:c r="F2220" t="str">
        <x:v>https://www.webonary.org/marubo/g780c9a46-b001-4dcd-b298-c11ba97ca00b/</x:v>
      </x:c>
      <x:c r="G2220" s="20" t="n">
        <x:v>46003.93499537037</x:v>
      </x:c>
    </x:row>
    <x:row r="2221">
      <x:c r="A2221" t="str">
        <x:v>tipo de ave</x:v>
      </x:c>
      <x:c r="B2221" t="str">
        <x:v>1</x:v>
      </x:c>
      <x:c r="C2221" t="str">
        <x:v>t</x:v>
      </x:c>
      <x:c r="D2221" t="str">
        <x:v>gfff45ae0-180d-40ac-a7ad-790c0888c2bc</x:v>
      </x:c>
      <x:c r="E2221" t="str">
        <x:v>g780c9a46-b001-4dcd-b298-c11ba97ca00b</x:v>
      </x:c>
      <x:c r="F2221" t="str">
        <x:v>https://www.webonary.org/marubo/g780c9a46-b001-4dcd-b298-c11ba97ca00b/</x:v>
      </x:c>
      <x:c r="G2221" s="20" t="n">
        <x:v>46003.93499537037</x:v>
      </x:c>
    </x:row>
    <x:row r="2222">
      <x:c r="A2222" t="str">
        <x:v>tipo de babaçu</x:v>
      </x:c>
      <x:c r="B2222" t="str">
        <x:v>katso</x:v>
      </x:c>
      <x:c r="C2222" t="str">
        <x:v>t</x:v>
      </x:c>
      <x:c r="D2222" t="str">
        <x:v>g19788225-d8b6-4090-9626-4f20ea98d4e7</x:v>
      </x:c>
      <x:c r="E2222" t="str">
        <x:v>gcc3baec9-6f17-4f90-b362-08a4a5f6395b</x:v>
      </x:c>
      <x:c r="F2222" t="str">
        <x:v>https://www.webonary.org/marubo/gcc3baec9-6f17-4f90-b362-08a4a5f6395b/</x:v>
      </x:c>
      <x:c r="G2222" s="20" t="n">
        <x:v>46003.93499537037</x:v>
      </x:c>
    </x:row>
    <x:row r="2223">
      <x:c r="A2223" t="str">
        <x:v>tipo de banana</x:v>
      </x:c>
      <x:c r="B2223" t="str">
        <x:v>resto mani</x:v>
      </x:c>
      <x:c r="C2223" t="str">
        <x:v>t</x:v>
      </x:c>
      <x:c r="D2223" t="str">
        <x:v>g5b671de6-b1d6-4837-aafe-fe3e229b31eb</x:v>
      </x:c>
      <x:c r="E2223" t="str">
        <x:v>g96bfcb8f-d604-4bda-aa63-4b65d3412996</x:v>
      </x:c>
      <x:c r="F2223" t="str">
        <x:v>https://www.webonary.org/marubo/g96bfcb8f-d604-4bda-aa63-4b65d3412996/</x:v>
      </x:c>
      <x:c r="G2223" s="20" t="n">
        <x:v>46003.93499537037</x:v>
      </x:c>
    </x:row>
    <x:row r="2224">
      <x:c r="A2224" t="str">
        <x:v>tipo de banana</x:v>
      </x:c>
      <x:c r="B2224" t="str">
        <x:v>osho mani</x:v>
      </x:c>
      <x:c r="C2224" t="str">
        <x:v>t</x:v>
      </x:c>
      <x:c r="D2224" t="str">
        <x:v>g5b671de6-b1d6-4837-aafe-fe3e229b31eb</x:v>
      </x:c>
      <x:c r="E2224" t="str">
        <x:v>gf3cb2a1c-9ea7-457a-a0ad-f7be2daad601</x:v>
      </x:c>
      <x:c r="F2224" t="str">
        <x:v>https://www.webonary.org/marubo/gf3cb2a1c-9ea7-457a-a0ad-f7be2daad601/</x:v>
      </x:c>
      <x:c r="G2224" s="20" t="n">
        <x:v>46003.93499537037</x:v>
      </x:c>
    </x:row>
    <x:row r="2225">
      <x:c r="A2225" t="str">
        <x:v>tipo de banana</x:v>
      </x:c>
      <x:c r="B2225" t="str">
        <x:v>oi mani</x:v>
      </x:c>
      <x:c r="C2225" t="str">
        <x:v>t</x:v>
      </x:c>
      <x:c r="D2225" t="str">
        <x:v>g5b671de6-b1d6-4837-aafe-fe3e229b31eb</x:v>
      </x:c>
      <x:c r="E2225" t="str">
        <x:v>gc879fa43-49fb-4dff-8a9c-70cc98fa8c48</x:v>
      </x:c>
      <x:c r="F2225" t="str">
        <x:v>https://www.webonary.org/marubo/gc879fa43-49fb-4dff-8a9c-70cc98fa8c48/</x:v>
      </x:c>
      <x:c r="G2225" s="20" t="n">
        <x:v>46003.93499537037</x:v>
      </x:c>
    </x:row>
    <x:row r="2226">
      <x:c r="A2226" t="str">
        <x:v>tipo de brincadeira ou jogo durante fim de festa</x:v>
      </x:c>
      <x:c r="B2226" t="str">
        <x:v>kevená</x:v>
      </x:c>
      <x:c r="C2226" t="str">
        <x:v>t</x:v>
      </x:c>
      <x:c r="D2226" t="str">
        <x:v>g4dd896a1-3e7b-48d4-a885-ae35f133b9e7</x:v>
      </x:c>
      <x:c r="E2226" t="str">
        <x:v>gf83c2330-59fd-45ac-a130-08a4675caf0b</x:v>
      </x:c>
      <x:c r="F2226" t="str">
        <x:v>https://www.webonary.org/marubo/gf83c2330-59fd-45ac-a130-08a4675caf0b/</x:v>
      </x:c>
      <x:c r="G2226" s="20" t="n">
        <x:v>46003.93499537037</x:v>
      </x:c>
    </x:row>
    <x:row r="2227">
      <x:c r="A2227" t="str">
        <x:v>tipo de cacau</x:v>
      </x:c>
      <x:c r="B2227" t="str">
        <x:v>anó</x:v>
      </x:c>
      <x:c r="C2227" t="str">
        <x:v>t</x:v>
      </x:c>
      <x:c r="D2227" t="str">
        <x:v>ga36a4811-4390-4595-9b13-747390ed69b7</x:v>
      </x:c>
      <x:c r="E2227" t="str">
        <x:v>g8c2adb5f-6253-4a06-88ad-4b561ed694a6</x:v>
      </x:c>
      <x:c r="F2227" t="str">
        <x:v>https://www.webonary.org/marubo/g8c2adb5f-6253-4a06-88ad-4b561ed694a6/</x:v>
      </x:c>
      <x:c r="G2227" s="20" t="n">
        <x:v>46003.93499537037</x:v>
      </x:c>
    </x:row>
    <x:row r="2228">
      <x:c r="A2228" t="str">
        <x:v>tipo de calango</x:v>
      </x:c>
      <x:c r="B2228" t="str">
        <x:v>ãpé</x:v>
      </x:c>
      <x:c r="C2228" t="str">
        <x:v>t</x:v>
      </x:c>
      <x:c r="D2228" t="str">
        <x:v>ge41990ee-6c22-41ee-a798-f7cb7625c879</x:v>
      </x:c>
      <x:c r="E2228" t="str">
        <x:v>g937b2e7a-120f-4816-ab29-d71b47ced012</x:v>
      </x:c>
      <x:c r="F2228" t="str">
        <x:v>https://www.webonary.org/marubo/g937b2e7a-120f-4816-ab29-d71b47ced012/</x:v>
      </x:c>
      <x:c r="G2228" s="20" t="n">
        <x:v>46003.93499537037</x:v>
      </x:c>
    </x:row>
    <x:row r="2229">
      <x:c r="A2229" t="str">
        <x:v>tipo de caracól comprido</x:v>
      </x:c>
      <x:c r="B2229" t="str">
        <x:v>txota</x:v>
      </x:c>
      <x:c r="C2229" t="str">
        <x:v>t</x:v>
      </x:c>
      <x:c r="D2229" t="str">
        <x:v>g3e33c260-db4d-45a0-9d78-7e143f2c54e5</x:v>
      </x:c>
      <x:c r="E2229" t="str">
        <x:v>g63b8c49d-bad5-4a15-a2d8-dbf06f62f77b</x:v>
      </x:c>
      <x:c r="F2229" t="str">
        <x:v>https://www.webonary.org/marubo/g63b8c49d-bad5-4a15-a2d8-dbf06f62f77b/</x:v>
      </x:c>
      <x:c r="G2229" s="20" t="n">
        <x:v>46003.93499537037</x:v>
      </x:c>
    </x:row>
    <x:row r="2230">
      <x:c r="A2230" t="str">
        <x:v>tipo de carangueijo</x:v>
      </x:c>
      <x:c r="B2230" t="str">
        <x:v>choi</x:v>
      </x:c>
      <x:c r="C2230" t="str">
        <x:v>t</x:v>
      </x:c>
      <x:c r="D2230" t="str">
        <x:v>geecb8f37-e3f6-47d6-8279-59dda85f49cc</x:v>
      </x:c>
      <x:c r="E2230" t="str">
        <x:v>g12e495a3-519b-4efb-824b-c4f02a286d33</x:v>
      </x:c>
      <x:c r="F2230" t="str">
        <x:v>https://www.webonary.org/marubo/g12e495a3-519b-4efb-824b-c4f02a286d33/</x:v>
      </x:c>
      <x:c r="G2230" s="20" t="n">
        <x:v>46003.93500229167</x:v>
      </x:c>
    </x:row>
    <x:row r="2231">
      <x:c r="A2231" t="str">
        <x:v>tipo de chapeu de penas</x:v>
      </x:c>
      <x:c r="B2231" t="str">
        <x:v>veá maiti</x:v>
      </x:c>
      <x:c r="C2231" t="str">
        <x:v>t</x:v>
      </x:c>
      <x:c r="D2231" t="str">
        <x:v>gd572c3bd-cc1d-40e6-9df7-edf93169bb09</x:v>
      </x:c>
      <x:c r="E2231" t="str">
        <x:v>g5899f200-0528-44f0-89ec-8ebe2e024337</x:v>
      </x:c>
      <x:c r="F2231" t="str">
        <x:v>https://www.webonary.org/marubo/g5899f200-0528-44f0-89ec-8ebe2e024337/</x:v>
      </x:c>
      <x:c r="G2231" s="20" t="n">
        <x:v>46003.93500229167</x:v>
      </x:c>
    </x:row>
    <x:row r="2232">
      <x:c r="A2232" t="str">
        <x:v>tipo de cipó</x:v>
      </x:c>
      <x:c r="B2232" t="str">
        <x:v>vokã ayáshe</x:v>
      </x:c>
      <x:c r="C2232" t="str">
        <x:v>t</x:v>
      </x:c>
      <x:c r="D2232" t="str">
        <x:v>g59fa9405-c793-4111-afee-3e2345f6db30</x:v>
      </x:c>
      <x:c r="E2232" t="str">
        <x:v>g457da927-f6dc-4418-8c12-5325d8ad9a9e</x:v>
      </x:c>
      <x:c r="F2232" t="str">
        <x:v>https://www.webonary.org/marubo/g457da927-f6dc-4418-8c12-5325d8ad9a9e/</x:v>
      </x:c>
      <x:c r="G2232" s="20" t="n">
        <x:v>46003.93500229167</x:v>
      </x:c>
    </x:row>
    <x:row r="2233">
      <x:c r="A2233" t="str">
        <x:v>tipo de cipó</x:v>
      </x:c>
      <x:c r="B2233" t="str">
        <x:v>isísi paka</x:v>
      </x:c>
      <x:c r="C2233" t="str">
        <x:v>t</x:v>
      </x:c>
      <x:c r="D2233" t="str">
        <x:v>g59fa9405-c793-4111-afee-3e2345f6db30</x:v>
      </x:c>
      <x:c r="E2233" t="str">
        <x:v>g8e63f482-666d-4fba-8bfd-c85bf65283c7</x:v>
      </x:c>
      <x:c r="F2233" t="str">
        <x:v>https://www.webonary.org/marubo/g8e63f482-666d-4fba-8bfd-c85bf65283c7/</x:v>
      </x:c>
      <x:c r="G2233" s="20" t="n">
        <x:v>46003.93500229167</x:v>
      </x:c>
    </x:row>
    <x:row r="2234">
      <x:c r="A2234" t="str">
        <x:v>tipo de cobra</x:v>
      </x:c>
      <x:c r="B2234" t="str">
        <x:v>sevi rono</x:v>
      </x:c>
      <x:c r="C2234" t="str">
        <x:v>t</x:v>
      </x:c>
      <x:c r="D2234" t="str">
        <x:v>gd299f92a-b6c9-46fe-bfdc-a37ac43889e5</x:v>
      </x:c>
      <x:c r="E2234" t="str">
        <x:v>g21870899-af1c-4e53-80f6-33449165498f</x:v>
      </x:c>
      <x:c r="F2234" t="str">
        <x:v>https://www.webonary.org/marubo/g21870899-af1c-4e53-80f6-33449165498f/</x:v>
      </x:c>
      <x:c r="G2234" s="20" t="n">
        <x:v>46003.93500229167</x:v>
      </x:c>
    </x:row>
    <x:row r="2235">
      <x:c r="A2235" t="str">
        <x:v>tipo de cobra</x:v>
      </x:c>
      <x:c r="B2235" t="str">
        <x:v>yẽeka</x:v>
      </x:c>
      <x:c r="C2235" t="str">
        <x:v>t</x:v>
      </x:c>
      <x:c r="D2235" t="str">
        <x:v>gd299f92a-b6c9-46fe-bfdc-a37ac43889e5</x:v>
      </x:c>
      <x:c r="E2235" t="str">
        <x:v>ga2308b02-df83-47d7-bfbd-9f79a7c162e9</x:v>
      </x:c>
      <x:c r="F2235" t="str">
        <x:v>https://www.webonary.org/marubo/ga2308b02-df83-47d7-bfbd-9f79a7c162e9/</x:v>
      </x:c>
      <x:c r="G2235" s="20" t="n">
        <x:v>46003.93500229167</x:v>
      </x:c>
    </x:row>
    <x:row r="2236">
      <x:c r="A2236" t="str">
        <x:v>tipo de cobra</x:v>
      </x:c>
      <x:c r="B2236" t="str">
        <x:v>wasaro</x:v>
      </x:c>
      <x:c r="C2236" t="str">
        <x:v>t</x:v>
      </x:c>
      <x:c r="D2236" t="str">
        <x:v>gd299f92a-b6c9-46fe-bfdc-a37ac43889e5</x:v>
      </x:c>
      <x:c r="E2236" t="str">
        <x:v>gb08e7955-6573-4fa7-accb-c99681527019</x:v>
      </x:c>
      <x:c r="F2236" t="str">
        <x:v>https://www.webonary.org/marubo/gb08e7955-6573-4fa7-accb-c99681527019/</x:v>
      </x:c>
      <x:c r="G2236" s="20" t="n">
        <x:v>46003.93500229167</x:v>
      </x:c>
    </x:row>
    <x:row r="2237">
      <x:c r="A2237" t="str">
        <x:v>tipo de cobra</x:v>
      </x:c>
      <x:c r="B2237" t="str">
        <x:v>koro rono</x:v>
      </x:c>
      <x:c r="C2237" t="str">
        <x:v>t</x:v>
      </x:c>
      <x:c r="D2237" t="str">
        <x:v>gd299f92a-b6c9-46fe-bfdc-a37ac43889e5</x:v>
      </x:c>
      <x:c r="E2237" t="str">
        <x:v>g0c44c582-0ab1-4067-9522-7c528f75bf9d</x:v>
      </x:c>
      <x:c r="F2237" t="str">
        <x:v>https://www.webonary.org/marubo/g0c44c582-0ab1-4067-9522-7c528f75bf9d/</x:v>
      </x:c>
      <x:c r="G2237" s="20" t="n">
        <x:v>46003.93500229167</x:v>
      </x:c>
    </x:row>
    <x:row r="2238">
      <x:c r="A2238" t="str">
        <x:v>tipo de cogumelo</x:v>
      </x:c>
      <x:c r="B2238" t="str">
        <x:v>komo</x:v>
      </x:c>
      <x:c r="C2238" t="str">
        <x:v>t</x:v>
      </x:c>
      <x:c r="D2238" t="str">
        <x:v>gf637d0eb-239f-4181-9653-401f24babc41</x:v>
      </x:c>
      <x:c r="E2238" t="str">
        <x:v>g6c046c2a-a15e-4421-824e-2e484db4c4bb</x:v>
      </x:c>
      <x:c r="F2238" t="str">
        <x:v>https://www.webonary.org/marubo/g6c046c2a-a15e-4421-824e-2e484db4c4bb/</x:v>
      </x:c>
      <x:c r="G2238" s="20" t="n">
        <x:v>46003.93500229167</x:v>
      </x:c>
    </x:row>
    <x:row r="2239">
      <x:c r="A2239" t="str">
        <x:v>tipo de coruja</x:v>
      </x:c>
      <x:c r="B2239" t="str">
        <x:v>chĩchĩ</x:v>
      </x:c>
      <x:c r="C2239" t="str">
        <x:v>t</x:v>
      </x:c>
      <x:c r="D2239" t="str">
        <x:v>g97d48654-8de1-4c30-883f-258eabd4bacb</x:v>
      </x:c>
      <x:c r="E2239" t="str">
        <x:v>g2ffaae71-5087-41d7-bfbf-2769b22537ea</x:v>
      </x:c>
      <x:c r="F2239" t="str">
        <x:v>https://www.webonary.org/marubo/g2ffaae71-5087-41d7-bfbf-2769b22537ea/</x:v>
      </x:c>
      <x:c r="G2239" s="20" t="n">
        <x:v>46003.93500229167</x:v>
      </x:c>
    </x:row>
    <x:row r="2240">
      <x:c r="A2240" t="str">
        <x:v>tipo de cupim</x:v>
      </x:c>
      <x:c r="B2240" t="str">
        <x:v>võya noã</x:v>
      </x:c>
      <x:c r="C2240" t="str">
        <x:v>t</x:v>
      </x:c>
      <x:c r="D2240" t="str">
        <x:v>ge706ad5a-1aea-40ee-be8c-ff6bfa8396a9</x:v>
      </x:c>
      <x:c r="E2240" t="str">
        <x:v>gdbb0a965-b1b5-442d-9d38-d843ce0cff70</x:v>
      </x:c>
      <x:c r="F2240" t="str">
        <x:v>https://www.webonary.org/marubo/gdbb0a965-b1b5-442d-9d38-d843ce0cff70/</x:v>
      </x:c>
      <x:c r="G2240" s="20" t="n">
        <x:v>46003.93500229167</x:v>
      </x:c>
    </x:row>
    <x:row r="2241">
      <x:c r="A2241" t="str">
        <x:v>tipo de espinho da mata</x:v>
      </x:c>
      <x:c r="B2241" t="str">
        <x:v>chokiti mosha</x:v>
      </x:c>
      <x:c r="C2241" t="str">
        <x:v>t</x:v>
      </x:c>
      <x:c r="D2241" t="str">
        <x:v>g25e663f7-d595-41b5-8292-92bc3ec258d3</x:v>
      </x:c>
      <x:c r="E2241" t="str">
        <x:v>g5caa43f1-4129-452d-a4ad-efe817feddf1</x:v>
      </x:c>
      <x:c r="F2241" t="str">
        <x:v>https://www.webonary.org/marubo/g5caa43f1-4129-452d-a4ad-efe817feddf1/</x:v>
      </x:c>
      <x:c r="G2241" s="20" t="n">
        <x:v>46003.93500229167</x:v>
      </x:c>
    </x:row>
    <x:row r="2242">
      <x:c r="A2242" t="str">
        <x:v>tipo de formiga</x:v>
      </x:c>
      <x:c r="B2242" t="str">
        <x:v>tsõtsóse</x:v>
      </x:c>
      <x:c r="C2242" t="str">
        <x:v>t</x:v>
      </x:c>
      <x:c r="D2242" t="str">
        <x:v>g271907a7-d04d-4bff-9965-d8b43cefba59</x:v>
      </x:c>
      <x:c r="E2242" t="str">
        <x:v>g67004c2c-5739-4cf3-a972-b0710fb9307e</x:v>
      </x:c>
      <x:c r="F2242" t="str">
        <x:v>https://www.webonary.org/marubo/g67004c2c-5739-4cf3-a972-b0710fb9307e/</x:v>
      </x:c>
      <x:c r="G2242" s="20" t="n">
        <x:v>46003.93500229167</x:v>
      </x:c>
    </x:row>
    <x:row r="2243">
      <x:c r="A2243" t="str">
        <x:v>tipo de formiga</x:v>
      </x:c>
      <x:c r="B2243" t="str">
        <x:v>vĩtó</x:v>
      </x:c>
      <x:c r="C2243" t="str">
        <x:v>t</x:v>
      </x:c>
      <x:c r="D2243" t="str">
        <x:v>g271907a7-d04d-4bff-9965-d8b43cefba59</x:v>
      </x:c>
      <x:c r="E2243" t="str">
        <x:v>g9c612a25-7160-4f9d-af14-30e599818239</x:v>
      </x:c>
      <x:c r="F2243" t="str">
        <x:v>https://www.webonary.org/marubo/g9c612a25-7160-4f9d-af14-30e599818239/</x:v>
      </x:c>
      <x:c r="G2243" s="20" t="n">
        <x:v>46003.93500229167</x:v>
      </x:c>
    </x:row>
    <x:row r="2244">
      <x:c r="A2244" t="str">
        <x:v>tipo de formiga</x:v>
      </x:c>
      <x:c r="B2244" t="str">
        <x:v>onã</x:v>
      </x:c>
      <x:c r="C2244" t="str">
        <x:v>t</x:v>
      </x:c>
      <x:c r="D2244" t="str">
        <x:v>g271907a7-d04d-4bff-9965-d8b43cefba59</x:v>
      </x:c>
      <x:c r="E2244" t="str">
        <x:v>g16cc0e14-5102-4fba-af25-3378b74383e6</x:v>
      </x:c>
      <x:c r="F2244" t="str">
        <x:v>https://www.webonary.org/marubo/g16cc0e14-5102-4fba-af25-3378b74383e6/</x:v>
      </x:c>
      <x:c r="G2244" s="20" t="n">
        <x:v>46003.93500229167</x:v>
      </x:c>
    </x:row>
    <x:row r="2245">
      <x:c r="A2245" t="str">
        <x:v>tipo de formiga</x:v>
      </x:c>
      <x:c r="B2245" t="str">
        <x:v>2</x:v>
      </x:c>
      <x:c r="C2245" t="str">
        <x:v>t</x:v>
      </x:c>
      <x:c r="D2245" t="str">
        <x:v>g271907a7-d04d-4bff-9965-d8b43cefba59</x:v>
      </x:c>
      <x:c r="E2245" t="str">
        <x:v>g16cc0e14-5102-4fba-af25-3378b74383e6</x:v>
      </x:c>
      <x:c r="F2245" t="str">
        <x:v>https://www.webonary.org/marubo/g16cc0e14-5102-4fba-af25-3378b74383e6/</x:v>
      </x:c>
      <x:c r="G2245" s="20" t="n">
        <x:v>46003.93500229167</x:v>
      </x:c>
    </x:row>
    <x:row r="2246">
      <x:c r="A2246" t="str">
        <x:v>tipo de formiga tracoa</x:v>
      </x:c>
      <x:c r="B2246" t="str">
        <x:v>isísi</x:v>
      </x:c>
      <x:c r="C2246" t="str">
        <x:v>t</x:v>
      </x:c>
      <x:c r="D2246" t="str">
        <x:v>g189b1331-2a37-46b6-922f-f19a74b77167</x:v>
      </x:c>
      <x:c r="E2246" t="str">
        <x:v>g6d1a5d65-a0dd-4257-9c65-55a811f8442b</x:v>
      </x:c>
      <x:c r="F2246" t="str">
        <x:v>https://www.webonary.org/marubo/g6d1a5d65-a0dd-4257-9c65-55a811f8442b/</x:v>
      </x:c>
      <x:c r="G2246" s="20" t="n">
        <x:v>46003.93500229167</x:v>
      </x:c>
    </x:row>
    <x:row r="2247">
      <x:c r="A2247" t="str">
        <x:v>tipo de fruta</x:v>
      </x:c>
      <x:c r="B2247" t="str">
        <x:v>kamã verorivi</x:v>
      </x:c>
      <x:c r="C2247" t="str">
        <x:v>t</x:v>
      </x:c>
      <x:c r="D2247" t="str">
        <x:v>ge3ef0d3c-7e96-479d-8076-5a23b38d73f6</x:v>
      </x:c>
      <x:c r="E2247" t="str">
        <x:v>g9f84596e-5041-4718-922e-ab4e75e558a6</x:v>
      </x:c>
      <x:c r="F2247" t="str">
        <x:v>https://www.webonary.org/marubo/g9f84596e-5041-4718-922e-ab4e75e558a6/</x:v>
      </x:c>
      <x:c r="G2247" s="20" t="n">
        <x:v>46003.93500229167</x:v>
      </x:c>
    </x:row>
    <x:row r="2248">
      <x:c r="A2248" t="str">
        <x:v>tipo de fruta</x:v>
      </x:c>
      <x:c r="B2248" t="str">
        <x:v>ãcho</x:v>
      </x:c>
      <x:c r="C2248" t="str">
        <x:v>t</x:v>
      </x:c>
      <x:c r="D2248" t="str">
        <x:v>ge3ef0d3c-7e96-479d-8076-5a23b38d73f6</x:v>
      </x:c>
      <x:c r="E2248" t="str">
        <x:v>g335906fb-fb37-4ee4-a8da-ab29ecabdeec</x:v>
      </x:c>
      <x:c r="F2248" t="str">
        <x:v>https://www.webonary.org/marubo/g335906fb-fb37-4ee4-a8da-ab29ecabdeec/</x:v>
      </x:c>
      <x:c r="G2248" s="20" t="n">
        <x:v>46003.93500229167</x:v>
      </x:c>
    </x:row>
    <x:row r="2249">
      <x:c r="A2249" t="str">
        <x:v>tipo de fruta</x:v>
      </x:c>
      <x:c r="B2249" t="str">
        <x:v>2</x:v>
      </x:c>
      <x:c r="C2249" t="str">
        <x:v>t</x:v>
      </x:c>
      <x:c r="D2249" t="str">
        <x:v>ge3ef0d3c-7e96-479d-8076-5a23b38d73f6</x:v>
      </x:c>
      <x:c r="E2249" t="str">
        <x:v>g335906fb-fb37-4ee4-a8da-ab29ecabdeec</x:v>
      </x:c>
      <x:c r="F2249" t="str">
        <x:v>https://www.webonary.org/marubo/g335906fb-fb37-4ee4-a8da-ab29ecabdeec/</x:v>
      </x:c>
      <x:c r="G2249" s="20" t="n">
        <x:v>46003.93500229167</x:v>
      </x:c>
    </x:row>
    <x:row r="2250">
      <x:c r="A2250" t="str">
        <x:v>tipo de fruta</x:v>
      </x:c>
      <x:c r="B2250" t="str">
        <x:v>echta</x:v>
      </x:c>
      <x:c r="C2250" t="str">
        <x:v>t</x:v>
      </x:c>
      <x:c r="D2250" t="str">
        <x:v>ge3ef0d3c-7e96-479d-8076-5a23b38d73f6</x:v>
      </x:c>
      <x:c r="E2250" t="str">
        <x:v>g4369a72b-d654-4b59-b717-d0ab0f16ce99</x:v>
      </x:c>
      <x:c r="F2250" t="str">
        <x:v>https://www.webonary.org/marubo/g4369a72b-d654-4b59-b717-d0ab0f16ce99/</x:v>
      </x:c>
      <x:c r="G2250" s="20" t="n">
        <x:v>46003.93500229167</x:v>
      </x:c>
    </x:row>
    <x:row r="2251">
      <x:c r="A2251" t="str">
        <x:v>tipo de fruta</x:v>
      </x:c>
      <x:c r="B2251" t="str">
        <x:v>chewẽ vimi</x:v>
      </x:c>
      <x:c r="C2251" t="str">
        <x:v>t</x:v>
      </x:c>
      <x:c r="D2251" t="str">
        <x:v>ge3ef0d3c-7e96-479d-8076-5a23b38d73f6</x:v>
      </x:c>
      <x:c r="E2251" t="str">
        <x:v>gefe940c8-5abb-4d4e-bae1-685a57ea4bfa</x:v>
      </x:c>
      <x:c r="F2251" t="str">
        <x:v>https://www.webonary.org/marubo/gefe940c8-5abb-4d4e-bae1-685a57ea4bfa/</x:v>
      </x:c>
      <x:c r="G2251" s="20" t="n">
        <x:v>46003.93500229167</x:v>
      </x:c>
    </x:row>
    <x:row r="2252">
      <x:c r="A2252" t="str">
        <x:v>tipo de gavião (yové chai)</x:v>
      </x:c>
      <x:c r="B2252" t="str">
        <x:v>veshtao</x:v>
      </x:c>
      <x:c r="C2252" t="str">
        <x:v>t</x:v>
      </x:c>
      <x:c r="D2252" t="str">
        <x:v>g0a65787b-9278-4cf4-9638-54710cc640c6</x:v>
      </x:c>
      <x:c r="E2252" t="str">
        <x:v>gef22bfa8-07de-45e8-9c8a-81225870ccba</x:v>
      </x:c>
      <x:c r="F2252" t="str">
        <x:v>https://www.webonary.org/marubo/gef22bfa8-07de-45e8-9c8a-81225870ccba/</x:v>
      </x:c>
      <x:c r="G2252" s="20" t="n">
        <x:v>46003.93500229167</x:v>
      </x:c>
    </x:row>
    <x:row r="2253">
      <x:c r="A2253" t="str">
        <x:v>tipo de gavião que leva as almas dos mortos</x:v>
      </x:c>
      <x:c r="B2253" t="str">
        <x:v>kais kawã</x:v>
      </x:c>
      <x:c r="C2253" t="str">
        <x:v>t</x:v>
      </x:c>
      <x:c r="D2253" t="str">
        <x:v>gb1c15f39-2bc0-4714-b849-9a8342c0f1c9</x:v>
      </x:c>
      <x:c r="E2253" t="str">
        <x:v>g33534fc7-6ed2-4dfb-8862-5713f13530b0</x:v>
      </x:c>
      <x:c r="F2253" t="str">
        <x:v>https://www.webonary.org/marubo/g33534fc7-6ed2-4dfb-8862-5713f13530b0/</x:v>
      </x:c>
      <x:c r="G2253" s="20" t="n">
        <x:v>46003.93500229167</x:v>
      </x:c>
    </x:row>
    <x:row r="2254">
      <x:c r="A2254" t="str">
        <x:v>tipo de grilo</x:v>
      </x:c>
      <x:c r="B2254" t="str">
        <x:v>chee</x:v>
      </x:c>
      <x:c r="C2254" t="str">
        <x:v>t</x:v>
      </x:c>
      <x:c r="D2254" t="str">
        <x:v>gfb585de4-1bc2-4227-a7ed-cd6ac2f3daf1</x:v>
      </x:c>
      <x:c r="E2254" t="str">
        <x:v>g6b0b9caa-15d5-4ca0-b441-58fa37484dc3</x:v>
      </x:c>
      <x:c r="F2254" t="str">
        <x:v>https://www.webonary.org/marubo/g6b0b9caa-15d5-4ca0-b441-58fa37484dc3/</x:v>
      </x:c>
      <x:c r="G2254" s="20" t="n">
        <x:v>46003.93500229167</x:v>
      </x:c>
    </x:row>
    <x:row r="2255">
      <x:c r="A2255" t="str">
        <x:v>tipo de grilo</x:v>
      </x:c>
      <x:c r="B2255" t="str">
        <x:v>1</x:v>
      </x:c>
      <x:c r="C2255" t="str">
        <x:v>t</x:v>
      </x:c>
      <x:c r="D2255" t="str">
        <x:v>gfb585de4-1bc2-4227-a7ed-cd6ac2f3daf1</x:v>
      </x:c>
      <x:c r="E2255" t="str">
        <x:v>g6b0b9caa-15d5-4ca0-b441-58fa37484dc3</x:v>
      </x:c>
      <x:c r="F2255" t="str">
        <x:v>https://www.webonary.org/marubo/g6b0b9caa-15d5-4ca0-b441-58fa37484dc3/</x:v>
      </x:c>
      <x:c r="G2255" s="20" t="n">
        <x:v>46003.93500229167</x:v>
      </x:c>
    </x:row>
    <x:row r="2256">
      <x:c r="A2256" t="str">
        <x:v>tipo de inambu pequeno</x:v>
      </x:c>
      <x:c r="B2256" t="str">
        <x:v>sene</x:v>
      </x:c>
      <x:c r="C2256" t="str">
        <x:v>t</x:v>
      </x:c>
      <x:c r="D2256" t="str">
        <x:v>g5d63ca58-39b7-4ba0-a84f-b152289bc1cc</x:v>
      </x:c>
      <x:c r="E2256" t="str">
        <x:v>ge32eb87c-0b4c-4a62-a70c-d0b0c8a14342</x:v>
      </x:c>
      <x:c r="F2256" t="str">
        <x:v>https://www.webonary.org/marubo/ge32eb87c-0b4c-4a62-a70c-d0b0c8a14342/</x:v>
      </x:c>
      <x:c r="G2256" s="20" t="n">
        <x:v>46003.93500229167</x:v>
      </x:c>
    </x:row>
    <x:row r="2257">
      <x:c r="A2257" t="str">
        <x:v>tipo de inambu pequeno</x:v>
      </x:c>
      <x:c r="B2257" t="str">
        <x:v>1</x:v>
      </x:c>
      <x:c r="C2257" t="str">
        <x:v>t</x:v>
      </x:c>
      <x:c r="D2257" t="str">
        <x:v>g5d63ca58-39b7-4ba0-a84f-b152289bc1cc</x:v>
      </x:c>
      <x:c r="E2257" t="str">
        <x:v>ge32eb87c-0b4c-4a62-a70c-d0b0c8a14342</x:v>
      </x:c>
      <x:c r="F2257" t="str">
        <x:v>https://www.webonary.org/marubo/ge32eb87c-0b4c-4a62-a70c-d0b0c8a14342/</x:v>
      </x:c>
      <x:c r="G2257" s="20" t="n">
        <x:v>46003.93500229167</x:v>
      </x:c>
    </x:row>
    <x:row r="2258">
      <x:c r="A2258" t="str">
        <x:v>tipo de ingá</x:v>
      </x:c>
      <x:c r="B2258" t="str">
        <x:v>chipĩ shenã</x:v>
      </x:c>
      <x:c r="C2258" t="str">
        <x:v>t</x:v>
      </x:c>
      <x:c r="D2258" t="str">
        <x:v>gc6756cb4-21ea-4cc6-977f-f43f765abbeb</x:v>
      </x:c>
      <x:c r="E2258" t="str">
        <x:v>gf6aa84f4-bc27-4a86-aefa-078a59dfc8a5</x:v>
      </x:c>
      <x:c r="F2258" t="str">
        <x:v>https://www.webonary.org/marubo/gf6aa84f4-bc27-4a86-aefa-078a59dfc8a5/</x:v>
      </x:c>
      <x:c r="G2258" s="20" t="n">
        <x:v>46003.93500229167</x:v>
      </x:c>
    </x:row>
    <x:row r="2259">
      <x:c r="A2259" t="str">
        <x:v>tipo de ingá</x:v>
      </x:c>
      <x:c r="B2259" t="str">
        <x:v>chinõ koré</x:v>
      </x:c>
      <x:c r="C2259" t="str">
        <x:v>t</x:v>
      </x:c>
      <x:c r="D2259" t="str">
        <x:v>gc6756cb4-21ea-4cc6-977f-f43f765abbeb</x:v>
      </x:c>
      <x:c r="E2259" t="str">
        <x:v>g395f8425-3ea8-42bf-acd3-87b7129c85c6</x:v>
      </x:c>
      <x:c r="F2259" t="str">
        <x:v>https://www.webonary.org/marubo/g395f8425-3ea8-42bf-acd3-87b7129c85c6/</x:v>
      </x:c>
      <x:c r="G2259" s="20" t="n">
        <x:v>46003.93500229167</x:v>
      </x:c>
    </x:row>
    <x:row r="2260">
      <x:c r="A2260" t="str">
        <x:v>tipo de inseto</x:v>
      </x:c>
      <x:c r="B2260" t="str">
        <x:v>viõshe</x:v>
      </x:c>
      <x:c r="C2260" t="str">
        <x:v>t</x:v>
      </x:c>
      <x:c r="D2260" t="str">
        <x:v>g869659a8-9b14-431e-984e-cf0a52a69452</x:v>
      </x:c>
      <x:c r="E2260" t="str">
        <x:v>gad09331f-5fb9-448c-9869-6d1c1703889b</x:v>
      </x:c>
      <x:c r="F2260" t="str">
        <x:v>https://www.webonary.org/marubo/gad09331f-5fb9-448c-9869-6d1c1703889b/</x:v>
      </x:c>
      <x:c r="G2260" s="20" t="n">
        <x:v>46003.93500229167</x:v>
      </x:c>
    </x:row>
    <x:row r="2261">
      <x:c r="A2261" t="str">
        <x:v>tipo de jabuti</x:v>
      </x:c>
      <x:c r="B2261" t="str">
        <x:v>chewẽ shawe</x:v>
      </x:c>
      <x:c r="C2261" t="str">
        <x:v>t</x:v>
      </x:c>
      <x:c r="D2261" t="str">
        <x:v>g3639aaa4-6371-4ac9-be0c-c0bdd4904ee4</x:v>
      </x:c>
      <x:c r="E2261" t="str">
        <x:v>g258a693b-8bfb-4572-afdf-95dae391387d</x:v>
      </x:c>
      <x:c r="F2261" t="str">
        <x:v>https://www.webonary.org/marubo/g258a693b-8bfb-4572-afdf-95dae391387d/</x:v>
      </x:c>
      <x:c r="G2261" s="20" t="n">
        <x:v>46003.93500229167</x:v>
      </x:c>
    </x:row>
    <x:row r="2262">
      <x:c r="A2262" t="str">
        <x:v>tipo de lagarta</x:v>
      </x:c>
      <x:c r="B2262" t="str">
        <x:v>chiwa</x:v>
      </x:c>
      <x:c r="C2262" t="str">
        <x:v>t</x:v>
      </x:c>
      <x:c r="D2262" t="str">
        <x:v>gb55acef9-f458-4ce9-8d38-f83a6314beaa</x:v>
      </x:c>
      <x:c r="E2262" t="str">
        <x:v>gb88f2d08-93ac-4541-a550-a5a57e277100</x:v>
      </x:c>
      <x:c r="F2262" t="str">
        <x:v>https://www.webonary.org/marubo/gb88f2d08-93ac-4541-a550-a5a57e277100/</x:v>
      </x:c>
      <x:c r="G2262" s="20" t="n">
        <x:v>46003.93500229167</x:v>
      </x:c>
    </x:row>
    <x:row r="2263">
      <x:c r="A2263" t="str">
        <x:v>tipo de macaco chino arí</x:v>
      </x:c>
      <x:c r="B2263" t="str">
        <x:v>sata</x:v>
      </x:c>
      <x:c r="C2263" t="str">
        <x:v>t</x:v>
      </x:c>
      <x:c r="D2263" t="str">
        <x:v>g81a51cee-588e-4ad4-bcf1-cfdee5fe7f75</x:v>
      </x:c>
      <x:c r="E2263" t="str">
        <x:v>g45a505e7-c860-4d98-925e-da1fc54f80ed</x:v>
      </x:c>
      <x:c r="F2263" t="str">
        <x:v>https://www.webonary.org/marubo/g45a505e7-c860-4d98-925e-da1fc54f80ed/</x:v>
      </x:c>
      <x:c r="G2263" s="20" t="n">
        <x:v>46003.93500229167</x:v>
      </x:c>
    </x:row>
    <x:row r="2264">
      <x:c r="A2264" t="str">
        <x:v>tipo de macaco mico</x:v>
      </x:c>
      <x:c r="B2264" t="str">
        <x:v>chipi osho</x:v>
      </x:c>
      <x:c r="C2264" t="str">
        <x:v>t</x:v>
      </x:c>
      <x:c r="D2264" t="str">
        <x:v>g92a9d188-9b68-4a10-ae4c-4fc1c2a68e05</x:v>
      </x:c>
      <x:c r="E2264" t="str">
        <x:v>gba7539f3-0270-4979-a0b8-264f53349492</x:v>
      </x:c>
      <x:c r="F2264" t="str">
        <x:v>https://www.webonary.org/marubo/gba7539f3-0270-4979-a0b8-264f53349492/</x:v>
      </x:c>
      <x:c r="G2264" s="20" t="n">
        <x:v>46003.93500229167</x:v>
      </x:c>
    </x:row>
    <x:row r="2265">
      <x:c r="A2265" t="str">
        <x:v>tipo de madeira</x:v>
      </x:c>
      <x:c r="B2265" t="str">
        <x:v>yono</x:v>
      </x:c>
      <x:c r="C2265" t="str">
        <x:v>t</x:v>
      </x:c>
      <x:c r="D2265" t="str">
        <x:v>gfef6e5d8-4e84-464b-80fd-bbc7ca6f7567</x:v>
      </x:c>
      <x:c r="E2265" t="str">
        <x:v>gc26aee2d-6a70-40ea-bf32-f21b145a6d8a</x:v>
      </x:c>
      <x:c r="F2265" t="str">
        <x:v>https://www.webonary.org/marubo/gc26aee2d-6a70-40ea-bf32-f21b145a6d8a/</x:v>
      </x:c>
      <x:c r="G2265" s="20" t="n">
        <x:v>46003.93500229167</x:v>
      </x:c>
    </x:row>
    <x:row r="2266">
      <x:c r="A2266" t="str">
        <x:v>tipo de madeira</x:v>
      </x:c>
      <x:c r="B2266" t="str">
        <x:v>chewẽ</x:v>
      </x:c>
      <x:c r="C2266" t="str">
        <x:v>t</x:v>
      </x:c>
      <x:c r="D2266" t="str">
        <x:v>gfef6e5d8-4e84-464b-80fd-bbc7ca6f7567</x:v>
      </x:c>
      <x:c r="E2266" t="str">
        <x:v>gba376642-d7d8-4867-968b-4b632dbc3ca5</x:v>
      </x:c>
      <x:c r="F2266" t="str">
        <x:v>https://www.webonary.org/marubo/gba376642-d7d8-4867-968b-4b632dbc3ca5/</x:v>
      </x:c>
      <x:c r="G2266" s="20" t="n">
        <x:v>46003.93500229167</x:v>
      </x:c>
    </x:row>
    <x:row r="2267">
      <x:c r="A2267" t="str">
        <x:v>tipo de madeira tachi</x:v>
      </x:c>
      <x:c r="B2267" t="str">
        <x:v>anĩ</x:v>
      </x:c>
      <x:c r="C2267" t="str">
        <x:v>t</x:v>
      </x:c>
      <x:c r="D2267" t="str">
        <x:v>g3d8f334d-1dea-4450-989d-76820510847e</x:v>
      </x:c>
      <x:c r="E2267" t="str">
        <x:v>g6fee8620-e3cf-4880-a83b-609c73609f7f</x:v>
      </x:c>
      <x:c r="F2267" t="str">
        <x:v>https://www.webonary.org/marubo/g6fee8620-e3cf-4880-a83b-609c73609f7f/</x:v>
      </x:c>
      <x:c r="G2267" s="20" t="n">
        <x:v>46003.93500229167</x:v>
      </x:c>
    </x:row>
    <x:row r="2268">
      <x:c r="A2268" t="str">
        <x:v>tipo de mala para guardar penas etc</x:v>
      </x:c>
      <x:c r="B2268" t="str">
        <x:v>vonãti</x:v>
      </x:c>
      <x:c r="C2268" t="str">
        <x:v>t</x:v>
      </x:c>
      <x:c r="D2268" t="str">
        <x:v>g86374589-8ba4-4293-a402-a68c2c9f364f</x:v>
      </x:c>
      <x:c r="E2268" t="str">
        <x:v>g598300e4-4fa3-48a1-b724-d4a1474dc096</x:v>
      </x:c>
      <x:c r="F2268" t="str">
        <x:v>https://www.webonary.org/marubo/g598300e4-4fa3-48a1-b724-d4a1474dc096/</x:v>
      </x:c>
      <x:c r="G2268" s="20" t="n">
        <x:v>46003.93500229167</x:v>
      </x:c>
    </x:row>
    <x:row r="2269">
      <x:c r="A2269" t="str">
        <x:v>tipo de mamão da mata</x:v>
      </x:c>
      <x:c r="B2269" t="str">
        <x:v>võpa nawa vimi</x:v>
      </x:c>
      <x:c r="C2269" t="str">
        <x:v>t</x:v>
      </x:c>
      <x:c r="D2269" t="str">
        <x:v>g20d7e5da-5419-473b-8199-1433819cf55d</x:v>
      </x:c>
      <x:c r="E2269" t="str">
        <x:v>g1818f0e6-8aea-4f0a-80cd-351d9834b94a</x:v>
      </x:c>
      <x:c r="F2269" t="str">
        <x:v>https://www.webonary.org/marubo/g1818f0e6-8aea-4f0a-80cd-351d9834b94a/</x:v>
      </x:c>
      <x:c r="G2269" s="20" t="n">
        <x:v>46003.93500229167</x:v>
      </x:c>
    </x:row>
    <x:row r="2270">
      <x:c r="A2270" t="str">
        <x:v>tipo de mosca</x:v>
      </x:c>
      <x:c r="B2270" t="str">
        <x:v>shara</x:v>
      </x:c>
      <x:c r="C2270" t="str">
        <x:v>t</x:v>
      </x:c>
      <x:c r="D2270" t="str">
        <x:v>g6d47e8ad-443b-4ca9-9e17-0987d01055df</x:v>
      </x:c>
      <x:c r="E2270" t="str">
        <x:v>g31f85a50-360c-48a6-91ca-863945574bda</x:v>
      </x:c>
      <x:c r="F2270" t="str">
        <x:v>https://www.webonary.org/marubo/g31f85a50-360c-48a6-91ca-863945574bda/</x:v>
      </x:c>
      <x:c r="G2270" s="20" t="n">
        <x:v>46003.93500229167</x:v>
      </x:c>
    </x:row>
    <x:row r="2271">
      <x:c r="A2271" t="str">
        <x:v>tipo de mosquito</x:v>
      </x:c>
      <x:c r="B2271" t="str">
        <x:v>voí</x:v>
      </x:c>
      <x:c r="C2271" t="str">
        <x:v>t</x:v>
      </x:c>
      <x:c r="D2271" t="str">
        <x:v>g45d1d123-3283-455c-8f7f-b29db9e5ba87</x:v>
      </x:c>
      <x:c r="E2271" t="str">
        <x:v>g46c7cdd0-16e3-4347-9f6c-07364b03c067</x:v>
      </x:c>
      <x:c r="F2271" t="str">
        <x:v>https://www.webonary.org/marubo/g46c7cdd0-16e3-4347-9f6c-07364b03c067/</x:v>
      </x:c>
      <x:c r="G2271" s="20" t="n">
        <x:v>46003.93500229167</x:v>
      </x:c>
    </x:row>
    <x:row r="2272">
      <x:c r="A2272" t="str">
        <x:v>tipo de mutuca</x:v>
      </x:c>
      <x:c r="B2272" t="str">
        <x:v>votsimísi</x:v>
      </x:c>
      <x:c r="C2272" t="str">
        <x:v>t</x:v>
      </x:c>
      <x:c r="D2272" t="str">
        <x:v>g75d6ff3d-7d04-4b65-b94d-a50115136de3</x:v>
      </x:c>
      <x:c r="E2272" t="str">
        <x:v>g7a914a99-00c5-4678-b0bc-be41198d031d</x:v>
      </x:c>
      <x:c r="F2272" t="str">
        <x:v>https://www.webonary.org/marubo/g7a914a99-00c5-4678-b0bc-be41198d031d/</x:v>
      </x:c>
      <x:c r="G2272" s="20" t="n">
        <x:v>46003.93500229167</x:v>
      </x:c>
    </x:row>
    <x:row r="2273">
      <x:c r="A2273" t="str">
        <x:v>tipo de mutum</x:v>
      </x:c>
      <x:c r="B2273" t="str">
        <x:v>kayo</x:v>
      </x:c>
      <x:c r="C2273" t="str">
        <x:v>t</x:v>
      </x:c>
      <x:c r="D2273" t="str">
        <x:v>g34268fbc-f942-4f29-abe0-c14eb2ba5b3f</x:v>
      </x:c>
      <x:c r="E2273" t="str">
        <x:v>g4146e884-5890-47b8-9355-5929cdb30caa</x:v>
      </x:c>
      <x:c r="F2273" t="str">
        <x:v>https://www.webonary.org/marubo/g4146e884-5890-47b8-9355-5929cdb30caa/</x:v>
      </x:c>
      <x:c r="G2273" s="20" t="n">
        <x:v>46003.93500229167</x:v>
      </x:c>
    </x:row>
    <x:row r="2274">
      <x:c r="A2274" t="str">
        <x:v>tipo de pássaro</x:v>
      </x:c>
      <x:c r="B2274" t="str">
        <x:v>yapeti</x:v>
      </x:c>
      <x:c r="C2274" t="str">
        <x:v>t</x:v>
      </x:c>
      <x:c r="D2274" t="str">
        <x:v>gb7a1d378-35b3-4855-95d9-31985850afa2</x:v>
      </x:c>
      <x:c r="E2274" t="str">
        <x:v>g024799c7-0a1d-4777-a3d0-f99953ef3429</x:v>
      </x:c>
      <x:c r="F2274" t="str">
        <x:v>https://www.webonary.org/marubo/g024799c7-0a1d-4777-a3d0-f99953ef3429/</x:v>
      </x:c>
      <x:c r="G2274" s="20" t="n">
        <x:v>46003.93500229167</x:v>
      </x:c>
    </x:row>
    <x:row r="2275">
      <x:c r="A2275" t="str">
        <x:v>tipo de pássaro</x:v>
      </x:c>
      <x:c r="B2275" t="str">
        <x:v>txove</x:v>
      </x:c>
      <x:c r="C2275" t="str">
        <x:v>t</x:v>
      </x:c>
      <x:c r="D2275" t="str">
        <x:v>gb7a1d378-35b3-4855-95d9-31985850afa2</x:v>
      </x:c>
      <x:c r="E2275" t="str">
        <x:v>g24e80dd8-1f94-4104-b7a3-b96f68bfe422</x:v>
      </x:c>
      <x:c r="F2275" t="str">
        <x:v>https://www.webonary.org/marubo/g24e80dd8-1f94-4104-b7a3-b96f68bfe422/</x:v>
      </x:c>
      <x:c r="G2275" s="20" t="n">
        <x:v>46003.93500229167</x:v>
      </x:c>
    </x:row>
    <x:row r="2276">
      <x:c r="A2276" t="str">
        <x:v>tipo de pássaro</x:v>
      </x:c>
      <x:c r="B2276" t="str">
        <x:v>irí vaka</x:v>
      </x:c>
      <x:c r="C2276" t="str">
        <x:v>t</x:v>
      </x:c>
      <x:c r="D2276" t="str">
        <x:v>gb7a1d378-35b3-4855-95d9-31985850afa2</x:v>
      </x:c>
      <x:c r="E2276" t="str">
        <x:v>gce1b0800-6dc7-48b5-b8c7-360a6253e590</x:v>
      </x:c>
      <x:c r="F2276" t="str">
        <x:v>https://www.webonary.org/marubo/gce1b0800-6dc7-48b5-b8c7-360a6253e590/</x:v>
      </x:c>
      <x:c r="G2276" s="20" t="n">
        <x:v>46003.93500229167</x:v>
      </x:c>
    </x:row>
    <x:row r="2277">
      <x:c r="A2277" t="str">
        <x:v>tipo de pássaro</x:v>
      </x:c>
      <x:c r="B2277" t="str">
        <x:v>choti</x:v>
      </x:c>
      <x:c r="C2277" t="str">
        <x:v>t</x:v>
      </x:c>
      <x:c r="D2277" t="str">
        <x:v>gb7a1d378-35b3-4855-95d9-31985850afa2</x:v>
      </x:c>
      <x:c r="E2277" t="str">
        <x:v>g58efc348-0c07-4ea9-826d-11105be21b3f</x:v>
      </x:c>
      <x:c r="F2277" t="str">
        <x:v>https://www.webonary.org/marubo/g58efc348-0c07-4ea9-826d-11105be21b3f/</x:v>
      </x:c>
      <x:c r="G2277" s="20" t="n">
        <x:v>46003.93500229167</x:v>
      </x:c>
    </x:row>
    <x:row r="2278">
      <x:c r="A2278" t="str">
        <x:v>tipo de pássaro</x:v>
      </x:c>
      <x:c r="B2278" t="str">
        <x:v>1</x:v>
      </x:c>
      <x:c r="C2278" t="str">
        <x:v>t</x:v>
      </x:c>
      <x:c r="D2278" t="str">
        <x:v>gb7a1d378-35b3-4855-95d9-31985850afa2</x:v>
      </x:c>
      <x:c r="E2278" t="str">
        <x:v>g58efc348-0c07-4ea9-826d-11105be21b3f</x:v>
      </x:c>
      <x:c r="F2278" t="str">
        <x:v>https://www.webonary.org/marubo/g58efc348-0c07-4ea9-826d-11105be21b3f/</x:v>
      </x:c>
      <x:c r="G2278" s="20" t="n">
        <x:v>46003.93500229167</x:v>
      </x:c>
    </x:row>
    <x:row r="2279">
      <x:c r="A2279" t="str">
        <x:v>tipo de pássaro amarelo</x:v>
      </x:c>
      <x:c r="B2279" t="str">
        <x:v>koyõ voĩ</x:v>
      </x:c>
      <x:c r="C2279" t="str">
        <x:v>t</x:v>
      </x:c>
      <x:c r="D2279" t="str">
        <x:v>ga52c638f-3cee-42ab-8951-5a717106a052</x:v>
      </x:c>
      <x:c r="E2279" t="str">
        <x:v>gc19902e0-1bf8-47ec-b2b9-bc14ddcaf141</x:v>
      </x:c>
      <x:c r="F2279" t="str">
        <x:v>https://www.webonary.org/marubo/gc19902e0-1bf8-47ec-b2b9-bc14ddcaf141/</x:v>
      </x:c>
      <x:c r="G2279" s="20" t="n">
        <x:v>46003.93500229167</x:v>
      </x:c>
    </x:row>
    <x:row r="2280">
      <x:c r="A2280" t="str">
        <x:v>tipo de peixe</x:v>
      </x:c>
      <x:c r="B2280" t="str">
        <x:v>tsatsa</x:v>
      </x:c>
      <x:c r="C2280" t="str">
        <x:v>t</x:v>
      </x:c>
      <x:c r="D2280" t="str">
        <x:v>gd9839fef-e78f-4e13-91a9-b68d9a68b709</x:v>
      </x:c>
      <x:c r="E2280" t="str">
        <x:v>g0a00a83d-36dd-4f5c-8887-08060f4db1da</x:v>
      </x:c>
      <x:c r="F2280" t="str">
        <x:v>https://www.webonary.org/marubo/g0a00a83d-36dd-4f5c-8887-08060f4db1da/</x:v>
      </x:c>
      <x:c r="G2280" s="20" t="n">
        <x:v>46003.93500229167</x:v>
      </x:c>
    </x:row>
    <x:row r="2281">
      <x:c r="A2281" t="str">
        <x:v>tipo de peixe</x:v>
      </x:c>
      <x:c r="B2281" t="str">
        <x:v>vẽshá rome</x:v>
      </x:c>
      <x:c r="C2281" t="str">
        <x:v>t</x:v>
      </x:c>
      <x:c r="D2281" t="str">
        <x:v>gd9839fef-e78f-4e13-91a9-b68d9a68b709</x:v>
      </x:c>
      <x:c r="E2281" t="str">
        <x:v>ge9dd6477-eada-4975-a82f-902fbf44da95</x:v>
      </x:c>
      <x:c r="F2281" t="str">
        <x:v>https://www.webonary.org/marubo/ge9dd6477-eada-4975-a82f-902fbf44da95/</x:v>
      </x:c>
      <x:c r="G2281" s="20" t="n">
        <x:v>46003.93500229167</x:v>
      </x:c>
    </x:row>
    <x:row r="2282">
      <x:c r="A2282" t="str">
        <x:v>tipo de peixe</x:v>
      </x:c>
      <x:c r="B2282" t="str">
        <x:v>kaiyõ</x:v>
      </x:c>
      <x:c r="C2282" t="str">
        <x:v>t</x:v>
      </x:c>
      <x:c r="D2282" t="str">
        <x:v>gd9839fef-e78f-4e13-91a9-b68d9a68b709</x:v>
      </x:c>
      <x:c r="E2282" t="str">
        <x:v>g557dbb74-edbd-43ff-bc0d-fdabab8530e5</x:v>
      </x:c>
      <x:c r="F2282" t="str">
        <x:v>https://www.webonary.org/marubo/g557dbb74-edbd-43ff-bc0d-fdabab8530e5/</x:v>
      </x:c>
      <x:c r="G2282" s="20" t="n">
        <x:v>46003.93500229167</x:v>
      </x:c>
    </x:row>
    <x:row r="2283">
      <x:c r="A2283" t="str">
        <x:v>tipo de peixe</x:v>
      </x:c>
      <x:c r="B2283" t="str">
        <x:v>kope</x:v>
      </x:c>
      <x:c r="C2283" t="str">
        <x:v>t</x:v>
      </x:c>
      <x:c r="D2283" t="str">
        <x:v>gd9839fef-e78f-4e13-91a9-b68d9a68b709</x:v>
      </x:c>
      <x:c r="E2283" t="str">
        <x:v>g182597ca-81f1-4d8f-a9f4-12aa362f6426</x:v>
      </x:c>
      <x:c r="F2283" t="str">
        <x:v>https://www.webonary.org/marubo/g182597ca-81f1-4d8f-a9f4-12aa362f6426/</x:v>
      </x:c>
      <x:c r="G2283" s="20" t="n">
        <x:v>46003.93500229167</x:v>
      </x:c>
    </x:row>
    <x:row r="2284">
      <x:c r="A2284" t="str">
        <x:v>tipo de peixe (pequeno)</x:v>
      </x:c>
      <x:c r="B2284" t="str">
        <x:v>poshko</x:v>
      </x:c>
      <x:c r="C2284" t="str">
        <x:v>t</x:v>
      </x:c>
      <x:c r="D2284" t="str">
        <x:v>gbf0de187-820f-4d2b-9a09-f49d11200736</x:v>
      </x:c>
      <x:c r="E2284" t="str">
        <x:v>g81d5a055-4864-4889-9f69-b951a92abdbd</x:v>
      </x:c>
      <x:c r="F2284" t="str">
        <x:v>https://www.webonary.org/marubo/g81d5a055-4864-4889-9f69-b951a92abdbd/</x:v>
      </x:c>
      <x:c r="G2284" s="20" t="n">
        <x:v>46003.93500229167</x:v>
      </x:c>
    </x:row>
    <x:row r="2285">
      <x:c r="A2285" t="str">
        <x:v>tipo de peixe matupiri</x:v>
      </x:c>
      <x:c r="B2285" t="str">
        <x:v>petxa</x:v>
      </x:c>
      <x:c r="C2285" t="str">
        <x:v>t</x:v>
      </x:c>
      <x:c r="D2285" t="str">
        <x:v>g710bb056-162f-471f-9ce6-c383f5ffa0b7</x:v>
      </x:c>
      <x:c r="E2285" t="str">
        <x:v>g4088feb6-8153-4211-b0bb-ecc7b92dea50</x:v>
      </x:c>
      <x:c r="F2285" t="str">
        <x:v>https://www.webonary.org/marubo/g4088feb6-8153-4211-b0bb-ecc7b92dea50/</x:v>
      </x:c>
      <x:c r="G2285" s="20" t="n">
        <x:v>46003.93500229167</x:v>
      </x:c>
    </x:row>
    <x:row r="2286">
      <x:c r="A2286" t="str">
        <x:v>tipo de pica-pau</x:v>
      </x:c>
      <x:c r="B2286" t="str">
        <x:v>chekere</x:v>
      </x:c>
      <x:c r="C2286" t="str">
        <x:v>t</x:v>
      </x:c>
      <x:c r="D2286" t="str">
        <x:v>g7aa34ad0-2f85-4138-ae4b-80098ab60963</x:v>
      </x:c>
      <x:c r="E2286" t="str">
        <x:v>gf520421f-b6b4-4b53-bce3-795688d4bc6e</x:v>
      </x:c>
      <x:c r="F2286" t="str">
        <x:v>https://www.webonary.org/marubo/gf520421f-b6b4-4b53-bce3-795688d4bc6e/</x:v>
      </x:c>
      <x:c r="G2286" s="20" t="n">
        <x:v>46003.93500229167</x:v>
      </x:c>
    </x:row>
    <x:row r="2287">
      <x:c r="A2287" t="str">
        <x:v>tipo de pica-pau</x:v>
      </x:c>
      <x:c r="B2287" t="str">
        <x:v>1</x:v>
      </x:c>
      <x:c r="C2287" t="str">
        <x:v>t</x:v>
      </x:c>
      <x:c r="D2287" t="str">
        <x:v>g7aa34ad0-2f85-4138-ae4b-80098ab60963</x:v>
      </x:c>
      <x:c r="E2287" t="str">
        <x:v>gf520421f-b6b4-4b53-bce3-795688d4bc6e</x:v>
      </x:c>
      <x:c r="F2287" t="str">
        <x:v>https://www.webonary.org/marubo/gf520421f-b6b4-4b53-bce3-795688d4bc6e/</x:v>
      </x:c>
      <x:c r="G2287" s="20" t="n">
        <x:v>46003.93500229167</x:v>
      </x:c>
    </x:row>
    <x:row r="2288">
      <x:c r="A2288" t="str">
        <x:v>tipo de planta</x:v>
      </x:c>
      <x:c r="B2288" t="str">
        <x:v>voase</x:v>
      </x:c>
      <x:c r="C2288" t="str">
        <x:v>t</x:v>
      </x:c>
      <x:c r="D2288" t="str">
        <x:v>g177fbea8-22fe-4233-a2ab-359a5e7f84c9</x:v>
      </x:c>
      <x:c r="E2288" t="str">
        <x:v>g957be4d0-e527-488f-98aa-ab27bf0cfed3</x:v>
      </x:c>
      <x:c r="F2288" t="str">
        <x:v>https://www.webonary.org/marubo/g957be4d0-e527-488f-98aa-ab27bf0cfed3/</x:v>
      </x:c>
      <x:c r="G2288" s="20" t="n">
        <x:v>46003.93500229167</x:v>
      </x:c>
    </x:row>
    <x:row r="2289">
      <x:c r="A2289" t="str">
        <x:v>tipo de planta</x:v>
      </x:c>
      <x:c r="B2289" t="str">
        <x:v>ati</x:v>
      </x:c>
      <x:c r="C2289" t="str">
        <x:v>t</x:v>
      </x:c>
      <x:c r="D2289" t="str">
        <x:v>g177fbea8-22fe-4233-a2ab-359a5e7f84c9</x:v>
      </x:c>
      <x:c r="E2289" t="str">
        <x:v>gbf092934-ecb5-4d0e-b6d8-5eed2ee2f4fa</x:v>
      </x:c>
      <x:c r="F2289" t="str">
        <x:v>https://www.webonary.org/marubo/gbf092934-ecb5-4d0e-b6d8-5eed2ee2f4fa/</x:v>
      </x:c>
      <x:c r="G2289" s="20" t="n">
        <x:v>46003.93500229167</x:v>
      </x:c>
    </x:row>
    <x:row r="2290">
      <x:c r="A2290" t="str">
        <x:v>tipo de planta</x:v>
      </x:c>
      <x:c r="B2290" t="str">
        <x:v>chiwã</x:v>
      </x:c>
      <x:c r="C2290" t="str">
        <x:v>t</x:v>
      </x:c>
      <x:c r="D2290" t="str">
        <x:v>g177fbea8-22fe-4233-a2ab-359a5e7f84c9</x:v>
      </x:c>
      <x:c r="E2290" t="str">
        <x:v>g9efd50c2-871b-41f4-9ce1-9899e1e14adb</x:v>
      </x:c>
      <x:c r="F2290" t="str">
        <x:v>https://www.webonary.org/marubo/g9efd50c2-871b-41f4-9ce1-9899e1e14adb/</x:v>
      </x:c>
      <x:c r="G2290" s="20" t="n">
        <x:v>46003.93500229167</x:v>
      </x:c>
    </x:row>
    <x:row r="2291">
      <x:c r="A2291" t="str">
        <x:v>tipo de planta da mata</x:v>
      </x:c>
      <x:c r="B2291" t="str">
        <x:v>chiní</x:v>
      </x:c>
      <x:c r="C2291" t="str">
        <x:v>t</x:v>
      </x:c>
      <x:c r="D2291" t="str">
        <x:v>g948319a5-849a-4154-860c-4bbb7054563c</x:v>
      </x:c>
      <x:c r="E2291" t="str">
        <x:v>g1b4cbbfa-0856-4b2c-bb5c-952be435b812</x:v>
      </x:c>
      <x:c r="F2291" t="str">
        <x:v>https://www.webonary.org/marubo/g1b4cbbfa-0856-4b2c-bb5c-952be435b812/</x:v>
      </x:c>
      <x:c r="G2291" s="20" t="n">
        <x:v>46003.93500229167</x:v>
      </x:c>
    </x:row>
    <x:row r="2292">
      <x:c r="A2292" t="str">
        <x:v>tipo de planta na beira do rio</x:v>
      </x:c>
      <x:c r="B2292" t="str">
        <x:v>chĩkomi</x:v>
      </x:c>
      <x:c r="C2292" t="str">
        <x:v>t</x:v>
      </x:c>
      <x:c r="D2292" t="str">
        <x:v>g29d6f235-f6be-4137-af99-e0ec673d665c</x:v>
      </x:c>
      <x:c r="E2292" t="str">
        <x:v>g0fd95243-06fb-4a63-8b7a-58f89d0714f7</x:v>
      </x:c>
      <x:c r="F2292" t="str">
        <x:v>https://www.webonary.org/marubo/g0fd95243-06fb-4a63-8b7a-58f89d0714f7/</x:v>
      </x:c>
      <x:c r="G2292" s="20" t="n">
        <x:v>46003.93500229167</x:v>
      </x:c>
    </x:row>
    <x:row r="2293">
      <x:c r="A2293" t="str">
        <x:v>tipo de ponte com várias toras</x:v>
      </x:c>
      <x:c r="B2293" t="str">
        <x:v>veká tapã</x:v>
      </x:c>
      <x:c r="C2293" t="str">
        <x:v>t</x:v>
      </x:c>
      <x:c r="D2293" t="str">
        <x:v>gc4e33b81-0fbf-4956-99bf-13f773c2e4fe</x:v>
      </x:c>
      <x:c r="E2293" t="str">
        <x:v>g097fe531-017d-49f8-b44c-309d7d04eb54</x:v>
      </x:c>
      <x:c r="F2293" t="str">
        <x:v>https://www.webonary.org/marubo/g097fe531-017d-49f8-b44c-309d7d04eb54/</x:v>
      </x:c>
      <x:c r="G2293" s="20" t="n">
        <x:v>46003.93500229167</x:v>
      </x:c>
    </x:row>
    <x:row r="2294">
      <x:c r="A2294" t="str">
        <x:v>tipo de sapo cururu</x:v>
      </x:c>
      <x:c r="B2294" t="str">
        <x:v>poyápoyáka</x:v>
      </x:c>
      <x:c r="C2294" t="str">
        <x:v>t</x:v>
      </x:c>
      <x:c r="D2294" t="str">
        <x:v>g4aae82ca-c1ea-49e1-8530-4e1d49c62476</x:v>
      </x:c>
      <x:c r="E2294" t="str">
        <x:v>gbe1e334f-2af0-447b-bd46-287e898a4cb9</x:v>
      </x:c>
      <x:c r="F2294" t="str">
        <x:v>https://www.webonary.org/marubo/gbe1e334f-2af0-447b-bd46-287e898a4cb9/</x:v>
      </x:c>
      <x:c r="G2294" s="20" t="n">
        <x:v>46003.93500229167</x:v>
      </x:c>
    </x:row>
    <x:row r="2295">
      <x:c r="A2295" t="str">
        <x:v>tipo de sarapô</x:v>
      </x:c>
      <x:c r="B2295" t="str">
        <x:v>china</x:v>
      </x:c>
      <x:c r="C2295" t="str">
        <x:v>t</x:v>
      </x:c>
      <x:c r="D2295" t="str">
        <x:v>g261f8bb5-4595-4eb3-9649-8753f2199068</x:v>
      </x:c>
      <x:c r="E2295" t="str">
        <x:v>gab8f0abe-8092-4c30-8c84-36a866adb7e4</x:v>
      </x:c>
      <x:c r="F2295" t="str">
        <x:v>https://www.webonary.org/marubo/gab8f0abe-8092-4c30-8c84-36a866adb7e4/</x:v>
      </x:c>
      <x:c r="G2295" s="20" t="n">
        <x:v>46003.93500229167</x:v>
      </x:c>
    </x:row>
    <x:row r="2296">
      <x:c r="A2296" t="str">
        <x:v>tipo de sucuri preto</x:v>
      </x:c>
      <x:c r="B2296" t="str">
        <x:v>ĩpere</x:v>
      </x:c>
      <x:c r="C2296" t="str">
        <x:v>t</x:v>
      </x:c>
      <x:c r="D2296" t="str">
        <x:v>g32a8d78c-55f3-4406-a780-5732a6996f91</x:v>
      </x:c>
      <x:c r="E2296" t="str">
        <x:v>g76cb8789-dd7b-4366-949f-d218af5c4f91</x:v>
      </x:c>
      <x:c r="F2296" t="str">
        <x:v>https://www.webonary.org/marubo/g76cb8789-dd7b-4366-949f-d218af5c4f91/</x:v>
      </x:c>
      <x:c r="G2296" s="20" t="n">
        <x:v>46003.93500229167</x:v>
      </x:c>
    </x:row>
    <x:row r="2297">
      <x:c r="A2297" t="str">
        <x:v>tipo de tapuru (tano) grande</x:v>
      </x:c>
      <x:c r="B2297" t="str">
        <x:v>chõchi</x:v>
      </x:c>
      <x:c r="C2297" t="str">
        <x:v>t</x:v>
      </x:c>
      <x:c r="D2297" t="str">
        <x:v>gdcb1b92b-9d18-4f50-988b-ef3c19ad6f86</x:v>
      </x:c>
      <x:c r="E2297" t="str">
        <x:v>g7950efce-dac7-4858-b323-8f3078e6f48e</x:v>
      </x:c>
      <x:c r="F2297" t="str">
        <x:v>https://www.webonary.org/marubo/g7950efce-dac7-4858-b323-8f3078e6f48e/</x:v>
      </x:c>
      <x:c r="G2297" s="20" t="n">
        <x:v>46003.93500229167</x:v>
      </x:c>
    </x:row>
    <x:row r="2298">
      <x:c r="A2298" t="str">
        <x:v>tipo de tavão</x:v>
      </x:c>
      <x:c r="B2298" t="str">
        <x:v>tero</x:v>
      </x:c>
      <x:c r="C2298" t="str">
        <x:v>t</x:v>
      </x:c>
      <x:c r="D2298" t="str">
        <x:v>gcdc0148a-a577-4f03-9d57-e8521b2c361c</x:v>
      </x:c>
      <x:c r="E2298" t="str">
        <x:v>gd67f251a-78a2-4154-b76d-7647e23474c0</x:v>
      </x:c>
      <x:c r="F2298" t="str">
        <x:v>https://www.webonary.org/marubo/gd67f251a-78a2-4154-b76d-7647e23474c0/</x:v>
      </x:c>
      <x:c r="G2298" s="20" t="n">
        <x:v>46003.93500229167</x:v>
      </x:c>
    </x:row>
    <x:row r="2299">
      <x:c r="A2299" t="str">
        <x:v>tipo de vara para limpar terreiro</x:v>
      </x:c>
      <x:c r="B2299" t="str">
        <x:v>chewẽ võtáshe</x:v>
      </x:c>
      <x:c r="C2299" t="str">
        <x:v>t</x:v>
      </x:c>
      <x:c r="D2299" t="str">
        <x:v>g3726502b-7d4c-47b1-b4ba-7486bc2230d0</x:v>
      </x:c>
      <x:c r="E2299" t="str">
        <x:v>gd8f8dac7-7c6b-45c5-8444-94b1d27babfe</x:v>
      </x:c>
      <x:c r="F2299" t="str">
        <x:v>https://www.webonary.org/marubo/gd8f8dac7-7c6b-45c5-8444-94b1d27babfe/</x:v>
      </x:c>
      <x:c r="G2299" s="20" t="n">
        <x:v>46003.93500229167</x:v>
      </x:c>
    </x:row>
    <x:row r="2300">
      <x:c r="A2300" t="str">
        <x:v>tipo de veneno para pegar peixe</x:v>
      </x:c>
      <x:c r="B2300" t="str">
        <x:v>komo</x:v>
      </x:c>
      <x:c r="C2300" t="str">
        <x:v>t</x:v>
      </x:c>
      <x:c r="D2300" t="str">
        <x:v>g9a8e5b00-e4df-4931-b88b-ab23c52bbe4d</x:v>
      </x:c>
      <x:c r="E2300" t="str">
        <x:v>g6c046c2a-a15e-4421-824e-2e484db4c4bb</x:v>
      </x:c>
      <x:c r="F2300" t="str">
        <x:v>https://www.webonary.org/marubo/g6c046c2a-a15e-4421-824e-2e484db4c4bb/</x:v>
      </x:c>
      <x:c r="G2300" s="20" t="n">
        <x:v>46003.93500229167</x:v>
      </x:c>
    </x:row>
    <x:row r="2301">
      <x:c r="A2301" t="str">
        <x:v>tipo formiga</x:v>
      </x:c>
      <x:c r="B2301" t="str">
        <x:v>anĩ</x:v>
      </x:c>
      <x:c r="C2301" t="str">
        <x:v>t</x:v>
      </x:c>
      <x:c r="D2301" t="str">
        <x:v>g9976e58e-df01-4afb-af59-f3fd7a01105c</x:v>
      </x:c>
      <x:c r="E2301" t="str">
        <x:v>g6fee8620-e3cf-4880-a83b-609c73609f7f</x:v>
      </x:c>
      <x:c r="F2301" t="str">
        <x:v>https://www.webonary.org/marubo/g6fee8620-e3cf-4880-a83b-609c73609f7f/</x:v>
      </x:c>
      <x:c r="G2301" s="20" t="n">
        <x:v>46003.93500229167</x:v>
      </x:c>
    </x:row>
    <x:row r="2302">
      <x:c r="A2302" t="str">
        <x:v>tipo pamonha</x:v>
      </x:c>
      <x:c r="B2302" t="str">
        <x:v>misi</x:v>
      </x:c>
      <x:c r="C2302" t="str">
        <x:v>t</x:v>
      </x:c>
      <x:c r="D2302" t="str">
        <x:v>g9200c4a1-8f3a-4761-8d40-9166bf568f51</x:v>
      </x:c>
      <x:c r="E2302" t="str">
        <x:v>g7eb450b3-e421-4cf9-83ca-a9f7c3e61441</x:v>
      </x:c>
      <x:c r="F2302" t="str">
        <x:v>https://www.webonary.org/marubo/g7eb450b3-e421-4cf9-83ca-a9f7c3e61441/</x:v>
      </x:c>
      <x:c r="G2302" s="20" t="n">
        <x:v>46003.93500229167</x:v>
      </x:c>
    </x:row>
    <x:row r="2303">
      <x:c r="A2303" t="str">
        <x:v>tipo penhasco</x:v>
      </x:c>
      <x:c r="B2303" t="str">
        <x:v>keréne</x:v>
      </x:c>
      <x:c r="C2303" t="str">
        <x:v>t</x:v>
      </x:c>
      <x:c r="D2303" t="str">
        <x:v>g6eb3aefb-a10f-4c97-b249-39e1de6edb73</x:v>
      </x:c>
      <x:c r="E2303" t="str">
        <x:v>g584fdf8c-27d3-4512-9bab-fec504bdf1fd</x:v>
      </x:c>
      <x:c r="F2303" t="str">
        <x:v>https://www.webonary.org/marubo/g584fdf8c-27d3-4512-9bab-fec504bdf1fd/</x:v>
      </x:c>
      <x:c r="G2303" s="20" t="n">
        <x:v>46003.93500229167</x:v>
      </x:c>
    </x:row>
    <x:row r="2304">
      <x:c r="A2304" t="str">
        <x:v>tirar</x:v>
      </x:c>
      <x:c r="B2304" t="str">
        <x:v>tseka</x:v>
      </x:c>
      <x:c r="C2304" t="str">
        <x:v>t</x:v>
      </x:c>
      <x:c r="D2304" t="str">
        <x:v>g6d0181e7-6ce0-46ae-acf3-b51e36be69bf</x:v>
      </x:c>
      <x:c r="E2304" t="str">
        <x:v>g51b5d3da-e6d9-411e-a544-ed594f42ef20</x:v>
      </x:c>
      <x:c r="F2304" t="str">
        <x:v>https://www.webonary.org/marubo/g51b5d3da-e6d9-411e-a544-ed594f42ef20/</x:v>
      </x:c>
      <x:c r="G2304" s="20" t="n">
        <x:v>46003.93500229167</x:v>
      </x:c>
    </x:row>
    <x:row r="2305">
      <x:c r="A2305" t="str">
        <x:v>tirar buriti outros</x:v>
      </x:c>
      <x:c r="B2305" t="str">
        <x:v>teste aká</x:v>
      </x:c>
      <x:c r="C2305" t="str">
        <x:v>t</x:v>
      </x:c>
      <x:c r="D2305" t="str">
        <x:v>gcd92d419-1fac-4808-9769-687286f6b745</x:v>
      </x:c>
      <x:c r="E2305" t="str">
        <x:v>g68d4ff62-ee74-416c-ba96-02ef5735ee57</x:v>
      </x:c>
      <x:c r="F2305" t="str">
        <x:v>https://www.webonary.org/marubo/g68d4ff62-ee74-416c-ba96-02ef5735ee57/</x:v>
      </x:c>
      <x:c r="G2305" s="20" t="n">
        <x:v>46003.93500945602</x:v>
      </x:c>
    </x:row>
    <x:row r="2306">
      <x:c r="A2306" t="str">
        <x:v>tirar carne do osso</x:v>
      </x:c>
      <x:c r="B2306" t="str">
        <x:v>vero aká</x:v>
      </x:c>
      <x:c r="C2306" t="str">
        <x:v>t</x:v>
      </x:c>
      <x:c r="D2306" t="str">
        <x:v>gfcd654a1-b185-4e03-8c4d-cb5ec061fafb</x:v>
      </x:c>
      <x:c r="E2306" t="str">
        <x:v>gdb3c94d3-5011-499d-908e-c42118cc319d</x:v>
      </x:c>
      <x:c r="F2306" t="str">
        <x:v>https://www.webonary.org/marubo/gdb3c94d3-5011-499d-908e-c42118cc319d/</x:v>
      </x:c>
      <x:c r="G2306" s="20" t="n">
        <x:v>46003.93500945602</x:v>
      </x:c>
    </x:row>
    <x:row r="2307">
      <x:c r="A2307" t="str">
        <x:v>tirar couro</x:v>
      </x:c>
      <x:c r="B2307" t="str">
        <x:v>shoka</x:v>
      </x:c>
      <x:c r="C2307" t="str">
        <x:v>t</x:v>
      </x:c>
      <x:c r="D2307" t="str">
        <x:v>g59be9166-6a5c-438c-af7b-5d6b5ac0efb3</x:v>
      </x:c>
      <x:c r="E2307" t="str">
        <x:v>gd792d6cb-d0b4-4db7-9418-5c9e208b7382</x:v>
      </x:c>
      <x:c r="F2307" t="str">
        <x:v>https://www.webonary.org/marubo/gd792d6cb-d0b4-4db7-9418-5c9e208b7382/</x:v>
      </x:c>
      <x:c r="G2307" s="20" t="n">
        <x:v>46003.93500945602</x:v>
      </x:c>
    </x:row>
    <x:row r="2308">
      <x:c r="A2308" t="str">
        <x:v>tirar escama</x:v>
      </x:c>
      <x:c r="B2308" t="str">
        <x:v>tsara</x:v>
      </x:c>
      <x:c r="C2308" t="str">
        <x:v>t</x:v>
      </x:c>
      <x:c r="D2308" t="str">
        <x:v>g848ea491-5aff-4888-88fc-aff924e18cde</x:v>
      </x:c>
      <x:c r="E2308" t="str">
        <x:v>g53d9ea9e-6b10-4b13-8a2a-c4f91286bcb1</x:v>
      </x:c>
      <x:c r="F2308" t="str">
        <x:v>https://www.webonary.org/marubo/g53d9ea9e-6b10-4b13-8a2a-c4f91286bcb1/</x:v>
      </x:c>
      <x:c r="G2308" s="20" t="n">
        <x:v>46003.93500945602</x:v>
      </x:c>
    </x:row>
    <x:row r="2309">
      <x:c r="A2309" t="str">
        <x:v>tirar escamas de buriti com os dentes</x:v>
      </x:c>
      <x:c r="B2309" t="str">
        <x:v>tarése aká</x:v>
      </x:c>
      <x:c r="C2309" t="str">
        <x:v>t</x:v>
      </x:c>
      <x:c r="D2309" t="str">
        <x:v>g52a8a611-9951-4693-8cc8-330ea2676f5c</x:v>
      </x:c>
      <x:c r="E2309" t="str">
        <x:v>gf4b831af-c747-40ab-a969-485ecd7ede26</x:v>
      </x:c>
      <x:c r="F2309" t="str">
        <x:v>https://www.webonary.org/marubo/gf4b831af-c747-40ab-a969-485ecd7ede26/</x:v>
      </x:c>
      <x:c r="G2309" s="20" t="n">
        <x:v>46003.93500945602</x:v>
      </x:c>
    </x:row>
    <x:row r="2310">
      <x:c r="A2310" t="str">
        <x:v>tirar folha</x:v>
      </x:c>
      <x:c r="B2310" t="str">
        <x:v>petséa</x:v>
      </x:c>
      <x:c r="C2310" t="str">
        <x:v>t</x:v>
      </x:c>
      <x:c r="D2310" t="str">
        <x:v>gc657adbe-7ea1-48f3-8e08-0a96a204732a</x:v>
      </x:c>
      <x:c r="E2310" t="str">
        <x:v>g67154b4b-a1c3-4fcf-a13a-ca5a83a85e2e</x:v>
      </x:c>
      <x:c r="F2310" t="str">
        <x:v>https://www.webonary.org/marubo/g67154b4b-a1c3-4fcf-a13a-ca5a83a85e2e/</x:v>
      </x:c>
      <x:c r="G2310" s="20" t="n">
        <x:v>46003.93500945602</x:v>
      </x:c>
    </x:row>
    <x:row r="2311">
      <x:c r="A2311" t="str">
        <x:v>tirar o algodão da semente</x:v>
      </x:c>
      <x:c r="B2311" t="str">
        <x:v>shõpea</x:v>
      </x:c>
      <x:c r="C2311" t="str">
        <x:v>t</x:v>
      </x:c>
      <x:c r="D2311" t="str">
        <x:v>gd607f68d-1b6f-4202-b13c-699950dd4233</x:v>
      </x:c>
      <x:c r="E2311" t="str">
        <x:v>gc2855212-13ee-4c3b-8c71-429c63d48617</x:v>
      </x:c>
      <x:c r="F2311" t="str">
        <x:v>https://www.webonary.org/marubo/gc2855212-13ee-4c3b-8c71-429c63d48617/</x:v>
      </x:c>
      <x:c r="G2311" s="20" t="n">
        <x:v>46003.93500945602</x:v>
      </x:c>
    </x:row>
    <x:row r="2312">
      <x:c r="A2312" t="str">
        <x:v>tirar o ombro de animal</x:v>
      </x:c>
      <x:c r="B2312" t="str">
        <x:v>peshtea</x:v>
      </x:c>
      <x:c r="C2312" t="str">
        <x:v>t</x:v>
      </x:c>
      <x:c r="D2312" t="str">
        <x:v>g3e6e95d1-ce39-41e7-a4c0-2214ed690c75</x:v>
      </x:c>
      <x:c r="E2312" t="str">
        <x:v>g7b00f018-ff5e-4816-9409-00843971acb4</x:v>
      </x:c>
      <x:c r="F2312" t="str">
        <x:v>https://www.webonary.org/marubo/g7b00f018-ff5e-4816-9409-00843971acb4/</x:v>
      </x:c>
      <x:c r="G2312" s="20" t="n">
        <x:v>46003.93500945602</x:v>
      </x:c>
    </x:row>
    <x:row r="2313">
      <x:c r="A2313" t="str">
        <x:v>tirar porção ou pedaços</x:v>
      </x:c>
      <x:c r="B2313" t="str">
        <x:v>kashkea</x:v>
      </x:c>
      <x:c r="C2313" t="str">
        <x:v>t</x:v>
      </x:c>
      <x:c r="D2313" t="str">
        <x:v>g23d90513-4528-4bfa-9f21-9d23426105f0</x:v>
      </x:c>
      <x:c r="E2313" t="str">
        <x:v>g511e1883-004b-43e4-9237-31103bedd5ba</x:v>
      </x:c>
      <x:c r="F2313" t="str">
        <x:v>https://www.webonary.org/marubo/g511e1883-004b-43e4-9237-31103bedd5ba/</x:v>
      </x:c>
      <x:c r="G2313" s="20" t="n">
        <x:v>46003.93500945602</x:v>
      </x:c>
    </x:row>
    <x:row r="2314">
      <x:c r="A2314" t="str">
        <x:v>toalha</x:v>
      </x:c>
      <x:c r="B2314" t="str">
        <x:v>raskiti</x:v>
      </x:c>
      <x:c r="C2314" t="str">
        <x:v>t</x:v>
      </x:c>
      <x:c r="D2314" t="str">
        <x:v>g7b835be4-0941-430f-9df5-4b1201c90987</x:v>
      </x:c>
      <x:c r="E2314" t="str">
        <x:v>g773de68d-220d-449f-ae9f-d613cc6ca886</x:v>
      </x:c>
      <x:c r="F2314" t="str">
        <x:v>https://www.webonary.org/marubo/g773de68d-220d-449f-ae9f-d613cc6ca886/</x:v>
      </x:c>
      <x:c r="G2314" s="20" t="n">
        <x:v>46003.93500945602</x:v>
      </x:c>
    </x:row>
    <x:row r="2315">
      <x:c r="A2315" t="str">
        <x:v>tocar</x:v>
      </x:c>
      <x:c r="B2315" t="str">
        <x:v>mee</x:v>
      </x:c>
      <x:c r="C2315" t="str">
        <x:v>t</x:v>
      </x:c>
      <x:c r="D2315" t="str">
        <x:v>g62881806-a458-433f-8d37-2ebb99cae10a</x:v>
      </x:c>
      <x:c r="E2315" t="str">
        <x:v>g7900156e-5685-435c-b65c-8e597ae4824c</x:v>
      </x:c>
      <x:c r="F2315" t="str">
        <x:v>https://www.webonary.org/marubo/g7900156e-5685-435c-b65c-8e597ae4824c/</x:v>
      </x:c>
      <x:c r="G2315" s="20" t="n">
        <x:v>46003.93500945602</x:v>
      </x:c>
    </x:row>
    <x:row r="2316">
      <x:c r="A2316" t="str">
        <x:v>toce</x:v>
      </x:c>
      <x:c r="B2316" t="str">
        <x:v>oko</x:v>
      </x:c>
      <x:c r="C2316" t="str">
        <x:v>t</x:v>
      </x:c>
      <x:c r="D2316" t="str">
        <x:v>g66cb2892-103c-42b0-9ed9-ee75e61e813e</x:v>
      </x:c>
      <x:c r="E2316" t="str">
        <x:v>gd8cc52fc-36f7-433d-8201-1f228aed08dc</x:v>
      </x:c>
      <x:c r="F2316" t="str">
        <x:v>https://www.webonary.org/marubo/gd8cc52fc-36f7-433d-8201-1f228aed08dc/</x:v>
      </x:c>
      <x:c r="G2316" s="20" t="n">
        <x:v>46003.93500945602</x:v>
      </x:c>
    </x:row>
    <x:row r="2317">
      <x:c r="A2317" t="str">
        <x:v>tocer</x:v>
      </x:c>
      <x:c r="B2317" t="str">
        <x:v>oko ikí</x:v>
      </x:c>
      <x:c r="C2317" t="str">
        <x:v>t</x:v>
      </x:c>
      <x:c r="D2317" t="str">
        <x:v>g8c3a0f2b-6627-445d-b6b8-b07639be5c5a</x:v>
      </x:c>
      <x:c r="E2317" t="str">
        <x:v>gb701f969-017e-40a8-8f3f-7abc8217fadc</x:v>
      </x:c>
      <x:c r="F2317" t="str">
        <x:v>https://www.webonary.org/marubo/gb701f969-017e-40a8-8f3f-7abc8217fadc/</x:v>
      </x:c>
      <x:c r="G2317" s="20" t="n">
        <x:v>46003.93500945602</x:v>
      </x:c>
    </x:row>
    <x:row r="2318">
      <x:c r="A2318" t="str">
        <x:v>tocha feito de folhas secas</x:v>
      </x:c>
      <x:c r="B2318" t="str">
        <x:v>pisí</x:v>
      </x:c>
      <x:c r="C2318" t="str">
        <x:v>t</x:v>
      </x:c>
      <x:c r="D2318" t="str">
        <x:v>g57281c60-3226-48f7-a73c-01b81423ddf5</x:v>
      </x:c>
      <x:c r="E2318" t="str">
        <x:v>gea8be87a-aa81-4f61-bb8d-25ef775528a3</x:v>
      </x:c>
      <x:c r="F2318" t="str">
        <x:v>https://www.webonary.org/marubo/gea8be87a-aa81-4f61-bb8d-25ef775528a3/</x:v>
      </x:c>
      <x:c r="G2318" s="20" t="n">
        <x:v>46003.93500945602</x:v>
      </x:c>
    </x:row>
    <x:row r="2319">
      <x:c r="A2319" t="str">
        <x:v>tocha para breu</x:v>
      </x:c>
      <x:c r="B2319" t="str">
        <x:v>amo kawa</x:v>
      </x:c>
      <x:c r="C2319" t="str">
        <x:v>t</x:v>
      </x:c>
      <x:c r="D2319" t="str">
        <x:v>gd0e6b6cc-36bd-4064-bc3d-9a80e1012866</x:v>
      </x:c>
      <x:c r="E2319" t="str">
        <x:v>g817d1c1d-209a-4c1f-8d05-03699ae2afd7</x:v>
      </x:c>
      <x:c r="F2319" t="str">
        <x:v>https://www.webonary.org/marubo/g817d1c1d-209a-4c1f-8d05-03699ae2afd7/</x:v>
      </x:c>
      <x:c r="G2319" s="20" t="n">
        <x:v>46003.93500945602</x:v>
      </x:c>
    </x:row>
    <x:row r="2320">
      <x:c r="A2320" t="str">
        <x:v>toco</x:v>
      </x:c>
      <x:c r="B2320" t="str">
        <x:v>tapã</x:v>
      </x:c>
      <x:c r="C2320" t="str">
        <x:v>t</x:v>
      </x:c>
      <x:c r="D2320" t="str">
        <x:v>ga1b48f1d-83a6-4e1d-8a83-19910800c58f</x:v>
      </x:c>
      <x:c r="E2320" t="str">
        <x:v>g9d26c257-b960-4f42-8ef5-747fb289f8f8</x:v>
      </x:c>
      <x:c r="F2320" t="str">
        <x:v>https://www.webonary.org/marubo/g9d26c257-b960-4f42-8ef5-747fb289f8f8/</x:v>
      </x:c>
      <x:c r="G2320" s="20" t="n">
        <x:v>46003.93500945602</x:v>
      </x:c>
    </x:row>
    <x:row r="2321">
      <x:c r="A2321" t="str">
        <x:v>toco</x:v>
      </x:c>
      <x:c r="B2321" t="str">
        <x:v>voró</x:v>
      </x:c>
      <x:c r="C2321" t="str">
        <x:v>t</x:v>
      </x:c>
      <x:c r="D2321" t="str">
        <x:v>ga1b48f1d-83a6-4e1d-8a83-19910800c58f</x:v>
      </x:c>
      <x:c r="E2321" t="str">
        <x:v>g6dae435d-d4f1-4c9b-abe1-705594a39d2e</x:v>
      </x:c>
      <x:c r="F2321" t="str">
        <x:v>https://www.webonary.org/marubo/g6dae435d-d4f1-4c9b-abe1-705594a39d2e/</x:v>
      </x:c>
      <x:c r="G2321" s="20" t="n">
        <x:v>46003.93500945602</x:v>
      </x:c>
    </x:row>
    <x:row r="2322">
      <x:c r="A2322" t="str">
        <x:v>toco mítico na história dos Marubos</x:v>
      </x:c>
      <x:c r="B2322" t="str">
        <x:v>kapé tapã</x:v>
      </x:c>
      <x:c r="C2322" t="str">
        <x:v>t</x:v>
      </x:c>
      <x:c r="D2322" t="str">
        <x:v>g06f8df61-480a-40dc-9f02-5c5a83e04c2c</x:v>
      </x:c>
      <x:c r="E2322" t="str">
        <x:v>gc7e192d4-af31-4487-acb2-2ad6f964fef2</x:v>
      </x:c>
      <x:c r="F2322" t="str">
        <x:v>https://www.webonary.org/marubo/gc7e192d4-af31-4487-acb2-2ad6f964fef2/</x:v>
      </x:c>
      <x:c r="G2322" s="20" t="n">
        <x:v>46003.93500945602</x:v>
      </x:c>
    </x:row>
    <x:row r="2323">
      <x:c r="A2323" t="str">
        <x:v>tom de voz</x:v>
      </x:c>
      <x:c r="B2323" t="str">
        <x:v>oi</x:v>
      </x:c>
      <x:c r="C2323" t="str">
        <x:v>t</x:v>
      </x:c>
      <x:c r="D2323" t="str">
        <x:v>g3571514e-14fb-4d16-a4c1-39b6c5ff36f9</x:v>
      </x:c>
      <x:c r="E2323" t="str">
        <x:v>g06d3fb35-bfbc-45b8-ae13-814db53e9f02</x:v>
      </x:c>
      <x:c r="F2323" t="str">
        <x:v>https://www.webonary.org/marubo/g06d3fb35-bfbc-45b8-ae13-814db53e9f02/</x:v>
      </x:c>
      <x:c r="G2323" s="20" t="n">
        <x:v>46003.93500945602</x:v>
      </x:c>
    </x:row>
    <x:row r="2324">
      <x:c r="A2324" t="str">
        <x:v>tomar</x:v>
      </x:c>
      <x:c r="B2324" t="str">
        <x:v>aká</x:v>
      </x:c>
      <x:c r="C2324" t="str">
        <x:v>t</x:v>
      </x:c>
      <x:c r="D2324" t="str">
        <x:v>g3c13ddf1-046a-44c8-a249-26d3c0de03ff</x:v>
      </x:c>
      <x:c r="E2324" t="str">
        <x:v>g7a914280-a7fa-4014-ae32-59b4321cc34b</x:v>
      </x:c>
      <x:c r="F2324" t="str">
        <x:v>https://www.webonary.org/marubo/g7a914280-a7fa-4014-ae32-59b4321cc34b/</x:v>
      </x:c>
      <x:c r="G2324" s="20" t="n">
        <x:v>46003.93500945602</x:v>
      </x:c>
    </x:row>
    <x:row r="2325">
      <x:c r="A2325" t="str">
        <x:v>tomar</x:v>
      </x:c>
      <x:c r="B2325" t="str">
        <x:v>1</x:v>
      </x:c>
      <x:c r="C2325" t="str">
        <x:v>t</x:v>
      </x:c>
      <x:c r="D2325" t="str">
        <x:v>g3c13ddf1-046a-44c8-a249-26d3c0de03ff</x:v>
      </x:c>
      <x:c r="E2325" t="str">
        <x:v>g7a914280-a7fa-4014-ae32-59b4321cc34b</x:v>
      </x:c>
      <x:c r="F2325" t="str">
        <x:v>https://www.webonary.org/marubo/g7a914280-a7fa-4014-ae32-59b4321cc34b/</x:v>
      </x:c>
      <x:c r="G2325" s="20" t="n">
        <x:v>46003.93500945602</x:v>
      </x:c>
    </x:row>
    <x:row r="2326">
      <x:c r="A2326" t="str">
        <x:v>tomar banho</x:v>
      </x:c>
      <x:c r="B2326" t="str">
        <x:v>nachia</x:v>
      </x:c>
      <x:c r="C2326" t="str">
        <x:v>t</x:v>
      </x:c>
      <x:c r="D2326" t="str">
        <x:v>g67d0953c-40b9-4c6c-bb02-9cb022af46b6</x:v>
      </x:c>
      <x:c r="E2326" t="str">
        <x:v>g800c576f-71b8-4dd5-86cd-6a1cad1457d5</x:v>
      </x:c>
      <x:c r="F2326" t="str">
        <x:v>https://www.webonary.org/marubo/g800c576f-71b8-4dd5-86cd-6a1cad1457d5/</x:v>
      </x:c>
      <x:c r="G2326" s="20" t="n">
        <x:v>46003.93500945602</x:v>
      </x:c>
    </x:row>
    <x:row r="2327">
      <x:c r="A2327" t="str">
        <x:v>tomou</x:v>
      </x:c>
      <x:c r="B2327" t="str">
        <x:v>mĩ aka</x:v>
      </x:c>
      <x:c r="C2327" t="str">
        <x:v>t</x:v>
      </x:c>
      <x:c r="D2327" t="str">
        <x:v>g9d507501-917f-4be9-b8e2-398deb7c815a</x:v>
      </x:c>
      <x:c r="E2327" t="str">
        <x:v>g6ac75dd4-b0c4-47f1-bc22-df7e701f46d6</x:v>
      </x:c>
      <x:c r="F2327" t="str">
        <x:v>https://www.webonary.org/marubo/g6ac75dd4-b0c4-47f1-bc22-df7e701f46d6/</x:v>
      </x:c>
      <x:c r="G2327" s="20" t="n">
        <x:v>46003.93500945602</x:v>
      </x:c>
    </x:row>
    <x:row r="2328">
      <x:c r="A2328" t="str">
        <x:v>TOP</x:v>
      </x:c>
      <x:c r="B2328" t="str">
        <x:v>nã</x:v>
      </x:c>
      <x:c r="C2328" t="str">
        <x:v>t</x:v>
      </x:c>
      <x:c r="D2328" t="str">
        <x:v>gd3e21fbf-2742-43ff-9ec2-228ae53d8b37</x:v>
      </x:c>
      <x:c r="E2328" t="str">
        <x:v>gcc148e5c-805e-46de-9ed6-50ead9ffbe42</x:v>
      </x:c>
      <x:c r="F2328" t="str">
        <x:v>https://www.webonary.org/marubo/gcc148e5c-805e-46de-9ed6-50ead9ffbe42/</x:v>
      </x:c>
      <x:c r="G2328" s="20" t="n">
        <x:v>46003.93500945602</x:v>
      </x:c>
    </x:row>
    <x:row r="2329">
      <x:c r="A2329" t="str">
        <x:v>topo da cabeça</x:v>
      </x:c>
      <x:c r="B2329" t="str">
        <x:v>matxokti</x:v>
      </x:c>
      <x:c r="C2329" t="str">
        <x:v>t</x:v>
      </x:c>
      <x:c r="D2329" t="str">
        <x:v>gffdf2a3b-b63b-4937-8733-9ae543b004fe</x:v>
      </x:c>
      <x:c r="E2329" t="str">
        <x:v>g562d5150-1bc7-4b5b-ba19-6e9f14618346</x:v>
      </x:c>
      <x:c r="F2329" t="str">
        <x:v>https://www.webonary.org/marubo/g562d5150-1bc7-4b5b-ba19-6e9f14618346/</x:v>
      </x:c>
      <x:c r="G2329" s="20" t="n">
        <x:v>46003.93500945602</x:v>
      </x:c>
    </x:row>
    <x:row r="2330">
      <x:c r="A2330" t="str">
        <x:v>torcer</x:v>
      </x:c>
      <x:c r="B2330" t="str">
        <x:v>omĩa</x:v>
      </x:c>
      <x:c r="C2330" t="str">
        <x:v>t</x:v>
      </x:c>
      <x:c r="D2330" t="str">
        <x:v>g9e9e5bd2-7c55-42ac-89f8-cc5c215df6bd</x:v>
      </x:c>
      <x:c r="E2330" t="str">
        <x:v>g2d359bad-c2a6-4a0b-a004-4655a8887495</x:v>
      </x:c>
      <x:c r="F2330" t="str">
        <x:v>https://www.webonary.org/marubo/g2d359bad-c2a6-4a0b-a004-4655a8887495/</x:v>
      </x:c>
      <x:c r="G2330" s="20" t="n">
        <x:v>46003.93500945602</x:v>
      </x:c>
    </x:row>
    <x:row r="2331">
      <x:c r="A2331" t="str">
        <x:v>torcha</x:v>
      </x:c>
      <x:c r="B2331" t="str">
        <x:v>tashkã</x:v>
      </x:c>
      <x:c r="C2331" t="str">
        <x:v>t</x:v>
      </x:c>
      <x:c r="D2331" t="str">
        <x:v>g123d84d0-af4b-4d58-b5ec-77fde37b8b25</x:v>
      </x:c>
      <x:c r="E2331" t="str">
        <x:v>g956f8f31-0257-480e-a67b-31f2826286f3</x:v>
      </x:c>
      <x:c r="F2331" t="str">
        <x:v>https://www.webonary.org/marubo/g956f8f31-0257-480e-a67b-31f2826286f3/</x:v>
      </x:c>
      <x:c r="G2331" s="20" t="n">
        <x:v>46003.93500945602</x:v>
      </x:c>
    </x:row>
    <x:row r="2332">
      <x:c r="A2332" t="str">
        <x:v>tornozelo</x:v>
      </x:c>
      <x:c r="B2332" t="str">
        <x:v>tapóshe</x:v>
      </x:c>
      <x:c r="C2332" t="str">
        <x:v>t</x:v>
      </x:c>
      <x:c r="D2332" t="str">
        <x:v>g84b1e23f-969c-4b81-9fdf-76724de8e931</x:v>
      </x:c>
      <x:c r="E2332" t="str">
        <x:v>gbd99662c-5fdf-4574-b402-785f6096ba46</x:v>
      </x:c>
      <x:c r="F2332" t="str">
        <x:v>https://www.webonary.org/marubo/gbd99662c-5fdf-4574-b402-785f6096ba46/</x:v>
      </x:c>
      <x:c r="G2332" s="20" t="n">
        <x:v>46003.93500945602</x:v>
      </x:c>
    </x:row>
    <x:row r="2333">
      <x:c r="A2333" t="str">
        <x:v>torrar</x:v>
      </x:c>
      <x:c r="B2333" t="str">
        <x:v>tovã</x:v>
      </x:c>
      <x:c r="C2333" t="str">
        <x:v>t</x:v>
      </x:c>
      <x:c r="D2333" t="str">
        <x:v>gac439353-918a-4803-9d69-09a4756f5bf3</x:v>
      </x:c>
      <x:c r="E2333" t="str">
        <x:v>gf724f1b0-c8b2-4f9b-ae35-8b64ea9b78e9</x:v>
      </x:c>
      <x:c r="F2333" t="str">
        <x:v>https://www.webonary.org/marubo/gf724f1b0-c8b2-4f9b-ae35-8b64ea9b78e9/</x:v>
      </x:c>
      <x:c r="G2333" s="20" t="n">
        <x:v>46003.93500945602</x:v>
      </x:c>
    </x:row>
    <x:row r="2334">
      <x:c r="A2334" t="str">
        <x:v>torrar (milho)</x:v>
      </x:c>
      <x:c r="B2334" t="str">
        <x:v>paich ikí</x:v>
      </x:c>
      <x:c r="C2334" t="str">
        <x:v>t</x:v>
      </x:c>
      <x:c r="D2334" t="str">
        <x:v>gd8515700-79f4-47b8-98d0-c5a7e6522e51</x:v>
      </x:c>
      <x:c r="E2334" t="str">
        <x:v>g6ed85e9b-3164-420f-b2bc-cf3ef9fc9f24</x:v>
      </x:c>
      <x:c r="F2334" t="str">
        <x:v>https://www.webonary.org/marubo/g6ed85e9b-3164-420f-b2bc-cf3ef9fc9f24/</x:v>
      </x:c>
      <x:c r="G2334" s="20" t="n">
        <x:v>46003.93500945602</x:v>
      </x:c>
    </x:row>
    <x:row r="2335">
      <x:c r="A2335" t="str">
        <x:v>torto</x:v>
      </x:c>
      <x:c r="B2335" t="str">
        <x:v>rõkeka</x:v>
      </x:c>
      <x:c r="C2335" t="str">
        <x:v>t</x:v>
      </x:c>
      <x:c r="D2335" t="str">
        <x:v>g79a8e389-3bd8-4b57-aece-5f319948a616</x:v>
      </x:c>
      <x:c r="E2335" t="str">
        <x:v>g1f1d4058-57ba-4201-bd89-cd7d35c4be44</x:v>
      </x:c>
      <x:c r="F2335" t="str">
        <x:v>https://www.webonary.org/marubo/g1f1d4058-57ba-4201-bd89-cd7d35c4be44/</x:v>
      </x:c>
      <x:c r="G2335" s="20" t="n">
        <x:v>46003.93500945602</x:v>
      </x:c>
    </x:row>
    <x:row r="2336">
      <x:c r="A2336" t="str">
        <x:v>torto</x:v>
      </x:c>
      <x:c r="B2336" t="str">
        <x:v>omĩka</x:v>
      </x:c>
      <x:c r="C2336" t="str">
        <x:v>t</x:v>
      </x:c>
      <x:c r="D2336" t="str">
        <x:v>g79a8e389-3bd8-4b57-aece-5f319948a616</x:v>
      </x:c>
      <x:c r="E2336" t="str">
        <x:v>gb8b1943d-5e75-485c-acac-260d508fd9a8</x:v>
      </x:c>
      <x:c r="F2336" t="str">
        <x:v>https://www.webonary.org/marubo/gb8b1943d-5e75-485c-acac-260d508fd9a8/</x:v>
      </x:c>
      <x:c r="G2336" s="20" t="n">
        <x:v>46003.93500945602</x:v>
      </x:c>
    </x:row>
    <x:row r="2337">
      <x:c r="A2337" t="str">
        <x:v>trabalhar</x:v>
      </x:c>
      <x:c r="B2337" t="str">
        <x:v>mee iki</x:v>
      </x:c>
      <x:c r="C2337" t="str">
        <x:v>t</x:v>
      </x:c>
      <x:c r="D2337" t="str">
        <x:v>gc7f3dbbf-bb20-4c09-8a98-e5fb965e4f6d</x:v>
      </x:c>
      <x:c r="E2337" t="str">
        <x:v>gd11fff36-e81a-4654-bd66-fa11b669460f</x:v>
      </x:c>
      <x:c r="F2337" t="str">
        <x:v>https://www.webonary.org/marubo/gd11fff36-e81a-4654-bd66-fa11b669460f/</x:v>
      </x:c>
      <x:c r="G2337" s="20" t="n">
        <x:v>46003.93500945602</x:v>
      </x:c>
    </x:row>
    <x:row r="2338">
      <x:c r="A2338" t="str">
        <x:v>tracajá</x:v>
      </x:c>
      <x:c r="B2338" t="str">
        <x:v>tãko</x:v>
      </x:c>
      <x:c r="C2338" t="str">
        <x:v>t</x:v>
      </x:c>
      <x:c r="D2338" t="str">
        <x:v>gf0948fe4-208d-4982-8be8-d2468de6960d</x:v>
      </x:c>
      <x:c r="E2338" t="str">
        <x:v>g137c7604-f20a-4eb2-a935-ebb5004cd3ef</x:v>
      </x:c>
      <x:c r="F2338" t="str">
        <x:v>https://www.webonary.org/marubo/g137c7604-f20a-4eb2-a935-ebb5004cd3ef/</x:v>
      </x:c>
      <x:c r="G2338" s="20" t="n">
        <x:v>46003.93500945602</x:v>
      </x:c>
    </x:row>
    <x:row r="2339">
      <x:c r="A2339" t="str">
        <x:v>traíra</x:v>
      </x:c>
      <x:c r="B2339" t="str">
        <x:v>tsismã</x:v>
      </x:c>
      <x:c r="C2339" t="str">
        <x:v>t</x:v>
      </x:c>
      <x:c r="D2339" t="str">
        <x:v>g416b90d4-0678-4462-97c4-d9d6450ca111</x:v>
      </x:c>
      <x:c r="E2339" t="str">
        <x:v>gd8a4a9e5-ebdd-4753-88c1-a2db08706aba</x:v>
      </x:c>
      <x:c r="F2339" t="str">
        <x:v>https://www.webonary.org/marubo/gd8a4a9e5-ebdd-4753-88c1-a2db08706aba/</x:v>
      </x:c>
      <x:c r="G2339" s="20" t="n">
        <x:v>46003.93500945602</x:v>
      </x:c>
    </x:row>
    <x:row r="2340">
      <x:c r="A2340" t="str">
        <x:v>trancar</x:v>
      </x:c>
      <x:c r="B2340" t="str">
        <x:v>kepoa</x:v>
      </x:c>
      <x:c r="C2340" t="str">
        <x:v>t</x:v>
      </x:c>
      <x:c r="D2340" t="str">
        <x:v>gdcf35223-2e22-45c2-9470-9ed214639c77</x:v>
      </x:c>
      <x:c r="E2340" t="str">
        <x:v>gc5cc3359-e095-4584-95f9-d289015bc6bf</x:v>
      </x:c>
      <x:c r="F2340" t="str">
        <x:v>https://www.webonary.org/marubo/gc5cc3359-e095-4584-95f9-d289015bc6bf/</x:v>
      </x:c>
      <x:c r="G2340" s="20" t="n">
        <x:v>46003.93500945602</x:v>
      </x:c>
    </x:row>
    <x:row r="2341">
      <x:c r="A2341" t="str">
        <x:v>transferir</x:v>
      </x:c>
      <x:c r="B2341" t="str">
        <x:v>teki aká</x:v>
      </x:c>
      <x:c r="C2341" t="str">
        <x:v>t</x:v>
      </x:c>
      <x:c r="D2341" t="str">
        <x:v>g68b3352a-d406-4289-bc13-319b0d643841</x:v>
      </x:c>
      <x:c r="E2341" t="str">
        <x:v>geddc987c-9bb5-43d7-b19b-9aeef5a82cc6</x:v>
      </x:c>
      <x:c r="F2341" t="str">
        <x:v>https://www.webonary.org/marubo/geddc987c-9bb5-43d7-b19b-9aeef5a82cc6/</x:v>
      </x:c>
      <x:c r="G2341" s="20" t="n">
        <x:v>46003.93500945602</x:v>
      </x:c>
    </x:row>
    <x:row r="2342">
      <x:c r="A2342" t="str">
        <x:v>traseira</x:v>
      </x:c>
      <x:c r="B2342" t="str">
        <x:v>txĩtó</x:v>
      </x:c>
      <x:c r="C2342" t="str">
        <x:v>t</x:v>
      </x:c>
      <x:c r="D2342" t="str">
        <x:v>g09ff010d-86f6-4cce-bd3b-f2183bbd451e</x:v>
      </x:c>
      <x:c r="E2342" t="str">
        <x:v>gd09a55fb-56f5-4427-a8b8-701f1a43f0c4</x:v>
      </x:c>
      <x:c r="F2342" t="str">
        <x:v>https://www.webonary.org/marubo/gd09a55fb-56f5-4427-a8b8-701f1a43f0c4/</x:v>
      </x:c>
      <x:c r="G2342" s="20" t="n">
        <x:v>46003.93500945602</x:v>
      </x:c>
    </x:row>
    <x:row r="2343">
      <x:c r="A2343" t="str">
        <x:v>tratar animal</x:v>
      </x:c>
      <x:c r="B2343" t="str">
        <x:v>potea</x:v>
      </x:c>
      <x:c r="C2343" t="str">
        <x:v>t</x:v>
      </x:c>
      <x:c r="D2343" t="str">
        <x:v>ge1834715-41c4-4287-b2b7-64f416f2eb26</x:v>
      </x:c>
      <x:c r="E2343" t="str">
        <x:v>ge29f4b57-fe8f-4e94-95db-95dcbc5f0ce0</x:v>
      </x:c>
      <x:c r="F2343" t="str">
        <x:v>https://www.webonary.org/marubo/ge29f4b57-fe8f-4e94-95db-95dcbc5f0ce0/</x:v>
      </x:c>
      <x:c r="G2343" s="20" t="n">
        <x:v>46003.93500945602</x:v>
      </x:c>
    </x:row>
    <x:row r="2344">
      <x:c r="A2344" t="str">
        <x:v>traveseiro</x:v>
      </x:c>
      <x:c r="B2344" t="str">
        <x:v>anõ vosokiti</x:v>
      </x:c>
      <x:c r="C2344" t="str">
        <x:v>t</x:v>
      </x:c>
      <x:c r="D2344" t="str">
        <x:v>gb5ef3bfc-fa23-4cd2-b812-9d5b21e07e7a</x:v>
      </x:c>
      <x:c r="E2344" t="str">
        <x:v>g8b697b30-1950-4f78-b9e4-e3ac6027b334</x:v>
      </x:c>
      <x:c r="F2344" t="str">
        <x:v>https://www.webonary.org/marubo/g8b697b30-1950-4f78-b9e4-e3ac6027b334/</x:v>
      </x:c>
      <x:c r="G2344" s="20" t="n">
        <x:v>46003.93500945602</x:v>
      </x:c>
    </x:row>
    <x:row r="2345">
      <x:c r="A2345" t="str">
        <x:v>travessão</x:v>
      </x:c>
      <x:c r="B2345" t="str">
        <x:v>vosekiti</x:v>
      </x:c>
      <x:c r="C2345" t="str">
        <x:v>t</x:v>
      </x:c>
      <x:c r="D2345" t="str">
        <x:v>gb15936cd-dc65-4d9a-acdc-5bf6515c7ac7</x:v>
      </x:c>
      <x:c r="E2345" t="str">
        <x:v>g029c2a38-057b-4a10-a1aa-4839a3d682ed</x:v>
      </x:c>
      <x:c r="F2345" t="str">
        <x:v>https://www.webonary.org/marubo/g029c2a38-057b-4a10-a1aa-4839a3d682ed/</x:v>
      </x:c>
      <x:c r="G2345" s="20" t="n">
        <x:v>46003.93500945602</x:v>
      </x:c>
    </x:row>
    <x:row r="2346">
      <x:c r="A2346" t="str">
        <x:v>travesseiro</x:v>
      </x:c>
      <x:c r="B2346" t="str">
        <x:v>kama vesokiti</x:v>
      </x:c>
      <x:c r="C2346" t="str">
        <x:v>t</x:v>
      </x:c>
      <x:c r="D2346" t="str">
        <x:v>g9767a632-5e06-4ec1-8806-96116366408b</x:v>
      </x:c>
      <x:c r="E2346" t="str">
        <x:v>g4eaf4f1d-6ceb-46d1-b834-5bf16b2ffc0d</x:v>
      </x:c>
      <x:c r="F2346" t="str">
        <x:v>https://www.webonary.org/marubo/g4eaf4f1d-6ceb-46d1-b834-5bf16b2ffc0d/</x:v>
      </x:c>
      <x:c r="G2346" s="20" t="n">
        <x:v>46003.93500945602</x:v>
      </x:c>
    </x:row>
    <x:row r="2347">
      <x:c r="A2347" t="str">
        <x:v>trazeiro</x:v>
      </x:c>
      <x:c r="B2347" t="str">
        <x:v>txesho</x:v>
      </x:c>
      <x:c r="C2347" t="str">
        <x:v>t</x:v>
      </x:c>
      <x:c r="D2347" t="str">
        <x:v>g9ceb42ea-fd7a-41bd-8e97-b88b69d9c43d</x:v>
      </x:c>
      <x:c r="E2347" t="str">
        <x:v>g249e7a66-80a6-478f-b478-90b847b13f53</x:v>
      </x:c>
      <x:c r="F2347" t="str">
        <x:v>https://www.webonary.org/marubo/g249e7a66-80a6-478f-b478-90b847b13f53/</x:v>
      </x:c>
      <x:c r="G2347" s="20" t="n">
        <x:v>46003.93500945602</x:v>
      </x:c>
    </x:row>
    <x:row r="2348">
      <x:c r="A2348" t="str">
        <x:v>trazer</x:v>
      </x:c>
      <x:c r="B2348" t="str">
        <x:v>ninia</x:v>
      </x:c>
      <x:c r="C2348" t="str">
        <x:v>t</x:v>
      </x:c>
      <x:c r="D2348" t="str">
        <x:v>gc0c0a6e4-575c-4699-a420-dc5c8035fb76</x:v>
      </x:c>
      <x:c r="E2348" t="str">
        <x:v>g848b5820-c91b-4e96-8757-33ca68f14c22</x:v>
      </x:c>
      <x:c r="F2348" t="str">
        <x:v>https://www.webonary.org/marubo/g848b5820-c91b-4e96-8757-33ca68f14c22/</x:v>
      </x:c>
      <x:c r="G2348" s="20" t="n">
        <x:v>46003.93500945602</x:v>
      </x:c>
    </x:row>
    <x:row r="2349">
      <x:c r="A2349" t="str">
        <x:v>trecho reto do rio</x:v>
      </x:c>
      <x:c r="B2349" t="str">
        <x:v>waka naistika</x:v>
      </x:c>
      <x:c r="C2349" t="str">
        <x:v>t</x:v>
      </x:c>
      <x:c r="D2349" t="str">
        <x:v>ge6decbd8-0ecc-44e9-9791-b88e14696ed6</x:v>
      </x:c>
      <x:c r="E2349" t="str">
        <x:v>g7615123f-a07d-45b8-9ad0-b9e93fd82504</x:v>
      </x:c>
      <x:c r="F2349" t="str">
        <x:v>https://www.webonary.org/marubo/g7615123f-a07d-45b8-9ad0-b9e93fd82504/</x:v>
      </x:c>
      <x:c r="G2349" s="20" t="n">
        <x:v>46003.93500945602</x:v>
      </x:c>
    </x:row>
    <x:row r="2350">
      <x:c r="A2350" t="str">
        <x:v>trepadeira</x:v>
      </x:c>
      <x:c r="B2350" t="str">
        <x:v>kawé</x:v>
      </x:c>
      <x:c r="C2350" t="str">
        <x:v>t</x:v>
      </x:c>
      <x:c r="D2350" t="str">
        <x:v>g48e1786c-afce-4429-b042-3ca54c5f575d</x:v>
      </x:c>
      <x:c r="E2350" t="str">
        <x:v>g1fcf4210-03e7-4899-b478-b2619988090e</x:v>
      </x:c>
      <x:c r="F2350" t="str">
        <x:v>https://www.webonary.org/marubo/g1fcf4210-03e7-4899-b478-b2619988090e/</x:v>
      </x:c>
      <x:c r="G2350" s="20" t="n">
        <x:v>46003.93500945602</x:v>
      </x:c>
    </x:row>
    <x:row r="2351">
      <x:c r="A2351" t="str">
        <x:v>triscar</x:v>
      </x:c>
      <x:c r="B2351" t="str">
        <x:v>viõ ikí</x:v>
      </x:c>
      <x:c r="C2351" t="str">
        <x:v>t</x:v>
      </x:c>
      <x:c r="D2351" t="str">
        <x:v>gb92b2a90-51dd-48f7-9190-40aa5abd591d</x:v>
      </x:c>
      <x:c r="E2351" t="str">
        <x:v>g405c3ee6-e405-458a-bd1e-c41469c18ed7</x:v>
      </x:c>
      <x:c r="F2351" t="str">
        <x:v>https://www.webonary.org/marubo/g405c3ee6-e405-458a-bd1e-c41469c18ed7/</x:v>
      </x:c>
      <x:c r="G2351" s="20" t="n">
        <x:v>46003.93500945602</x:v>
      </x:c>
    </x:row>
    <x:row r="2352">
      <x:c r="A2352" t="str">
        <x:v>triste</x:v>
      </x:c>
      <x:c r="B2352" t="str">
        <x:v>oníska</x:v>
      </x:c>
      <x:c r="C2352" t="str">
        <x:v>t</x:v>
      </x:c>
      <x:c r="D2352" t="str">
        <x:v>g194b2856-f629-44a4-8630-4c3f2201fd41</x:v>
      </x:c>
      <x:c r="E2352" t="str">
        <x:v>gc22349c3-2816-4392-8fca-58a2d6fa89dc</x:v>
      </x:c>
      <x:c r="F2352" t="str">
        <x:v>https://www.webonary.org/marubo/gc22349c3-2816-4392-8fca-58a2d6fa89dc/</x:v>
      </x:c>
      <x:c r="G2352" s="20" t="n">
        <x:v>46003.93500945602</x:v>
      </x:c>
    </x:row>
    <x:row r="2353">
      <x:c r="A2353" t="str">
        <x:v>trocano</x:v>
      </x:c>
      <x:c r="B2353" t="str">
        <x:v>ako</x:v>
      </x:c>
      <x:c r="C2353" t="str">
        <x:v>t</x:v>
      </x:c>
      <x:c r="D2353" t="str">
        <x:v>g679acd51-d020-4eba-8425-2a0dfbe22e46</x:v>
      </x:c>
      <x:c r="E2353" t="str">
        <x:v>g6eb1b623-d2a4-48fd-b5d7-5a99cae6d6f5</x:v>
      </x:c>
      <x:c r="F2353" t="str">
        <x:v>https://www.webonary.org/marubo/g6eb1b623-d2a4-48fd-b5d7-5a99cae6d6f5/</x:v>
      </x:c>
      <x:c r="G2353" s="20" t="n">
        <x:v>46003.93500945602</x:v>
      </x:c>
    </x:row>
    <x:row r="2354">
      <x:c r="A2354" t="str">
        <x:v>trocar</x:v>
      </x:c>
      <x:c r="B2354" t="str">
        <x:v>katoa</x:v>
      </x:c>
      <x:c r="C2354" t="str">
        <x:v>t</x:v>
      </x:c>
      <x:c r="D2354" t="str">
        <x:v>g744f0126-3d96-425a-9a01-8f632cf90ec7</x:v>
      </x:c>
      <x:c r="E2354" t="str">
        <x:v>g054a35d0-4f8c-423f-b4b5-75e8316c5c70</x:v>
      </x:c>
      <x:c r="F2354" t="str">
        <x:v>https://www.webonary.org/marubo/g054a35d0-4f8c-423f-b4b5-75e8316c5c70/</x:v>
      </x:c>
      <x:c r="G2354" s="20" t="n">
        <x:v>46003.93500945602</x:v>
      </x:c>
    </x:row>
    <x:row r="2355">
      <x:c r="A2355" t="str">
        <x:v>tromba</x:v>
      </x:c>
      <x:c r="B2355" t="str">
        <x:v>retxoke</x:v>
      </x:c>
      <x:c r="C2355" t="str">
        <x:v>t</x:v>
      </x:c>
      <x:c r="D2355" t="str">
        <x:v>g14070dbb-3857-46d9-b821-91f5fa248330</x:v>
      </x:c>
      <x:c r="E2355" t="str">
        <x:v>gd6fd80d8-7629-46a4-a0d7-13c533bfc4ec</x:v>
      </x:c>
      <x:c r="F2355" t="str">
        <x:v>https://www.webonary.org/marubo/gd6fd80d8-7629-46a4-a0d7-13c533bfc4ec/</x:v>
      </x:c>
      <x:c r="G2355" s="20" t="n">
        <x:v>46003.93500945602</x:v>
      </x:c>
    </x:row>
    <x:row r="2356">
      <x:c r="A2356" t="str">
        <x:v>tronco</x:v>
      </x:c>
      <x:c r="B2356" t="str">
        <x:v>kaya</x:v>
      </x:c>
      <x:c r="C2356" t="str">
        <x:v>t</x:v>
      </x:c>
      <x:c r="D2356" t="str">
        <x:v>g1f418c6b-b57b-468e-a94d-d005f8573b2e</x:v>
      </x:c>
      <x:c r="E2356" t="str">
        <x:v>ga27346be-b8b3-46e0-87e1-d17aae4c88b3</x:v>
      </x:c>
      <x:c r="F2356" t="str">
        <x:v>https://www.webonary.org/marubo/ga27346be-b8b3-46e0-87e1-d17aae4c88b3/</x:v>
      </x:c>
      <x:c r="G2356" s="20" t="n">
        <x:v>46003.93500945602</x:v>
      </x:c>
    </x:row>
    <x:row r="2357">
      <x:c r="A2357" t="str">
        <x:v>tucandeira</x:v>
      </x:c>
      <x:c r="B2357" t="str">
        <x:v>vona</x:v>
      </x:c>
      <x:c r="C2357" t="str">
        <x:v>t</x:v>
      </x:c>
      <x:c r="D2357" t="str">
        <x:v>ga6177aec-1a77-468f-b064-ab5bff9a56c3</x:v>
      </x:c>
      <x:c r="E2357" t="str">
        <x:v>gc0748ca9-487b-425c-882d-574158a18e8d</x:v>
      </x:c>
      <x:c r="F2357" t="str">
        <x:v>https://www.webonary.org/marubo/gc0748ca9-487b-425c-882d-574158a18e8d/</x:v>
      </x:c>
      <x:c r="G2357" s="20" t="n">
        <x:v>46003.93500945602</x:v>
      </x:c>
    </x:row>
    <x:row r="2358">
      <x:c r="A2358" t="str">
        <x:v>tucano</x:v>
      </x:c>
      <x:c r="B2358" t="str">
        <x:v>shoke</x:v>
      </x:c>
      <x:c r="C2358" t="str">
        <x:v>t</x:v>
      </x:c>
      <x:c r="D2358" t="str">
        <x:v>g789c05c9-ea3e-4bcb-9e65-65be56d70509</x:v>
      </x:c>
      <x:c r="E2358" t="str">
        <x:v>gf9c0f32a-edad-476e-b0b8-834853c75122</x:v>
      </x:c>
      <x:c r="F2358" t="str">
        <x:v>https://www.webonary.org/marubo/gf9c0f32a-edad-476e-b0b8-834853c75122/</x:v>
      </x:c>
      <x:c r="G2358" s="20" t="n">
        <x:v>46003.93502480324</x:v>
      </x:c>
    </x:row>
    <x:row r="2359">
      <x:c r="A2359" t="str">
        <x:v>tucano</x:v>
      </x:c>
      <x:c r="B2359" t="str">
        <x:v>1</x:v>
      </x:c>
      <x:c r="C2359" t="str">
        <x:v>t</x:v>
      </x:c>
      <x:c r="D2359" t="str">
        <x:v>g789c05c9-ea3e-4bcb-9e65-65be56d70509</x:v>
      </x:c>
      <x:c r="E2359" t="str">
        <x:v>gf9c0f32a-edad-476e-b0b8-834853c75122</x:v>
      </x:c>
      <x:c r="F2359" t="str">
        <x:v>https://www.webonary.org/marubo/gf9c0f32a-edad-476e-b0b8-834853c75122/</x:v>
      </x:c>
      <x:c r="G2359" s="20" t="n">
        <x:v>46003.93502480324</x:v>
      </x:c>
    </x:row>
    <x:row r="2360">
      <x:c r="A2360" t="str">
        <x:v>tucano de colarinho dourado</x:v>
      </x:c>
      <x:c r="B2360" t="str">
        <x:v>tãpáshe</x:v>
      </x:c>
      <x:c r="C2360" t="str">
        <x:v>t</x:v>
      </x:c>
      <x:c r="D2360" t="str">
        <x:v>g543f5d5a-182c-4576-b222-87c903581bec</x:v>
      </x:c>
      <x:c r="E2360" t="str">
        <x:v>g678c005e-a1dd-494f-9cee-f9085418d31b</x:v>
      </x:c>
      <x:c r="F2360" t="str">
        <x:v>https://www.webonary.org/marubo/g678c005e-a1dd-494f-9cee-f9085418d31b/</x:v>
      </x:c>
      <x:c r="G2360" s="20" t="n">
        <x:v>46003.93502480324</x:v>
      </x:c>
    </x:row>
    <x:row r="2361">
      <x:c r="A2361" t="str">
        <x:v>tucano de colarinho dourado</x:v>
      </x:c>
      <x:c r="B2361" t="str">
        <x:v>1</x:v>
      </x:c>
      <x:c r="C2361" t="str">
        <x:v>t</x:v>
      </x:c>
      <x:c r="D2361" t="str">
        <x:v>g543f5d5a-182c-4576-b222-87c903581bec</x:v>
      </x:c>
      <x:c r="E2361" t="str">
        <x:v>g678c005e-a1dd-494f-9cee-f9085418d31b</x:v>
      </x:c>
      <x:c r="F2361" t="str">
        <x:v>https://www.webonary.org/marubo/g678c005e-a1dd-494f-9cee-f9085418d31b/</x:v>
      </x:c>
      <x:c r="G2361" s="20" t="n">
        <x:v>46003.93502480324</x:v>
      </x:c>
    </x:row>
    <x:row r="2362">
      <x:c r="A2362" t="str">
        <x:v>tucano pequeno</x:v>
      </x:c>
      <x:c r="B2362" t="str">
        <x:v>oi shoke</x:v>
      </x:c>
      <x:c r="C2362" t="str">
        <x:v>t</x:v>
      </x:c>
      <x:c r="D2362" t="str">
        <x:v>gf49e58fe-814a-4496-89dd-847a3da395d1</x:v>
      </x:c>
      <x:c r="E2362" t="str">
        <x:v>g9505fd19-ea27-4cdc-ad15-359f318690a9</x:v>
      </x:c>
      <x:c r="F2362" t="str">
        <x:v>https://www.webonary.org/marubo/g9505fd19-ea27-4cdc-ad15-359f318690a9/</x:v>
      </x:c>
      <x:c r="G2362" s="20" t="n">
        <x:v>46003.93502480324</x:v>
      </x:c>
    </x:row>
    <x:row r="2363">
      <x:c r="A2363" t="str">
        <x:v>tucumã</x:v>
      </x:c>
      <x:c r="B2363" t="str">
        <x:v>pani</x:v>
      </x:c>
      <x:c r="C2363" t="str">
        <x:v>t</x:v>
      </x:c>
      <x:c r="D2363" t="str">
        <x:v>g8fec9aec-9e30-4bc2-94b9-0ee550ac85c0</x:v>
      </x:c>
      <x:c r="E2363" t="str">
        <x:v>g106cc223-ee6b-45d2-84f6-81009cf148a0</x:v>
      </x:c>
      <x:c r="F2363" t="str">
        <x:v>https://www.webonary.org/marubo/g106cc223-ee6b-45d2-84f6-81009cf148a0/</x:v>
      </x:c>
      <x:c r="G2363" s="20" t="n">
        <x:v>46003.93502480324</x:v>
      </x:c>
    </x:row>
    <x:row r="2364">
      <x:c r="A2364" t="str">
        <x:v>tucumã pequeno</x:v>
      </x:c>
      <x:c r="B2364" t="str">
        <x:v>chaĩ pani</x:v>
      </x:c>
      <x:c r="C2364" t="str">
        <x:v>t</x:v>
      </x:c>
      <x:c r="D2364" t="str">
        <x:v>g328b6009-2de0-4b44-b246-e0e7d54fda5c</x:v>
      </x:c>
      <x:c r="E2364" t="str">
        <x:v>g774c8171-5b35-41a7-b4c1-09cd72cd4c26</x:v>
      </x:c>
      <x:c r="F2364" t="str">
        <x:v>https://www.webonary.org/marubo/g774c8171-5b35-41a7-b4c1-09cd72cd4c26/</x:v>
      </x:c>
      <x:c r="G2364" s="20" t="n">
        <x:v>46003.93502480324</x:v>
      </x:c>
    </x:row>
    <x:row r="2365">
      <x:c r="A2365" t="str">
        <x:v>tudo</x:v>
      </x:c>
      <x:c r="B2365" t="str">
        <x:v>katsé</x:v>
      </x:c>
      <x:c r="C2365" t="str">
        <x:v>t</x:v>
      </x:c>
      <x:c r="D2365" t="str">
        <x:v>g1866d529-b6e2-4e19-baf2-7392fac2f15a</x:v>
      </x:c>
      <x:c r="E2365" t="str">
        <x:v>g4c5f7851-014d-4b58-8895-6b5fbad3efab</x:v>
      </x:c>
      <x:c r="F2365" t="str">
        <x:v>https://www.webonary.org/marubo/g4c5f7851-014d-4b58-8895-6b5fbad3efab/</x:v>
      </x:c>
      <x:c r="G2365" s="20" t="n">
        <x:v>46003.93502480324</x:v>
      </x:c>
    </x:row>
    <x:row r="2366">
      <x:c r="A2366" t="str">
        <x:v>tumor</x:v>
      </x:c>
      <x:c r="B2366" t="str">
        <x:v>pochi</x:v>
      </x:c>
      <x:c r="C2366" t="str">
        <x:v>t</x:v>
      </x:c>
      <x:c r="D2366" t="str">
        <x:v>g4780eac2-8b83-40c7-8e78-61a272d96f96</x:v>
      </x:c>
      <x:c r="E2366" t="str">
        <x:v>g093d96e1-9197-4cfd-a573-d486ce36596c</x:v>
      </x:c>
      <x:c r="F2366" t="str">
        <x:v>https://www.webonary.org/marubo/g093d96e1-9197-4cfd-a573-d486ce36596c/</x:v>
      </x:c>
      <x:c r="G2366" s="20" t="n">
        <x:v>46003.93502480324</x:v>
      </x:c>
    </x:row>
    <x:row r="2367">
      <x:c r="A2367" t="str">
        <x:v>udu de bico largo</x:v>
      </x:c>
      <x:c r="B2367" t="str">
        <x:v>oro</x:v>
      </x:c>
      <x:c r="C2367" t="str">
        <x:v>u</x:v>
      </x:c>
      <x:c r="D2367" t="str">
        <x:v>g216d5554-8c5a-41cc-8dcc-dada6cb6176e</x:v>
      </x:c>
      <x:c r="E2367" t="str">
        <x:v>gf8c0501f-0c40-450b-916c-154170e81ff1</x:v>
      </x:c>
      <x:c r="F2367" t="str">
        <x:v>https://www.webonary.org/marubo/gf8c0501f-0c40-450b-916c-154170e81ff1/</x:v>
      </x:c>
      <x:c r="G2367" s="20" t="n">
        <x:v>46003.93502480324</x:v>
      </x:c>
    </x:row>
    <x:row r="2368">
      <x:c r="A2368" t="str">
        <x:v>udu de bico largo</x:v>
      </x:c>
      <x:c r="B2368" t="str">
        <x:v>1</x:v>
      </x:c>
      <x:c r="C2368" t="str">
        <x:v>u</x:v>
      </x:c>
      <x:c r="D2368" t="str">
        <x:v>g216d5554-8c5a-41cc-8dcc-dada6cb6176e</x:v>
      </x:c>
      <x:c r="E2368" t="str">
        <x:v>gf8c0501f-0c40-450b-916c-154170e81ff1</x:v>
      </x:c>
      <x:c r="F2368" t="str">
        <x:v>https://www.webonary.org/marubo/gf8c0501f-0c40-450b-916c-154170e81ff1/</x:v>
      </x:c>
      <x:c r="G2368" s="20" t="n">
        <x:v>46003.93502480324</x:v>
      </x:c>
    </x:row>
    <x:row r="2369">
      <x:c r="A2369" t="str">
        <x:v>udu de coroa azul</x:v>
      </x:c>
      <x:c r="B2369" t="str">
        <x:v>shane oro</x:v>
      </x:c>
      <x:c r="C2369" t="str">
        <x:v>u</x:v>
      </x:c>
      <x:c r="D2369" t="str">
        <x:v>g0701accd-7666-40ba-ac8f-7dd19a8840e5</x:v>
      </x:c>
      <x:c r="E2369" t="str">
        <x:v>g3816a169-f0e0-48c5-8b2f-4b950f8357c1</x:v>
      </x:c>
      <x:c r="F2369" t="str">
        <x:v>https://www.webonary.org/marubo/g3816a169-f0e0-48c5-8b2f-4b950f8357c1/</x:v>
      </x:c>
      <x:c r="G2369" s="20" t="n">
        <x:v>46003.93502480324</x:v>
      </x:c>
    </x:row>
    <x:row r="2370">
      <x:c r="A2370" t="str">
        <x:v>um</x:v>
      </x:c>
      <x:c r="B2370" t="str">
        <x:v>westíchta</x:v>
      </x:c>
      <x:c r="C2370" t="str">
        <x:v>u</x:v>
      </x:c>
      <x:c r="D2370" t="str">
        <x:v>gab4671ec-e2e8-45cc-99df-572ff68b1492</x:v>
      </x:c>
      <x:c r="E2370" t="str">
        <x:v>g718b26c6-21ae-4289-946c-6078330918b5</x:v>
      </x:c>
      <x:c r="F2370" t="str">
        <x:v>https://www.webonary.org/marubo/g718b26c6-21ae-4289-946c-6078330918b5/</x:v>
      </x:c>
      <x:c r="G2370" s="20" t="n">
        <x:v>46003.93502480324</x:v>
      </x:c>
    </x:row>
    <x:row r="2371">
      <x:c r="A2371" t="str">
        <x:v>um tapiri quebrade ou abandonado</x:v>
      </x:c>
      <x:c r="B2371" t="str">
        <x:v>país ipá</x:v>
      </x:c>
      <x:c r="C2371" t="str">
        <x:v>u</x:v>
      </x:c>
      <x:c r="D2371" t="str">
        <x:v>gd0393a7e-596a-4664-90ee-886bbe10fe53</x:v>
      </x:c>
      <x:c r="E2371" t="str">
        <x:v>g034a2c18-85b9-4da0-bf07-0384de2ac0d6</x:v>
      </x:c>
      <x:c r="F2371" t="str">
        <x:v>https://www.webonary.org/marubo/g034a2c18-85b9-4da0-bf07-0384de2ac0d6/</x:v>
      </x:c>
      <x:c r="G2371" s="20" t="n">
        <x:v>46003.93502480324</x:v>
      </x:c>
    </x:row>
    <x:row r="2372">
      <x:c r="A2372" t="str">
        <x:v>um tipo de tucumã</x:v>
      </x:c>
      <x:c r="B2372" t="str">
        <x:v>chaĩ wati</x:v>
      </x:c>
      <x:c r="C2372" t="str">
        <x:v>u</x:v>
      </x:c>
      <x:c r="D2372" t="str">
        <x:v>g2313d599-4017-4f0b-af5e-54cdca5c2ed2</x:v>
      </x:c>
      <x:c r="E2372" t="str">
        <x:v>g61206118-3de0-4898-ae8e-7ad0b3bbe261</x:v>
      </x:c>
      <x:c r="F2372" t="str">
        <x:v>https://www.webonary.org/marubo/g61206118-3de0-4898-ae8e-7ad0b3bbe261/</x:v>
      </x:c>
      <x:c r="G2372" s="20" t="n">
        <x:v>46003.93502480324</x:v>
      </x:c>
    </x:row>
    <x:row r="2373">
      <x:c r="A2373" t="str">
        <x:v>uma larva pequena</x:v>
      </x:c>
      <x:c r="B2373" t="str">
        <x:v>tano txõte</x:v>
      </x:c>
      <x:c r="C2373" t="str">
        <x:v>u</x:v>
      </x:c>
      <x:c r="D2373" t="str">
        <x:v>g619eb5fd-74a4-45f3-b4f1-410f86affa68</x:v>
      </x:c>
      <x:c r="E2373" t="str">
        <x:v>g94a5f9f4-4b7c-4911-9966-6785336573d5</x:v>
      </x:c>
      <x:c r="F2373" t="str">
        <x:v>https://www.webonary.org/marubo/g94a5f9f4-4b7c-4911-9966-6785336573d5/</x:v>
      </x:c>
      <x:c r="G2373" s="20" t="n">
        <x:v>46003.93502480324</x:v>
      </x:c>
    </x:row>
    <x:row r="2374">
      <x:c r="A2374" t="str">
        <x:v>uma linha ou miçaga amarrado em volta da cintura</x:v>
      </x:c>
      <x:c r="B2374" t="str">
        <x:v>txõpi</x:v>
      </x:c>
      <x:c r="C2374" t="str">
        <x:v>u</x:v>
      </x:c>
      <x:c r="D2374" t="str">
        <x:v>gdd4dd9b5-2046-4a02-9eac-ec8119aed215</x:v>
      </x:c>
      <x:c r="E2374" t="str">
        <x:v>g2617e9e6-422a-4f50-b7c6-e745ca041fc1</x:v>
      </x:c>
      <x:c r="F2374" t="str">
        <x:v>https://www.webonary.org/marubo/g2617e9e6-422a-4f50-b7c6-e745ca041fc1/</x:v>
      </x:c>
      <x:c r="G2374" s="20" t="n">
        <x:v>46003.93502480324</x:v>
      </x:c>
    </x:row>
    <x:row r="2375">
      <x:c r="A2375" t="str">
        <x:v>uma pedra para triturar coisas (ossos)</x:v>
      </x:c>
      <x:c r="B2375" t="str">
        <x:v>posti</x:v>
      </x:c>
      <x:c r="C2375" t="str">
        <x:v>u</x:v>
      </x:c>
      <x:c r="D2375" t="str">
        <x:v>gbdb3a770-8e66-4bad-8193-15e4c9ec6e32</x:v>
      </x:c>
      <x:c r="E2375" t="str">
        <x:v>g4c7167a8-a4d4-4e3c-89a2-d6dd84871fe5</x:v>
      </x:c>
      <x:c r="F2375" t="str">
        <x:v>https://www.webonary.org/marubo/g4c7167a8-a4d4-4e3c-89a2-d6dd84871fe5/</x:v>
      </x:c>
      <x:c r="G2375" s="20" t="n">
        <x:v>46003.93502480324</x:v>
      </x:c>
    </x:row>
    <x:row r="2376">
      <x:c r="A2376" t="str">
        <x:v>uma pedra para triturar coisas (ossos)</x:v>
      </x:c>
      <x:c r="B2376" t="str">
        <x:v>1</x:v>
      </x:c>
      <x:c r="C2376" t="str">
        <x:v>u</x:v>
      </x:c>
      <x:c r="D2376" t="str">
        <x:v>gbdb3a770-8e66-4bad-8193-15e4c9ec6e32</x:v>
      </x:c>
      <x:c r="E2376" t="str">
        <x:v>g4c7167a8-a4d4-4e3c-89a2-d6dd84871fe5</x:v>
      </x:c>
      <x:c r="F2376" t="str">
        <x:v>https://www.webonary.org/marubo/g4c7167a8-a4d4-4e3c-89a2-d6dd84871fe5/</x:v>
      </x:c>
      <x:c r="G2376" s="20" t="n">
        <x:v>46003.93502480324</x:v>
      </x:c>
    </x:row>
    <x:row r="2377">
      <x:c r="A2377" t="str">
        <x:v>uma senhora velha</x:v>
      </x:c>
      <x:c r="B2377" t="str">
        <x:v>yõsha</x:v>
      </x:c>
      <x:c r="C2377" t="str">
        <x:v>u</x:v>
      </x:c>
      <x:c r="D2377" t="str">
        <x:v>g168f22f4-a979-4292-bda5-fa4c4a9c2506</x:v>
      </x:c>
      <x:c r="E2377" t="str">
        <x:v>g2a34c8c8-80bc-4d6b-b914-16d7cc7472d5</x:v>
      </x:c>
      <x:c r="F2377" t="str">
        <x:v>https://www.webonary.org/marubo/g2a34c8c8-80bc-4d6b-b914-16d7cc7472d5/</x:v>
      </x:c>
      <x:c r="G2377" s="20" t="n">
        <x:v>46003.93502480324</x:v>
      </x:c>
    </x:row>
    <x:row r="2378">
      <x:c r="A2378" t="str">
        <x:v>umbigo</x:v>
      </x:c>
      <x:c r="B2378" t="str">
        <x:v>tõpi</x:v>
      </x:c>
      <x:c r="C2378" t="str">
        <x:v>u</x:v>
      </x:c>
      <x:c r="D2378" t="str">
        <x:v>gb4f718ae-fd6f-4461-a758-9983773b79e0</x:v>
      </x:c>
      <x:c r="E2378" t="str">
        <x:v>gb7153d6b-5a10-493b-836c-d5dff10b7cbc</x:v>
      </x:c>
      <x:c r="F2378" t="str">
        <x:v>https://www.webonary.org/marubo/gb7153d6b-5a10-493b-836c-d5dff10b7cbc/</x:v>
      </x:c>
      <x:c r="G2378" s="20" t="n">
        <x:v>46003.93502480324</x:v>
      </x:c>
    </x:row>
    <x:row r="2379">
      <x:c r="A2379" t="str">
        <x:v>unha</x:v>
      </x:c>
      <x:c r="B2379" t="str">
        <x:v>mẽtsísi</x:v>
      </x:c>
      <x:c r="C2379" t="str">
        <x:v>u</x:v>
      </x:c>
      <x:c r="D2379" t="str">
        <x:v>gb9f6aa1c-3d26-411d-99bf-658c11159308</x:v>
      </x:c>
      <x:c r="E2379" t="str">
        <x:v>g83d8528f-5a6c-4bfb-b064-704925aaa831</x:v>
      </x:c>
      <x:c r="F2379" t="str">
        <x:v>https://www.webonary.org/marubo/g83d8528f-5a6c-4bfb-b064-704925aaa831/</x:v>
      </x:c>
      <x:c r="G2379" s="20" t="n">
        <x:v>46003.93502480324</x:v>
      </x:c>
    </x:row>
    <x:row r="2380">
      <x:c r="A2380" t="str">
        <x:v>urina</x:v>
      </x:c>
      <x:c r="B2380" t="str">
        <x:v>isõ</x:v>
      </x:c>
      <x:c r="C2380" t="str">
        <x:v>u</x:v>
      </x:c>
      <x:c r="D2380" t="str">
        <x:v>gc6c44e7c-2bc4-4f19-8959-958d068604f6</x:v>
      </x:c>
      <x:c r="E2380" t="str">
        <x:v>g7d2b9d02-f566-4653-a6fa-0d8b012a6cb4</x:v>
      </x:c>
      <x:c r="F2380" t="str">
        <x:v>https://www.webonary.org/marubo/g7d2b9d02-f566-4653-a6fa-0d8b012a6cb4/</x:v>
      </x:c>
      <x:c r="G2380" s="20" t="n">
        <x:v>46003.93502480324</x:v>
      </x:c>
    </x:row>
    <x:row r="2381">
      <x:c r="A2381" t="str">
        <x:v>urinar</x:v>
      </x:c>
      <x:c r="B2381" t="str">
        <x:v>isõa</x:v>
      </x:c>
      <x:c r="C2381" t="str">
        <x:v>u</x:v>
      </x:c>
      <x:c r="D2381" t="str">
        <x:v>gebed5da3-97a7-4232-bb5f-ac23b162f8cd</x:v>
      </x:c>
      <x:c r="E2381" t="str">
        <x:v>g2aee292c-7de9-4163-8619-bc4694ac2d64</x:v>
      </x:c>
      <x:c r="F2381" t="str">
        <x:v>https://www.webonary.org/marubo/g2aee292c-7de9-4163-8619-bc4694ac2d64/</x:v>
      </x:c>
      <x:c r="G2381" s="20" t="n">
        <x:v>46003.93502480324</x:v>
      </x:c>
    </x:row>
    <x:row r="2382">
      <x:c r="A2382" t="str">
        <x:v>urinar</x:v>
      </x:c>
      <x:c r="B2382" t="str">
        <x:v>1</x:v>
      </x:c>
      <x:c r="C2382" t="str">
        <x:v>u</x:v>
      </x:c>
      <x:c r="D2382" t="str">
        <x:v>gebed5da3-97a7-4232-bb5f-ac23b162f8cd</x:v>
      </x:c>
      <x:c r="E2382" t="str">
        <x:v>g2aee292c-7de9-4163-8619-bc4694ac2d64</x:v>
      </x:c>
      <x:c r="F2382" t="str">
        <x:v>https://www.webonary.org/marubo/g2aee292c-7de9-4163-8619-bc4694ac2d64/</x:v>
      </x:c>
      <x:c r="G2382" s="20" t="n">
        <x:v>46003.93502480324</x:v>
      </x:c>
    </x:row>
    <x:row r="2383">
      <x:c r="A2383" t="str">
        <x:v>urinar</x:v>
      </x:c>
      <x:c r="B2383" t="str">
        <x:v>isõa</x:v>
      </x:c>
      <x:c r="C2383" t="str">
        <x:v>u</x:v>
      </x:c>
      <x:c r="D2383" t="str">
        <x:v>gebed5da3-97a7-4232-bb5f-ac23b162f8cd</x:v>
      </x:c>
      <x:c r="E2383" t="str">
        <x:v>g4d2ed05d-4905-4026-82b3-e7bc7bc28317</x:v>
      </x:c>
      <x:c r="F2383" t="str">
        <x:v>https://www.webonary.org/marubo/g4d2ed05d-4905-4026-82b3-e7bc7bc28317/</x:v>
      </x:c>
      <x:c r="G2383" s="20" t="n">
        <x:v>46003.93502480324</x:v>
      </x:c>
    </x:row>
    <x:row r="2384">
      <x:c r="A2384" t="str">
        <x:v>urtiga</x:v>
      </x:c>
      <x:c r="B2384" t="str">
        <x:v>vakíse</x:v>
      </x:c>
      <x:c r="C2384" t="str">
        <x:v>u</x:v>
      </x:c>
      <x:c r="D2384" t="str">
        <x:v>g1e2e3c4a-6d85-42be-8ede-735ee406af24</x:v>
      </x:c>
      <x:c r="E2384" t="str">
        <x:v>g9adbdf4f-c18d-494a-97cf-ac3df27c952e</x:v>
      </x:c>
      <x:c r="F2384" t="str">
        <x:v>https://www.webonary.org/marubo/g9adbdf4f-c18d-494a-97cf-ac3df27c952e/</x:v>
      </x:c>
      <x:c r="G2384" s="20" t="n">
        <x:v>46003.93502480324</x:v>
      </x:c>
    </x:row>
    <x:row r="2385">
      <x:c r="A2385" t="str">
        <x:v>urubu</x:v>
      </x:c>
      <x:c r="B2385" t="str">
        <x:v>shete</x:v>
      </x:c>
      <x:c r="C2385" t="str">
        <x:v>u</x:v>
      </x:c>
      <x:c r="D2385" t="str">
        <x:v>g419db58b-9df8-4453-a0ca-a68c68e9aa9f</x:v>
      </x:c>
      <x:c r="E2385" t="str">
        <x:v>g426f21ea-0113-45d1-869a-1320e1219a0f</x:v>
      </x:c>
      <x:c r="F2385" t="str">
        <x:v>https://www.webonary.org/marubo/g426f21ea-0113-45d1-869a-1320e1219a0f/</x:v>
      </x:c>
      <x:c r="G2385" s="20" t="n">
        <x:v>46003.93502480324</x:v>
      </x:c>
    </x:row>
    <x:row r="2386">
      <x:c r="A2386" t="str">
        <x:v>usado para objeto que não permanece reto quando é colocado</x:v>
      </x:c>
      <x:c r="B2386" t="str">
        <x:v>tsismõka</x:v>
      </x:c>
      <x:c r="C2386" t="str">
        <x:v>u</x:v>
      </x:c>
      <x:c r="D2386" t="str">
        <x:v>g72d15d7e-76a9-4242-9246-ef0403533e05</x:v>
      </x:c>
      <x:c r="E2386" t="str">
        <x:v>gbcda5b75-f21f-4575-ad17-f85949ddab54</x:v>
      </x:c>
      <x:c r="F2386" t="str">
        <x:v>https://www.webonary.org/marubo/gbcda5b75-f21f-4575-ad17-f85949ddab54/</x:v>
      </x:c>
      <x:c r="G2386" s="20" t="n">
        <x:v>46003.93502480324</x:v>
      </x:c>
    </x:row>
    <x:row r="2387">
      <x:c r="A2387" t="str">
        <x:v>usado quando está com medo</x:v>
      </x:c>
      <x:c r="B2387" t="str">
        <x:v>txó</x:v>
      </x:c>
      <x:c r="C2387" t="str">
        <x:v>u</x:v>
      </x:c>
      <x:c r="D2387" t="str">
        <x:v>g441b2dbf-f2f4-4159-9d89-a7d41a53e6c9</x:v>
      </x:c>
      <x:c r="E2387" t="str">
        <x:v>g243136c0-2c3d-4625-a84f-e57fc48152ea</x:v>
      </x:c>
      <x:c r="F2387" t="str">
        <x:v>https://www.webonary.org/marubo/g243136c0-2c3d-4625-a84f-e57fc48152ea/</x:v>
      </x:c>
      <x:c r="G2387" s="20" t="n">
        <x:v>46003.93502480324</x:v>
      </x:c>
    </x:row>
    <x:row r="2388">
      <x:c r="A2388" t="str">
        <x:v>usar</x:v>
      </x:c>
      <x:c r="B2388" t="str">
        <x:v>imamtsãwã</x:v>
      </x:c>
      <x:c r="C2388" t="str">
        <x:v>u</x:v>
      </x:c>
      <x:c r="D2388" t="str">
        <x:v>gc1e396ea-9da8-4dc4-9294-11ade4a7232e</x:v>
      </x:c>
      <x:c r="E2388" t="str">
        <x:v>gbb79fe2d-d208-4b04-839c-882f372369a8</x:v>
      </x:c>
      <x:c r="F2388" t="str">
        <x:v>https://www.webonary.org/marubo/gbb79fe2d-d208-4b04-839c-882f372369a8/</x:v>
      </x:c>
      <x:c r="G2388" s="20" t="n">
        <x:v>46003.93502480324</x:v>
      </x:c>
    </x:row>
    <x:row r="2389">
      <x:c r="A2389" t="str">
        <x:v>vale</x:v>
      </x:c>
      <x:c r="B2389" t="str">
        <x:v>nãpi</x:v>
      </x:c>
      <x:c r="C2389" t="str">
        <x:v>v</x:v>
      </x:c>
      <x:c r="D2389" t="str">
        <x:v>g5c1ef6be-df42-4de8-b39d-55f581014329</x:v>
      </x:c>
      <x:c r="E2389" t="str">
        <x:v>gcde81885-37f2-4135-b326-b9cba4c66931</x:v>
      </x:c>
      <x:c r="F2389" t="str">
        <x:v>https://www.webonary.org/marubo/gcde81885-37f2-4135-b326-b9cba4c66931/</x:v>
      </x:c>
      <x:c r="G2389" s="20" t="n">
        <x:v>46003.93502480324</x:v>
      </x:c>
    </x:row>
    <x:row r="2390">
      <x:c r="A2390" t="str">
        <x:v>vara</x:v>
      </x:c>
      <x:c r="B2390" t="str">
        <x:v>txĩti</x:v>
      </x:c>
      <x:c r="C2390" t="str">
        <x:v>v</x:v>
      </x:c>
      <x:c r="D2390" t="str">
        <x:v>gf061a8d3-d699-4dbf-900d-d542e9a322e5</x:v>
      </x:c>
      <x:c r="E2390" t="str">
        <x:v>ga8410985-2936-45ef-9c13-8c6274a959b7</x:v>
      </x:c>
      <x:c r="F2390" t="str">
        <x:v>https://www.webonary.org/marubo/ga8410985-2936-45ef-9c13-8c6274a959b7/</x:v>
      </x:c>
      <x:c r="G2390" s="20" t="n">
        <x:v>46003.93502480324</x:v>
      </x:c>
    </x:row>
    <x:row r="2391">
      <x:c r="A2391" t="str">
        <x:v>variação de ichã aká</x:v>
      </x:c>
      <x:c r="B2391" t="str">
        <x:v>ichá aká</x:v>
      </x:c>
      <x:c r="C2391" t="str">
        <x:v>v</x:v>
      </x:c>
      <x:c r="D2391" t="str">
        <x:v>g30528a8f-1cd0-4de9-b937-bc5bbd210d06</x:v>
      </x:c>
      <x:c r="E2391" t="str">
        <x:v>g585d53d2-d468-4264-8e45-4c2ac57378af</x:v>
      </x:c>
      <x:c r="F2391" t="str">
        <x:v>https://www.webonary.org/marubo/g585d53d2-d468-4264-8e45-4c2ac57378af/</x:v>
      </x:c>
      <x:c r="G2391" s="20" t="n">
        <x:v>46003.93502480324</x:v>
      </x:c>
    </x:row>
    <x:row r="2392">
      <x:c r="A2392" t="str">
        <x:v>variado</x:v>
      </x:c>
      <x:c r="B2392" t="str">
        <x:v>õsiõsipá</x:v>
      </x:c>
      <x:c r="C2392" t="str">
        <x:v>v</x:v>
      </x:c>
      <x:c r="D2392" t="str">
        <x:v>g3b099b3a-2bb2-4be0-95ac-1e16afeb6960</x:v>
      </x:c>
      <x:c r="E2392" t="str">
        <x:v>g635071a9-4d35-4bb9-8c19-8c8e7a30451c</x:v>
      </x:c>
      <x:c r="F2392" t="str">
        <x:v>https://www.webonary.org/marubo/g635071a9-4d35-4bb9-8c19-8c8e7a30451c/</x:v>
      </x:c>
      <x:c r="G2392" s="20" t="n">
        <x:v>46003.93502480324</x:v>
      </x:c>
    </x:row>
    <x:row r="2393">
      <x:c r="A2393" t="str">
        <x:v>varrer</x:v>
      </x:c>
      <x:c r="B2393" t="str">
        <x:v>matsóa</x:v>
      </x:c>
      <x:c r="C2393" t="str">
        <x:v>v</x:v>
      </x:c>
      <x:c r="D2393" t="str">
        <x:v>g8f484436-8b77-43e0-b6a1-6913a73b1ee8</x:v>
      </x:c>
      <x:c r="E2393" t="str">
        <x:v>gb0d78409-2f99-401e-b9b4-5ce5483d72ae</x:v>
      </x:c>
      <x:c r="F2393" t="str">
        <x:v>https://www.webonary.org/marubo/gb0d78409-2f99-401e-b9b4-5ce5483d72ae/</x:v>
      </x:c>
      <x:c r="G2393" s="20" t="n">
        <x:v>46003.93502480324</x:v>
      </x:c>
    </x:row>
    <x:row r="2394">
      <x:c r="A2394" t="str">
        <x:v>vaso de barro</x:v>
      </x:c>
      <x:c r="B2394" t="str">
        <x:v>yoá</x:v>
      </x:c>
      <x:c r="C2394" t="str">
        <x:v>v</x:v>
      </x:c>
      <x:c r="D2394" t="str">
        <x:v>g96cd3a73-d2c4-4de5-b73c-5821c7086938</x:v>
      </x:c>
      <x:c r="E2394" t="str">
        <x:v>g93220b4f-9c9f-4e3c-877e-979af806ea12</x:v>
      </x:c>
      <x:c r="F2394" t="str">
        <x:v>https://www.webonary.org/marubo/g93220b4f-9c9f-4e3c-877e-979af806ea12/</x:v>
      </x:c>
      <x:c r="G2394" s="20" t="n">
        <x:v>46003.93502480324</x:v>
      </x:c>
    </x:row>
    <x:row r="2395">
      <x:c r="A2395" t="str">
        <x:v>vassoura</x:v>
      </x:c>
      <x:c r="B2395" t="str">
        <x:v>matsoti</x:v>
      </x:c>
      <x:c r="C2395" t="str">
        <x:v>v</x:v>
      </x:c>
      <x:c r="D2395" t="str">
        <x:v>g3398d1a7-b3aa-4118-996e-094ca877b30b</x:v>
      </x:c>
      <x:c r="E2395" t="str">
        <x:v>g1de56947-970d-41e7-9381-3c9172fe0e1b</x:v>
      </x:c>
      <x:c r="F2395" t="str">
        <x:v>https://www.webonary.org/marubo/g1de56947-970d-41e7-9381-3c9172fe0e1b/</x:v>
      </x:c>
      <x:c r="G2395" s="20" t="n">
        <x:v>46003.93502480324</x:v>
      </x:c>
    </x:row>
    <x:row r="2396">
      <x:c r="A2396" t="str">
        <x:v>vazar</x:v>
      </x:c>
      <x:c r="B2396" t="str">
        <x:v>-tsooa</x:v>
      </x:c>
      <x:c r="C2396" t="str">
        <x:v>v</x:v>
      </x:c>
      <x:c r="D2396" t="str">
        <x:v>gd1229962-8579-457e-8e7e-0955349948f7</x:v>
      </x:c>
      <x:c r="E2396" t="str">
        <x:v>g8b44d880-eb2a-41a2-86d8-3f75deffba1e</x:v>
      </x:c>
      <x:c r="F2396" t="str">
        <x:v>https://www.webonary.org/marubo/g8b44d880-eb2a-41a2-86d8-3f75deffba1e/</x:v>
      </x:c>
      <x:c r="G2396" s="20" t="n">
        <x:v>46003.93502480324</x:v>
      </x:c>
    </x:row>
    <x:row r="2397">
      <x:c r="A2397" t="str">
        <x:v>vazio</x:v>
      </x:c>
      <x:c r="B2397" t="str">
        <x:v>shakaka</x:v>
      </x:c>
      <x:c r="C2397" t="str">
        <x:v>v</x:v>
      </x:c>
      <x:c r="D2397" t="str">
        <x:v>g116bf7ef-1a44-4e25-af34-6cfb2ebc1936</x:v>
      </x:c>
      <x:c r="E2397" t="str">
        <x:v>g1e449857-79ae-45a0-bbc4-d432f3a78316</x:v>
      </x:c>
      <x:c r="F2397" t="str">
        <x:v>https://www.webonary.org/marubo/g1e449857-79ae-45a0-bbc4-d432f3a78316/</x:v>
      </x:c>
      <x:c r="G2397" s="20" t="n">
        <x:v>46003.93502480324</x:v>
      </x:c>
    </x:row>
    <x:row r="2398">
      <x:c r="A2398" t="str">
        <x:v>veado</x:v>
      </x:c>
      <x:c r="B2398" t="str">
        <x:v>txasho</x:v>
      </x:c>
      <x:c r="C2398" t="str">
        <x:v>v</x:v>
      </x:c>
      <x:c r="D2398" t="str">
        <x:v>g37027d9b-e793-4f12-83f2-8db092e6a11f</x:v>
      </x:c>
      <x:c r="E2398" t="str">
        <x:v>g900ad477-9ae4-4880-a8ce-828c124d99ac</x:v>
      </x:c>
      <x:c r="F2398" t="str">
        <x:v>https://www.webonary.org/marubo/g900ad477-9ae4-4880-a8ce-828c124d99ac/</x:v>
      </x:c>
      <x:c r="G2398" s="20" t="n">
        <x:v>46003.93502480324</x:v>
      </x:c>
    </x:row>
    <x:row r="2399">
      <x:c r="A2399" t="str">
        <x:v>veado</x:v>
      </x:c>
      <x:c r="B2399" t="str">
        <x:v>1</x:v>
      </x:c>
      <x:c r="C2399" t="str">
        <x:v>v</x:v>
      </x:c>
      <x:c r="D2399" t="str">
        <x:v>g37027d9b-e793-4f12-83f2-8db092e6a11f</x:v>
      </x:c>
      <x:c r="E2399" t="str">
        <x:v>g900ad477-9ae4-4880-a8ce-828c124d99ac</x:v>
      </x:c>
      <x:c r="F2399" t="str">
        <x:v>https://www.webonary.org/marubo/g900ad477-9ae4-4880-a8ce-828c124d99ac/</x:v>
      </x:c>
      <x:c r="G2399" s="20" t="n">
        <x:v>46003.93502480324</x:v>
      </x:c>
    </x:row>
    <x:row r="2400">
      <x:c r="A2400" t="str">
        <x:v>veia</x:v>
      </x:c>
      <x:c r="B2400" t="str">
        <x:v>pono</x:v>
      </x:c>
      <x:c r="C2400" t="str">
        <x:v>v</x:v>
      </x:c>
      <x:c r="D2400" t="str">
        <x:v>gd15a9263-5439-4c20-af70-8e674e7e84cf</x:v>
      </x:c>
      <x:c r="E2400" t="str">
        <x:v>g3ab5f6f4-542d-463c-b40b-da58cd66a466</x:v>
      </x:c>
      <x:c r="F2400" t="str">
        <x:v>https://www.webonary.org/marubo/g3ab5f6f4-542d-463c-b40b-da58cd66a466/</x:v>
      </x:c>
      <x:c r="G2400" s="20" t="n">
        <x:v>46003.93502480324</x:v>
      </x:c>
    </x:row>
    <x:row r="2401">
      <x:c r="A2401" t="str">
        <x:v>vela</x:v>
      </x:c>
      <x:c r="B2401" t="str">
        <x:v>amo shãko</x:v>
      </x:c>
      <x:c r="C2401" t="str">
        <x:v>v</x:v>
      </x:c>
      <x:c r="D2401" t="str">
        <x:v>geb5dcd80-4f17-45d8-bbcc-db84f50e3bac</x:v>
      </x:c>
      <x:c r="E2401" t="str">
        <x:v>gfcb428cc-728b-42d8-b4a1-022355d3e131</x:v>
      </x:c>
      <x:c r="F2401" t="str">
        <x:v>https://www.webonary.org/marubo/gfcb428cc-728b-42d8-b4a1-022355d3e131/</x:v>
      </x:c>
      <x:c r="G2401" s="20" t="n">
        <x:v>46003.93502480324</x:v>
      </x:c>
    </x:row>
    <x:row r="2402">
      <x:c r="A2402" t="str">
        <x:v>vela\luz</x:v>
      </x:c>
      <x:c r="B2402" t="str">
        <x:v>nake</x:v>
      </x:c>
      <x:c r="C2402" t="str">
        <x:v>v</x:v>
      </x:c>
      <x:c r="D2402" t="str">
        <x:v>g64a5a9b4-f4d2-4c98-b77b-2894ed00fe5d</x:v>
      </x:c>
      <x:c r="E2402" t="str">
        <x:v>g6e6fc4a6-a832-49ca-85fd-06903c830647</x:v>
      </x:c>
      <x:c r="F2402" t="str">
        <x:v>https://www.webonary.org/marubo/g6e6fc4a6-a832-49ca-85fd-06903c830647/</x:v>
      </x:c>
      <x:c r="G2402" s="20" t="n">
        <x:v>46003.93502480324</x:v>
      </x:c>
    </x:row>
    <x:row r="2403">
      <x:c r="A2403" t="str">
        <x:v>velho</x:v>
      </x:c>
      <x:c r="B2403" t="str">
        <x:v>sheni wetsa</x:v>
      </x:c>
      <x:c r="C2403" t="str">
        <x:v>v</x:v>
      </x:c>
      <x:c r="D2403" t="str">
        <x:v>g3baaf12a-cd0a-4f0c-89b8-94724f4620f7</x:v>
      </x:c>
      <x:c r="E2403" t="str">
        <x:v>g5b2c70a1-9da4-456f-ae6d-995c202bd89f</x:v>
      </x:c>
      <x:c r="F2403" t="str">
        <x:v>https://www.webonary.org/marubo/g5b2c70a1-9da4-456f-ae6d-995c202bd89f/</x:v>
      </x:c>
      <x:c r="G2403" s="20" t="n">
        <x:v>46003.93502480324</x:v>
      </x:c>
    </x:row>
    <x:row r="2404">
      <x:c r="A2404" t="str">
        <x:v>velho</x:v>
      </x:c>
      <x:c r="B2404" t="str">
        <x:v>sheni</x:v>
      </x:c>
      <x:c r="C2404" t="str">
        <x:v>v</x:v>
      </x:c>
      <x:c r="D2404" t="str">
        <x:v>g3baaf12a-cd0a-4f0c-89b8-94724f4620f7</x:v>
      </x:c>
      <x:c r="E2404" t="str">
        <x:v>gb6a67942-7008-4688-afe9-4d39fe321e60</x:v>
      </x:c>
      <x:c r="F2404" t="str">
        <x:v>https://www.webonary.org/marubo/gb6a67942-7008-4688-afe9-4d39fe321e60/</x:v>
      </x:c>
      <x:c r="G2404" s="20" t="n">
        <x:v>46003.93502480324</x:v>
      </x:c>
    </x:row>
    <x:row r="2405">
      <x:c r="A2405" t="str">
        <x:v>ventilador</x:v>
      </x:c>
      <x:c r="B2405" t="str">
        <x:v>niskã weati</x:v>
      </x:c>
      <x:c r="C2405" t="str">
        <x:v>v</x:v>
      </x:c>
      <x:c r="D2405" t="str">
        <x:v>g5b8e7f7e-aa5d-479b-b770-7670de272bdb</x:v>
      </x:c>
      <x:c r="E2405" t="str">
        <x:v>gb88f2e20-f42c-41f7-8362-3cd028c94141</x:v>
      </x:c>
      <x:c r="F2405" t="str">
        <x:v>https://www.webonary.org/marubo/gb88f2e20-f42c-41f7-8362-3cd028c94141/</x:v>
      </x:c>
      <x:c r="G2405" s="20" t="n">
        <x:v>46003.93502480324</x:v>
      </x:c>
    </x:row>
    <x:row r="2406">
      <x:c r="A2406" t="str">
        <x:v>vento</x:v>
      </x:c>
      <x:c r="B2406" t="str">
        <x:v>shovi ikí</x:v>
      </x:c>
      <x:c r="C2406" t="str">
        <x:v>v</x:v>
      </x:c>
      <x:c r="D2406" t="str">
        <x:v>gef4b27dd-5080-49a7-adec-c047895738d0</x:v>
      </x:c>
      <x:c r="E2406" t="str">
        <x:v>g26a4899d-10d8-4a18-9c45-e41349637691</x:v>
      </x:c>
      <x:c r="F2406" t="str">
        <x:v>https://www.webonary.org/marubo/g26a4899d-10d8-4a18-9c45-e41349637691/</x:v>
      </x:c>
      <x:c r="G2406" s="20" t="n">
        <x:v>46003.93502480324</x:v>
      </x:c>
    </x:row>
    <x:row r="2407">
      <x:c r="A2407" t="str">
        <x:v>vento</x:v>
      </x:c>
      <x:c r="B2407" t="str">
        <x:v>wee</x:v>
      </x:c>
      <x:c r="C2407" t="str">
        <x:v>v</x:v>
      </x:c>
      <x:c r="D2407" t="str">
        <x:v>gef4b27dd-5080-49a7-adec-c047895738d0</x:v>
      </x:c>
      <x:c r="E2407" t="str">
        <x:v>g627b00af-6f5b-4713-a8c4-eb33c45366d7</x:v>
      </x:c>
      <x:c r="F2407" t="str">
        <x:v>https://www.webonary.org/marubo/g627b00af-6f5b-4713-a8c4-eb33c45366d7/</x:v>
      </x:c>
      <x:c r="G2407" s="20" t="n">
        <x:v>46003.93502480324</x:v>
      </x:c>
    </x:row>
    <x:row r="2408">
      <x:c r="A2408" t="str">
        <x:v>ver</x:v>
      </x:c>
      <x:c r="B2408" t="str">
        <x:v>oĩa</x:v>
      </x:c>
      <x:c r="C2408" t="str">
        <x:v>v</x:v>
      </x:c>
      <x:c r="D2408" t="str">
        <x:v>g3523d2f2-b77e-4562-b1d4-87ab803d6ff4</x:v>
      </x:c>
      <x:c r="E2408" t="str">
        <x:v>g46f66d90-6c1a-4aab-8170-96e8992bce95</x:v>
      </x:c>
      <x:c r="F2408" t="str">
        <x:v>https://www.webonary.org/marubo/g46f66d90-6c1a-4aab-8170-96e8992bce95/</x:v>
      </x:c>
      <x:c r="G2408" s="20" t="n">
        <x:v>46003.93502480324</x:v>
      </x:c>
    </x:row>
    <x:row r="2409">
      <x:c r="A2409" t="str">
        <x:v>VER</x:v>
      </x:c>
      <x:c r="B2409" t="str">
        <x:v>-koĩ</x:v>
      </x:c>
      <x:c r="C2409" t="str">
        <x:v>v</x:v>
      </x:c>
      <x:c r="D2409" t="str">
        <x:v>gee0a23eb-845b-448a-99ef-370cdb26c41e</x:v>
      </x:c>
      <x:c r="E2409" t="str">
        <x:v>g42291073-35ac-42ce-8b1a-4e213cec7ba0</x:v>
      </x:c>
      <x:c r="F2409" t="str">
        <x:v>https://www.webonary.org/marubo/g42291073-35ac-42ce-8b1a-4e213cec7ba0/</x:v>
      </x:c>
      <x:c r="G2409" s="20" t="n">
        <x:v>46003.93502480324</x:v>
      </x:c>
    </x:row>
    <x:row r="2410">
      <x:c r="A2410" t="str">
        <x:v>VER</x:v>
      </x:c>
      <x:c r="B2410" t="str">
        <x:v>2</x:v>
      </x:c>
      <x:c r="C2410" t="str">
        <x:v>v</x:v>
      </x:c>
      <x:c r="D2410" t="str">
        <x:v>gee0a23eb-845b-448a-99ef-370cdb26c41e</x:v>
      </x:c>
      <x:c r="E2410" t="str">
        <x:v>g42291073-35ac-42ce-8b1a-4e213cec7ba0</x:v>
      </x:c>
      <x:c r="F2410" t="str">
        <x:v>https://www.webonary.org/marubo/g42291073-35ac-42ce-8b1a-4e213cec7ba0/</x:v>
      </x:c>
      <x:c r="G2410" s="20" t="n">
        <x:v>46003.93502480324</x:v>
      </x:c>
    </x:row>
    <x:row r="2411">
      <x:c r="A2411" t="str">
        <x:v>verdadeiro</x:v>
      </x:c>
      <x:c r="B2411" t="str">
        <x:v>-koĩ</x:v>
      </x:c>
      <x:c r="C2411" t="str">
        <x:v>v</x:v>
      </x:c>
      <x:c r="D2411" t="str">
        <x:v>gf2122063-0d99-4401-9a9d-d15a20e015f4</x:v>
      </x:c>
      <x:c r="E2411" t="str">
        <x:v>gbce05f9a-ff95-4327-ac9d-f3ea690c38e7</x:v>
      </x:c>
      <x:c r="F2411" t="str">
        <x:v>https://www.webonary.org/marubo/gbce05f9a-ff95-4327-ac9d-f3ea690c38e7/</x:v>
      </x:c>
      <x:c r="G2411" s="20" t="n">
        <x:v>46003.93502480324</x:v>
      </x:c>
    </x:row>
    <x:row r="2412">
      <x:c r="A2412" t="str">
        <x:v>verdadeiro</x:v>
      </x:c>
      <x:c r="B2412" t="str">
        <x:v>1</x:v>
      </x:c>
      <x:c r="C2412" t="str">
        <x:v>v</x:v>
      </x:c>
      <x:c r="D2412" t="str">
        <x:v>gf2122063-0d99-4401-9a9d-d15a20e015f4</x:v>
      </x:c>
      <x:c r="E2412" t="str">
        <x:v>gbce05f9a-ff95-4327-ac9d-f3ea690c38e7</x:v>
      </x:c>
      <x:c r="F2412" t="str">
        <x:v>https://www.webonary.org/marubo/gbce05f9a-ff95-4327-ac9d-f3ea690c38e7/</x:v>
      </x:c>
      <x:c r="G2412" s="20" t="n">
        <x:v>46003.93502480324</x:v>
      </x:c>
    </x:row>
    <x:row r="2413">
      <x:c r="A2413" t="str">
        <x:v>verde</x:v>
      </x:c>
      <x:c r="B2413" t="str">
        <x:v>shaneka</x:v>
      </x:c>
      <x:c r="C2413" t="str">
        <x:v>v</x:v>
      </x:c>
      <x:c r="D2413" t="str">
        <x:v>g980e539f-069c-4011-9c5c-7a97d8d46e42</x:v>
      </x:c>
      <x:c r="E2413" t="str">
        <x:v>g3fa1f007-18c3-484e-bf74-61d865397f41</x:v>
      </x:c>
      <x:c r="F2413" t="str">
        <x:v>https://www.webonary.org/marubo/g3fa1f007-18c3-484e-bf74-61d865397f41/</x:v>
      </x:c>
      <x:c r="G2413" s="20" t="n">
        <x:v>46003.93502480324</x:v>
      </x:c>
    </x:row>
    <x:row r="2414">
      <x:c r="A2414" t="str">
        <x:v>verme</x:v>
      </x:c>
      <x:c r="B2414" t="str">
        <x:v>noĩ</x:v>
      </x:c>
      <x:c r="C2414" t="str">
        <x:v>v</x:v>
      </x:c>
      <x:c r="D2414" t="str">
        <x:v>g0c8bb60a-aabf-4340-8a45-b3dcb348ec64</x:v>
      </x:c>
      <x:c r="E2414" t="str">
        <x:v>g1aa03572-d849-4ff5-8663-7f3ad7b6e5aa</x:v>
      </x:c>
      <x:c r="F2414" t="str">
        <x:v>https://www.webonary.org/marubo/g1aa03572-d849-4ff5-8663-7f3ad7b6e5aa/</x:v>
      </x:c>
      <x:c r="G2414" s="20" t="n">
        <x:v>46003.93502480324</x:v>
      </x:c>
    </x:row>
    <x:row r="2415">
      <x:c r="A2415" t="str">
        <x:v>verme que acha nas fezes</x:v>
      </x:c>
      <x:c r="B2415" t="str">
        <x:v>txẽshẽ́</x:v>
      </x:c>
      <x:c r="C2415" t="str">
        <x:v>v</x:v>
      </x:c>
      <x:c r="D2415" t="str">
        <x:v>g00427b8f-5124-41c3-9da7-bee80dd3393e</x:v>
      </x:c>
      <x:c r="E2415" t="str">
        <x:v>g2e656b32-4ec3-4267-a6e7-149a6b837b9c</x:v>
      </x:c>
      <x:c r="F2415" t="str">
        <x:v>https://www.webonary.org/marubo/g2e656b32-4ec3-4267-a6e7-149a6b837b9c/</x:v>
      </x:c>
      <x:c r="G2415" s="20" t="n">
        <x:v>46003.93502480324</x:v>
      </x:c>
    </x:row>
    <x:row r="2416">
      <x:c r="A2416" t="str">
        <x:v>vermelho</x:v>
      </x:c>
      <x:c r="B2416" t="str">
        <x:v>õchĩka</x:v>
      </x:c>
      <x:c r="C2416" t="str">
        <x:v>v</x:v>
      </x:c>
      <x:c r="D2416" t="str">
        <x:v>ge708b909-6dc3-4306-be5f-1cab6d13f07b</x:v>
      </x:c>
      <x:c r="E2416" t="str">
        <x:v>g9a2beca8-48a3-457f-8e87-c2a3a29594a1</x:v>
      </x:c>
      <x:c r="F2416" t="str">
        <x:v>https://www.webonary.org/marubo/g9a2beca8-48a3-457f-8e87-c2a3a29594a1/</x:v>
      </x:c>
      <x:c r="G2416" s="20" t="n">
        <x:v>46003.93502480324</x:v>
      </x:c>
    </x:row>
    <x:row r="2417">
      <x:c r="A2417" t="str">
        <x:v>vértebra</x:v>
      </x:c>
      <x:c r="B2417" t="str">
        <x:v>teróshko</x:v>
      </x:c>
      <x:c r="C2417" t="str">
        <x:v>v</x:v>
      </x:c>
      <x:c r="D2417" t="str">
        <x:v>g00c6277b-95cf-4d52-addc-9201938707a8</x:v>
      </x:c>
      <x:c r="E2417" t="str">
        <x:v>g40f69955-711b-49c8-8151-c8371fd24ce5</x:v>
      </x:c>
      <x:c r="F2417" t="str">
        <x:v>https://www.webonary.org/marubo/g40f69955-711b-49c8-8151-c8371fd24ce5/</x:v>
      </x:c>
      <x:c r="G2417" s="20" t="n">
        <x:v>46003.93502480324</x:v>
      </x:c>
    </x:row>
    <x:row r="2418">
      <x:c r="A2418" t="str">
        <x:v>vestir</x:v>
      </x:c>
      <x:c r="B2418" t="str">
        <x:v>sawea</x:v>
      </x:c>
      <x:c r="C2418" t="str">
        <x:v>v</x:v>
      </x:c>
      <x:c r="D2418" t="str">
        <x:v>gb5b9a980-96e1-43b1-b68e-3f3b769b0390</x:v>
      </x:c>
      <x:c r="E2418" t="str">
        <x:v>ge757f2cd-35cb-456c-8213-3d699a72dbc0</x:v>
      </x:c>
      <x:c r="F2418" t="str">
        <x:v>https://www.webonary.org/marubo/ge757f2cd-35cb-456c-8213-3d699a72dbc0/</x:v>
      </x:c>
      <x:c r="G2418" s="20" t="n">
        <x:v>46003.93502480324</x:v>
      </x:c>
    </x:row>
    <x:row r="2419">
      <x:c r="A2419" t="str">
        <x:v>vidro</x:v>
      </x:c>
      <x:c r="B2419" t="str">
        <x:v>otó</x:v>
      </x:c>
      <x:c r="C2419" t="str">
        <x:v>v</x:v>
      </x:c>
      <x:c r="D2419" t="str">
        <x:v>gda75bce9-0643-49ae-ab1d-fe12962976cb</x:v>
      </x:c>
      <x:c r="E2419" t="str">
        <x:v>g62076cee-24d9-45e6-9474-5a893dd12475</x:v>
      </x:c>
      <x:c r="F2419" t="str">
        <x:v>https://www.webonary.org/marubo/g62076cee-24d9-45e6-9474-5a893dd12475/</x:v>
      </x:c>
      <x:c r="G2419" s="20" t="n">
        <x:v>46003.93503197917</x:v>
      </x:c>
    </x:row>
    <x:row r="2420">
      <x:c r="A2420" t="str">
        <x:v>vier (plural)</x:v>
      </x:c>
      <x:c r="B2420" t="str">
        <x:v>vea</x:v>
      </x:c>
      <x:c r="C2420" t="str">
        <x:v>v</x:v>
      </x:c>
      <x:c r="D2420" t="str">
        <x:v>gdd3ec002-4c92-4979-a96d-6abf57d450af</x:v>
      </x:c>
      <x:c r="E2420" t="str">
        <x:v>g72b1bd2a-c5fb-4f0e-840e-64a8f0dac6cf</x:v>
      </x:c>
      <x:c r="F2420" t="str">
        <x:v>https://www.webonary.org/marubo/g72b1bd2a-c5fb-4f0e-840e-64a8f0dac6cf/</x:v>
      </x:c>
      <x:c r="G2420" s="20" t="n">
        <x:v>46003.93503197917</x:v>
      </x:c>
    </x:row>
    <x:row r="2421">
      <x:c r="A2421" t="str">
        <x:v>vier (plural)</x:v>
      </x:c>
      <x:c r="B2421" t="str">
        <x:v>1</x:v>
      </x:c>
      <x:c r="C2421" t="str">
        <x:v>v</x:v>
      </x:c>
      <x:c r="D2421" t="str">
        <x:v>gdd3ec002-4c92-4979-a96d-6abf57d450af</x:v>
      </x:c>
      <x:c r="E2421" t="str">
        <x:v>g72b1bd2a-c5fb-4f0e-840e-64a8f0dac6cf</x:v>
      </x:c>
      <x:c r="F2421" t="str">
        <x:v>https://www.webonary.org/marubo/g72b1bd2a-c5fb-4f0e-840e-64a8f0dac6cf/</x:v>
      </x:c>
      <x:c r="G2421" s="20" t="n">
        <x:v>46003.93503197917</x:v>
      </x:c>
    </x:row>
    <x:row r="2422">
      <x:c r="A2422" t="str">
        <x:v>vigas cruzadas</x:v>
      </x:c>
      <x:c r="B2422" t="str">
        <x:v>nasekti</x:v>
      </x:c>
      <x:c r="C2422" t="str">
        <x:v>v</x:v>
      </x:c>
      <x:c r="D2422" t="str">
        <x:v>g98d5e25d-bee3-4afa-9535-3ccb3d19a7ec</x:v>
      </x:c>
      <x:c r="E2422" t="str">
        <x:v>gb6c93714-8250-4816-bc0e-40042fe671d4</x:v>
      </x:c>
      <x:c r="F2422" t="str">
        <x:v>https://www.webonary.org/marubo/gb6c93714-8250-4816-bc0e-40042fe671d4/</x:v>
      </x:c>
      <x:c r="G2422" s="20" t="n">
        <x:v>46003.93503197917</x:v>
      </x:c>
    </x:row>
    <x:row r="2423">
      <x:c r="A2423" t="str">
        <x:v>vigiar</x:v>
      </x:c>
      <x:c r="B2423" t="str">
        <x:v>verõ aká</x:v>
      </x:c>
      <x:c r="C2423" t="str">
        <x:v>v</x:v>
      </x:c>
      <x:c r="D2423" t="str">
        <x:v>g9f4cafea-6059-49fa-b95c-53564dfdeeaa</x:v>
      </x:c>
      <x:c r="E2423" t="str">
        <x:v>g5ab783cf-daf1-4de9-aaf7-6362b659f4b7</x:v>
      </x:c>
      <x:c r="F2423" t="str">
        <x:v>https://www.webonary.org/marubo/g5ab783cf-daf1-4de9-aaf7-6362b659f4b7/</x:v>
      </x:c>
      <x:c r="G2423" s="20" t="n">
        <x:v>46003.93503197917</x:v>
      </x:c>
    </x:row>
    <x:row r="2424">
      <x:c r="A2424" t="str">
        <x:v>vingar</x:v>
      </x:c>
      <x:c r="B2424" t="str">
        <x:v>kopia</x:v>
      </x:c>
      <x:c r="C2424" t="str">
        <x:v>v</x:v>
      </x:c>
      <x:c r="D2424" t="str">
        <x:v>g1d4e5e98-3f4d-4995-b63c-894fd5d3dc5e</x:v>
      </x:c>
      <x:c r="E2424" t="str">
        <x:v>g5b64a918-4c0b-43c2-b8da-71e6b7546d91</x:v>
      </x:c>
      <x:c r="F2424" t="str">
        <x:v>https://www.webonary.org/marubo/g5b64a918-4c0b-43c2-b8da-71e6b7546d91/</x:v>
      </x:c>
      <x:c r="G2424" s="20" t="n">
        <x:v>46003.93503197917</x:v>
      </x:c>
    </x:row>
    <x:row r="2425">
      <x:c r="A2425" t="str">
        <x:v>vir</x:v>
      </x:c>
      <x:c r="B2425" t="str">
        <x:v>oá</x:v>
      </x:c>
      <x:c r="C2425" t="str">
        <x:v>v</x:v>
      </x:c>
      <x:c r="D2425" t="str">
        <x:v>g3a154476-d235-4119-a7be-b39bba578052</x:v>
      </x:c>
      <x:c r="E2425" t="str">
        <x:v>g9ed0a3b7-63f1-4540-97e4-11373c81c253</x:v>
      </x:c>
      <x:c r="F2425" t="str">
        <x:v>https://www.webonary.org/marubo/g9ed0a3b7-63f1-4540-97e4-11373c81c253/</x:v>
      </x:c>
      <x:c r="G2425" s="20" t="n">
        <x:v>46003.93503197917</x:v>
      </x:c>
    </x:row>
    <x:row r="2426">
      <x:c r="A2426" t="str">
        <x:v>virar</x:v>
      </x:c>
      <x:c r="B2426" t="str">
        <x:v>veso</x:v>
      </x:c>
      <x:c r="C2426" t="str">
        <x:v>v</x:v>
      </x:c>
      <x:c r="D2426" t="str">
        <x:v>g181fc3bf-2238-4a2a-ae5c-5ed3327db97c</x:v>
      </x:c>
      <x:c r="E2426" t="str">
        <x:v>g91586383-cbd6-443d-a8d0-0cd7b15ef8da</x:v>
      </x:c>
      <x:c r="F2426" t="str">
        <x:v>https://www.webonary.org/marubo/g91586383-cbd6-443d-a8d0-0cd7b15ef8da/</x:v>
      </x:c>
      <x:c r="G2426" s="20" t="n">
        <x:v>46003.93503197917</x:v>
      </x:c>
    </x:row>
    <x:row r="2427">
      <x:c r="A2427" t="str">
        <x:v>virilha</x:v>
      </x:c>
      <x:c r="B2427" t="str">
        <x:v>shavi</x:v>
      </x:c>
      <x:c r="C2427" t="str">
        <x:v>v</x:v>
      </x:c>
      <x:c r="D2427" t="str">
        <x:v>g19b2fcd1-d586-4226-af8f-4e9c3e79458c</x:v>
      </x:c>
      <x:c r="E2427" t="str">
        <x:v>ge28874cf-95fe-4d55-95f9-845e37c584fe</x:v>
      </x:c>
      <x:c r="F2427" t="str">
        <x:v>https://www.webonary.org/marubo/ge28874cf-95fe-4d55-95f9-845e37c584fe/</x:v>
      </x:c>
      <x:c r="G2427" s="20" t="n">
        <x:v>46003.93503197917</x:v>
      </x:c>
    </x:row>
    <x:row r="2428">
      <x:c r="A2428" t="str">
        <x:v>visitar</x:v>
      </x:c>
      <x:c r="B2428" t="str">
        <x:v>pokéa</x:v>
      </x:c>
      <x:c r="C2428" t="str">
        <x:v>v</x:v>
      </x:c>
      <x:c r="D2428" t="str">
        <x:v>ga8c0262a-891d-4f0b-8f0e-f916af22e94b</x:v>
      </x:c>
      <x:c r="E2428" t="str">
        <x:v>gb61de545-588a-4f0f-9ef3-126cc50ac53d</x:v>
      </x:c>
      <x:c r="F2428" t="str">
        <x:v>https://www.webonary.org/marubo/gb61de545-588a-4f0f-9ef3-126cc50ac53d/</x:v>
      </x:c>
      <x:c r="G2428" s="20" t="n">
        <x:v>46003.93503197917</x:v>
      </x:c>
    </x:row>
    <x:row r="2429">
      <x:c r="A2429" t="str">
        <x:v>vitoria régia</x:v>
      </x:c>
      <x:c r="B2429" t="str">
        <x:v>vẽshá rome</x:v>
      </x:c>
      <x:c r="C2429" t="str">
        <x:v>v</x:v>
      </x:c>
      <x:c r="D2429" t="str">
        <x:v>g201ee781-b69a-4890-92dc-40435f65fe6e</x:v>
      </x:c>
      <x:c r="E2429" t="str">
        <x:v>ge9dd6477-eada-4975-a82f-902fbf44da95</x:v>
      </x:c>
      <x:c r="F2429" t="str">
        <x:v>https://www.webonary.org/marubo/ge9dd6477-eada-4975-a82f-902fbf44da95/</x:v>
      </x:c>
      <x:c r="G2429" s="20" t="n">
        <x:v>46003.93503197917</x:v>
      </x:c>
    </x:row>
    <x:row r="2430">
      <x:c r="A2430" t="str">
        <x:v>viver</x:v>
      </x:c>
      <x:c r="B2430" t="str">
        <x:v>niá</x:v>
      </x:c>
      <x:c r="C2430" t="str">
        <x:v>v</x:v>
      </x:c>
      <x:c r="D2430" t="str">
        <x:v>ga168001d-46fa-4c67-a898-8ffa1d0fa0c2</x:v>
      </x:c>
      <x:c r="E2430" t="str">
        <x:v>gc5b5a557-74e2-4b10-bac0-4063a59392d9</x:v>
      </x:c>
      <x:c r="F2430" t="str">
        <x:v>https://www.webonary.org/marubo/gc5b5a557-74e2-4b10-bac0-4063a59392d9/</x:v>
      </x:c>
      <x:c r="G2430" s="20" t="n">
        <x:v>46003.93503197917</x:v>
      </x:c>
    </x:row>
    <x:row r="2431">
      <x:c r="A2431" t="str">
        <x:v>voces</x:v>
      </x:c>
      <x:c r="B2431" t="str">
        <x:v>mato</x:v>
      </x:c>
      <x:c r="C2431" t="str">
        <x:v>v</x:v>
      </x:c>
      <x:c r="D2431" t="str">
        <x:v>g8bf2e565-adad-4211-8e7b-bda43cfbb38f</x:v>
      </x:c>
      <x:c r="E2431" t="str">
        <x:v>g651aed6d-7cfd-4544-b458-0d35e1c179c1</x:v>
      </x:c>
      <x:c r="F2431" t="str">
        <x:v>https://www.webonary.org/marubo/g651aed6d-7cfd-4544-b458-0d35e1c179c1/</x:v>
      </x:c>
      <x:c r="G2431" s="20" t="n">
        <x:v>46003.93503197917</x:v>
      </x:c>
    </x:row>
    <x:row r="2432">
      <x:c r="A2432" t="str">
        <x:v>voces</x:v>
      </x:c>
      <x:c r="B2432" t="str">
        <x:v>2</x:v>
      </x:c>
      <x:c r="C2432" t="str">
        <x:v>v</x:v>
      </x:c>
      <x:c r="D2432" t="str">
        <x:v>g8bf2e565-adad-4211-8e7b-bda43cfbb38f</x:v>
      </x:c>
      <x:c r="E2432" t="str">
        <x:v>g651aed6d-7cfd-4544-b458-0d35e1c179c1</x:v>
      </x:c>
      <x:c r="F2432" t="str">
        <x:v>https://www.webonary.org/marubo/g651aed6d-7cfd-4544-b458-0d35e1c179c1/</x:v>
      </x:c>
      <x:c r="G2432" s="20" t="n">
        <x:v>46003.93503197917</x:v>
      </x:c>
    </x:row>
    <x:row r="2433">
      <x:c r="A2433" t="str">
        <x:v>vocês</x:v>
      </x:c>
      <x:c r="B2433" t="str">
        <x:v>mã=</x:v>
      </x:c>
      <x:c r="C2433" t="str">
        <x:v>v</x:v>
      </x:c>
      <x:c r="D2433" t="str">
        <x:v>gfe63a46c-605f-414c-b4e5-f3a4342c6468</x:v>
      </x:c>
      <x:c r="E2433" t="str">
        <x:v>g08f35234-1483-4442-a1f6-efde74301a68</x:v>
      </x:c>
      <x:c r="F2433" t="str">
        <x:v>https://www.webonary.org/marubo/g08f35234-1483-4442-a1f6-efde74301a68/</x:v>
      </x:c>
      <x:c r="G2433" s="20" t="n">
        <x:v>46003.93503197917</x:v>
      </x:c>
    </x:row>
    <x:row r="2434">
      <x:c r="A2434" t="str">
        <x:v>volante</x:v>
      </x:c>
      <x:c r="B2434" t="str">
        <x:v>sĩkia</x:v>
      </x:c>
      <x:c r="C2434" t="str">
        <x:v>v</x:v>
      </x:c>
      <x:c r="D2434" t="str">
        <x:v>g87bf2076-b58a-4c44-a422-df83f01aad1a</x:v>
      </x:c>
      <x:c r="E2434" t="str">
        <x:v>g28b765a3-538b-4445-bc28-4623721f9b07</x:v>
      </x:c>
      <x:c r="F2434" t="str">
        <x:v>https://www.webonary.org/marubo/g28b765a3-538b-4445-bc28-4623721f9b07/</x:v>
      </x:c>
      <x:c r="G2434" s="20" t="n">
        <x:v>46003.93503197917</x:v>
      </x:c>
    </x:row>
    <x:row r="2435">
      <x:c r="A2435" t="str">
        <x:v>voltar sem caça</x:v>
      </x:c>
      <x:c r="B2435" t="str">
        <x:v>yopa</x:v>
      </x:c>
      <x:c r="C2435" t="str">
        <x:v>v</x:v>
      </x:c>
      <x:c r="D2435" t="str">
        <x:v>gbe1bb5d3-3d30-4793-b03d-dedeae8ae65c</x:v>
      </x:c>
      <x:c r="E2435" t="str">
        <x:v>g6b3c5d35-33de-4d3d-990a-bb1301125674</x:v>
      </x:c>
      <x:c r="F2435" t="str">
        <x:v>https://www.webonary.org/marubo/g6b3c5d35-33de-4d3d-990a-bb1301125674/</x:v>
      </x:c>
      <x:c r="G2435" s="20" t="n">
        <x:v>46003.93503197917</x:v>
      </x:c>
    </x:row>
    <x:row r="2436">
      <x:c r="A2436" t="str">
        <x:v>voltar sem caça</x:v>
      </x:c>
      <x:c r="B2436" t="str">
        <x:v>1</x:v>
      </x:c>
      <x:c r="C2436" t="str">
        <x:v>v</x:v>
      </x:c>
      <x:c r="D2436" t="str">
        <x:v>gbe1bb5d3-3d30-4793-b03d-dedeae8ae65c</x:v>
      </x:c>
      <x:c r="E2436" t="str">
        <x:v>g6b3c5d35-33de-4d3d-990a-bb1301125674</x:v>
      </x:c>
      <x:c r="F2436" t="str">
        <x:v>https://www.webonary.org/marubo/g6b3c5d35-33de-4d3d-990a-bb1301125674/</x:v>
      </x:c>
      <x:c r="G2436" s="20" t="n">
        <x:v>46003.93503197917</x:v>
      </x:c>
    </x:row>
    <x:row r="2437">
      <x:c r="A2437" t="str">
        <x:v>vomitar</x:v>
      </x:c>
      <x:c r="B2437" t="str">
        <x:v>anã ikí</x:v>
      </x:c>
      <x:c r="C2437" t="str">
        <x:v>v</x:v>
      </x:c>
      <x:c r="D2437" t="str">
        <x:v>g50295552-ab93-4ec7-b942-71284e2e6f14</x:v>
      </x:c>
      <x:c r="E2437" t="str">
        <x:v>gb574a29d-e24c-47f0-a6cf-4e0ac17ad3e0</x:v>
      </x:c>
      <x:c r="F2437" t="str">
        <x:v>https://www.webonary.org/marubo/gb574a29d-e24c-47f0-a6cf-4e0ac17ad3e0/</x:v>
      </x:c>
      <x:c r="G2437" s="20" t="n">
        <x:v>46003.93503197917</x:v>
      </x:c>
    </x:row>
    <x:row r="2438">
      <x:c r="A2438" t="str">
        <x:v>waca</x:v>
      </x:c>
      <x:c r="B2438" t="str">
        <x:v>poi kama</x:v>
      </x:c>
      <x:c r="C2438" t="str">
        <x:v>w</x:v>
      </x:c>
      <x:c r="D2438" t="str">
        <x:v>ga33d7284-d06e-437a-bd4a-079049e3f001</x:v>
      </x:c>
      <x:c r="E2438" t="str">
        <x:v>g55875d58-bb5d-49d5-a04d-dd3b2a0d30c1</x:v>
      </x:c>
      <x:c r="F2438" t="str">
        <x:v>https://www.webonary.org/marubo/g55875d58-bb5d-49d5-a04d-dd3b2a0d30c1/</x:v>
      </x:c>
      <x:c r="G2438" s="20" t="n">
        <x:v>46003.93503197917</x:v>
      </x:c>
    </x:row>
    <x:row r="2439">
      <x:c r="A2439" t="str">
        <x:v>wrinkled</x:v>
      </x:c>
      <x:c r="B2439" t="str">
        <x:v>veníshka</x:v>
      </x:c>
      <x:c r="C2439" t="str">
        <x:v>w</x:v>
      </x:c>
      <x:c r="D2439" t="str">
        <x:v>g5bbc678e-2cbf-4e44-a9bc-0c865eb35732</x:v>
      </x:c>
      <x:c r="E2439" t="str">
        <x:v>ge275f31b-7bb3-49fa-8ceb-b313fe8c606f</x:v>
      </x:c>
      <x:c r="F2439" t="str">
        <x:v>https://www.webonary.org/marubo/ge275f31b-7bb3-49fa-8ceb-b313fe8c606f/</x:v>
      </x:c>
      <x:c r="G2439" s="20" t="n">
        <x:v>46003.93503197917</x:v>
      </x:c>
    </x:row>
    <x:row r="2440">
      <x:c r="A2440" t="str">
        <x:v>zombar</x:v>
      </x:c>
      <x:c r="B2440" t="str">
        <x:v>yova</x:v>
      </x:c>
      <x:c r="C2440" t="str">
        <x:v>z</x:v>
      </x:c>
      <x:c r="D2440" t="str">
        <x:v>g89df8e6a-721c-4d85-9c1b-08a8b794640b</x:v>
      </x:c>
      <x:c r="E2440" t="str">
        <x:v>g53f41771-03f1-4751-9b22-c39516372c4e</x:v>
      </x:c>
      <x:c r="F2440" t="str">
        <x:v>https://www.webonary.org/marubo/g53f41771-03f1-4751-9b22-c39516372c4e/</x:v>
      </x:c>
      <x:c r="G2440" s="20" t="n">
        <x:v>46003.93503197917</x:v>
      </x:c>
    </x:row>
    <x:row r="2441">
      <x:c r="A2441" t="str">
        <x:v>zuador</x:v>
      </x:c>
      <x:c r="B2441" t="str">
        <x:v>nitimtanatá</x:v>
      </x:c>
      <x:c r="C2441" t="str">
        <x:v>z</x:v>
      </x:c>
      <x:c r="D2441" t="str">
        <x:v>ge42333f9-c74d-4450-b2c2-2ade87dc75ca</x:v>
      </x:c>
      <x:c r="E2441" t="str">
        <x:v>g6ff1718a-6a7b-4510-975b-0d1ce1fbb1f5</x:v>
      </x:c>
      <x:c r="F2441" t="str">
        <x:v>https://www.webonary.org/marubo/g6ff1718a-6a7b-4510-975b-0d1ce1fbb1f5/</x:v>
      </x:c>
      <x:c r="G2441" s="20" t="n">
        <x:v>46003.93503197917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f4a644db21742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18" hidden="0" customWidth="1"/>
    <x:col min="4" max="4" width="66" hidden="0" customWidth="1"/>
  </x:cols>
  <x:sheetData>
    <x:row r="1" ht="30" customHeight="1">
      <x:c r="A1" s="3" t="str">
        <x:v>Metadados e validação</x:v>
      </x:c>
      <x:c r="B1" s="3" t="str">
        <x:v>Metadados e validação</x:v>
      </x:c>
      <x:c r="C1" s="3" t="str">
        <x:v>Metadados e validação</x:v>
      </x:c>
      <x:c r="D1" s="3" t="str">
        <x:v>Metadados e validação</x:v>
      </x:c>
    </x:row>
    <x:row r="2" ht="32" customHeight="1">
      <x:c r="A2" s="7" t="str">
        <x:v>Informações de origem, escopo e controles usados na geração do arquivo.</x:v>
      </x:c>
      <x:c r="B2" s="7" t="str">
        <x:v>Informações de origem, escopo e controles usados na geração do arquivo.</x:v>
      </x:c>
      <x:c r="C2" s="7" t="str">
        <x:v>Informações de origem, escopo e controles usados na geração do arquivo.</x:v>
      </x:c>
      <x:c r="D2" s="7" t="str">
        <x:v>Informações de origem, escopo e controles usados na geração do arquivo.</x:v>
      </x:c>
    </x:row>
    <x:row r="6">
      <x:c r="A6" s="18" t="str">
        <x:v>Campo</x:v>
      </x:c>
      <x:c r="B6" s="18" t="str">
        <x:v>Valor</x:v>
      </x:c>
      <x:c r="C6" s="18" t="str">
        <x:v>Verificação</x:v>
      </x:c>
      <x:c r="D6" s="18" t="str">
        <x:v>Observação</x:v>
      </x:c>
    </x:row>
    <x:row r="7">
      <x:c r="A7" s="18" t="str">
        <x:v>Fonte principal</x:v>
      </x:c>
      <x:c r="B7" s="18" t="str">
        <x:v>https://www.webonary.org/marubo/</x:v>
      </x:c>
      <x:c r="C7" s="18" t="str"/>
      <x:c r="D7" s="18" t="str">
        <x:v>Site oficial do dicionário</x:v>
      </x:c>
    </x:row>
    <x:row r="8">
      <x:c r="A8" s="18" t="str">
        <x:v>API oficial</x:v>
      </x:c>
      <x:c r="B8" s="18" t="str">
        <x:v>https://cloud-api.webonary.org/v1/</x:v>
      </x:c>
      <x:c r="C8" s="18" t="str"/>
      <x:c r="D8" s="18" t="str">
        <x:v>Mesmos dados estruturados usados pelo Webonary</x:v>
      </x:c>
    </x:row>
    <x:row r="9">
      <x:c r="A9" s="18" t="str">
        <x:v>Dicionário</x:v>
      </x:c>
      <x:c r="B9" s="18" t="str">
        <x:v>marubo</x:v>
      </x:c>
      <x:c r="C9" s="18" t="str"/>
      <x:c r="D9" s="18" t="str">
        <x:v>Marúbo (mzr)</x:v>
      </x:c>
    </x:row>
    <x:row r="10">
      <x:c r="A10" s="18" t="str">
        <x:v>Direção</x:v>
      </x:c>
      <x:c r="B10" s="18" t="str">
        <x:v>Português → marubo</x:v>
      </x:c>
      <x:c r="C10" s="18" t="str"/>
      <x:c r="D10" s="18" t="str">
        <x:v>Índice reverso: Portuguese (pt)</x:v>
      </x:c>
    </x:row>
    <x:row r="11">
      <x:c r="A11" s="18" t="str">
        <x:v>Compilador</x:v>
      </x:c>
      <x:c r="B11" s="18" t="str">
        <x:v>Christopher Sean Smith</x:v>
      </x:c>
      <x:c r="C11" s="18" t="str"/>
      <x:c r="D11" s="18" t="str">
        <x:v>Conforme página de direitos autorais</x:v>
      </x:c>
    </x:row>
    <x:row r="12">
      <x:c r="A12" s="18" t="str">
        <x:v>Publicação</x:v>
      </x:c>
      <x:c r="B12" s="18" t="str">
        <x:v>SIL Global, 2025</x:v>
      </x:c>
      <x:c r="C12" s="18" t="str"/>
      <x:c r="D12" s="18" t="str">
        <x:v>Conforme página de direitos autorais</x:v>
      </x:c>
    </x:row>
    <x:row r="13">
      <x:c r="A13" s="18" t="str">
        <x:v>Data da extração</x:v>
      </x:c>
      <x:c r="B13" s="21" t="n">
        <x:v>46225.79933158565</x:v>
      </x:c>
      <x:c r="C13" s="18" t="str"/>
      <x:c r="D13" s="18" t="str">
        <x:v>UTC</x:v>
      </x:c>
    </x:row>
    <x:row r="14">
      <x:c r="A14" s="18" t="str">
        <x:v>Entradas declaradas pela API</x:v>
      </x:c>
      <x:c r="B14" s="18" t="n">
        <x:v>1869</x:v>
      </x:c>
      <x:c r="C14" s="18" t="str"/>
      <x:c r="D14" s="18" t="str"/>
    </x:row>
    <x:row r="15">
      <x:c r="A15" s="18" t="str">
        <x:v>Entradas únicas coletadas</x:v>
      </x:c>
      <x:c r="B15" s="18" t="n">
        <x:f>ROWS('Dicionário'!A7:A1875)</x:f>
        <x:v>1869</x:v>
      </x:c>
      <x:c r="C15" s="18" t="str"/>
      <x:c r="D15" s="18" t="str"/>
    </x:row>
    <x:row r="16">
      <x:c r="A16" s="18" t="str">
        <x:v>Relações português–marubo</x:v>
      </x:c>
      <x:c r="B16" s="18" t="n">
        <x:f>ROWS('Relações'!A7:A2441)</x:f>
        <x:v>2435</x:v>
      </x:c>
      <x:c r="C16" s="18" t="str"/>
      <x:c r="D16" s="18" t="str"/>
    </x:row>
    <x:row r="17">
      <x:c r="A17" s="18" t="str">
        <x:v>Entradas sem tradução marubo</x:v>
      </x:c>
      <x:c r="B17" s="18" t="n">
        <x:f>COUNTBLANK('Dicionário'!B7:B1875)</x:f>
        <x:v>1</x:v>
      </x:c>
      <x:c r="C17" s="18" t="str"/>
      <x:c r="D17" s="18" t="str">
        <x:v>A entrada ONOM não possui verbete marubo associado na fonte</x:v>
      </x:c>
    </x:row>
    <x:row r="18">
      <x:c r="A18" s="18" t="str">
        <x:v>Validação da contagem</x:v>
      </x:c>
      <x:c r="B18" s="18" t="str"/>
      <x:c r="C18" s="18" t="str">
        <x:f>IF(B14=B15,"OK","DIVERGÊNCIA")</x:f>
        <x:v>OK</x:v>
      </x:c>
      <x:c r="D18" s="18" t="str">
        <x:v>As contagens declarada e coletada devem coincidir</x:v>
      </x:c>
    </x:row>
    <x:row r="19">
      <x:c r="A19" s="18" t="str">
        <x:v>Tratamento dos dados</x:v>
      </x:c>
      <x:c r="B19" s="18" t="str">
        <x:v>Grafias preservadas</x:v>
      </x:c>
      <x:c r="C19" s="18" t="str"/>
      <x:c r="D19" s="18" t="str">
        <x:v>Acentos, nasalizações, hífens, sinais e variantes foram mantidos como publicados</x:v>
      </x:c>
    </x:row>
  </x:sheetData>
  <x:mergeCells>
    <x:mergeCell ref="A1:D1"/>
    <x:mergeCell ref="A2:D2"/>
  </x:mergeCells>
  <x:conditionalFormatting sqref="C18:C18">
    <x:cfRule type="containsText" dxfId="0" priority="1" operator="containsText" text="OK"/>
    <x:cfRule type="containsText" dxfId="1" priority="2" operator="containsText" text="DIVERGÊNCIA"/>
  </x:conditionalFormatting>
  <x:pageMargins left="0.7" right="0.7" top="0.75" bottom="0.75" header="0.3" footer="0.3"/>
  <x:tableParts count="1">
    <x:tablePart xmlns:r="http://schemas.openxmlformats.org/officeDocument/2006/relationships" r:id="R531e641cadcb4372"/>
  </x:tableParts>
</x:worksheet>
</file>